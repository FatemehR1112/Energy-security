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3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4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5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6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7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8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9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0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1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2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3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4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5.xml" ContentType="application/vnd.openxmlformats-officedocument.themeOverrid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16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17.xml" ContentType="application/vnd.openxmlformats-officedocument.themeOverrid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18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19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20.xml" ContentType="application/vnd.openxmlformats-officedocument.themeOverrid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21.xml" ContentType="application/vnd.openxmlformats-officedocument.themeOverrid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22.xml" ContentType="application/vnd.openxmlformats-officedocument.themeOverrid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23.xml" ContentType="application/vnd.openxmlformats-officedocument.themeOverrid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24.xml" ContentType="application/vnd.openxmlformats-officedocument.themeOverrid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25.xml" ContentType="application/vnd.openxmlformats-officedocument.themeOverrid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26.xml" ContentType="application/vnd.openxmlformats-officedocument.themeOverrid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heme/themeOverride27.xml" ContentType="application/vnd.openxmlformats-officedocument.themeOverrid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theme/themeOverride28.xml" ContentType="application/vnd.openxmlformats-officedocument.themeOverrid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theme/themeOverride29.xml" ContentType="application/vnd.openxmlformats-officedocument.themeOverrid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theme/themeOverride30.xml" ContentType="application/vnd.openxmlformats-officedocument.themeOverrid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heme/themeOverride31.xml" ContentType="application/vnd.openxmlformats-officedocument.themeOverrid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theme/themeOverride32.xml" ContentType="application/vnd.openxmlformats-officedocument.themeOverrid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theme/themeOverride33.xml" ContentType="application/vnd.openxmlformats-officedocument.themeOverrid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theme/themeOverride34.xml" ContentType="application/vnd.openxmlformats-officedocument.themeOverrid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theme/themeOverride35.xml" ContentType="application/vnd.openxmlformats-officedocument.themeOverrid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theme/themeOverride36.xml" ContentType="application/vnd.openxmlformats-officedocument.themeOverrid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theme/themeOverride37.xml" ContentType="application/vnd.openxmlformats-officedocument.themeOverrid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theme/themeOverride38.xml" ContentType="application/vnd.openxmlformats-officedocument.themeOverride+xml"/>
  <Override PartName="/xl/drawings/drawing6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theme/themeOverride39.xml" ContentType="application/vnd.openxmlformats-officedocument.themeOverrid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theme/themeOverride40.xml" ContentType="application/vnd.openxmlformats-officedocument.themeOverride+xml"/>
  <Override PartName="/xl/drawings/drawing7.xml" ContentType="application/vnd.openxmlformats-officedocument.drawing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theme/themeOverride41.xml" ContentType="application/vnd.openxmlformats-officedocument.themeOverrid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theme/themeOverride42.xml" ContentType="application/vnd.openxmlformats-officedocument.themeOverrid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theme/themeOverride43.xml" ContentType="application/vnd.openxmlformats-officedocument.themeOverrid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theme/themeOverride44.xml" ContentType="application/vnd.openxmlformats-officedocument.themeOverride+xml"/>
  <Override PartName="/xl/drawings/drawing8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theme/themeOverride45.xml" ContentType="application/vnd.openxmlformats-officedocument.themeOverrid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theme/themeOverride46.xml" ContentType="application/vnd.openxmlformats-officedocument.themeOverrid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theme/themeOverride47.xml" ContentType="application/vnd.openxmlformats-officedocument.themeOverrid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theme/themeOverride48.xml" ContentType="application/vnd.openxmlformats-officedocument.themeOverrid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theme/themeOverride49.xml" ContentType="application/vnd.openxmlformats-officedocument.themeOverrid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theme/themeOverride50.xml" ContentType="application/vnd.openxmlformats-officedocument.themeOverrid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theme/themeOverride51.xml" ContentType="application/vnd.openxmlformats-officedocument.themeOverride+xml"/>
  <Override PartName="/xl/drawings/drawing9.xml" ContentType="application/vnd.openxmlformats-officedocument.drawing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theme/themeOverride52.xml" ContentType="application/vnd.openxmlformats-officedocument.themeOverrid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theme/themeOverride53.xml" ContentType="application/vnd.openxmlformats-officedocument.themeOverrid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theme/themeOverride54.xml" ContentType="application/vnd.openxmlformats-officedocument.themeOverrid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theme/themeOverride55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tami\Desktop\Shield\Main manuscript\"/>
    </mc:Choice>
  </mc:AlternateContent>
  <xr:revisionPtr revIDLastSave="0" documentId="13_ncr:1_{77EC5272-56B7-4D2E-83A7-1DCBCC7D2CB7}" xr6:coauthVersionLast="47" xr6:coauthVersionMax="47" xr10:uidLastSave="{00000000-0000-0000-0000-000000000000}"/>
  <bookViews>
    <workbookView xWindow="28680" yWindow="-120" windowWidth="29040" windowHeight="15720" xr2:uid="{4D1C93CB-0046-40ED-8EFA-5E287C78ECA8}"/>
  </bookViews>
  <sheets>
    <sheet name="General" sheetId="22" r:id="rId1"/>
    <sheet name="Historical biomass price" sheetId="1" r:id="rId2"/>
    <sheet name="Historical electicity price" sheetId="2" r:id="rId3"/>
    <sheet name="Historical natural gas price" sheetId="3" r:id="rId4"/>
    <sheet name="Historical oil price" sheetId="4" r:id="rId5"/>
    <sheet name="Monte Carlo biomass price" sheetId="7" r:id="rId6"/>
    <sheet name="Monte Carlo electricity price" sheetId="8" r:id="rId7"/>
    <sheet name="Monte Carlo natural gas price" sheetId="10" r:id="rId8"/>
    <sheet name="Monte Carlo oil price" sheetId="11" r:id="rId9"/>
    <sheet name="Historical price Minerals" sheetId="12" r:id="rId10"/>
    <sheet name="Monte Carlo graphite price" sheetId="13" r:id="rId11"/>
    <sheet name="Monte Carlo lithium price" sheetId="14" r:id="rId12"/>
    <sheet name="Monte Carlo nickel price" sheetId="15" r:id="rId13"/>
    <sheet name="Minerals demand for BEVs" sheetId="16" r:id="rId14"/>
    <sheet name="Minerals demand for PV" sheetId="17" r:id="rId15"/>
    <sheet name="Minerals demand for wind" sheetId="18" r:id="rId16"/>
    <sheet name="Minerals supply" sheetId="19" r:id="rId17"/>
    <sheet name="Calculated share values" sheetId="20" r:id="rId18"/>
    <sheet name="Minerals shortage" sheetId="21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7" l="1"/>
  <c r="Q14" i="17"/>
  <c r="L14" i="17" s="1"/>
  <c r="M14" i="17" s="1"/>
  <c r="N14" i="17" s="1"/>
  <c r="O14" i="17" s="1"/>
  <c r="P14" i="17" s="1"/>
  <c r="V14" i="17"/>
  <c r="R14" i="17" s="1"/>
  <c r="S14" i="17" s="1"/>
  <c r="T14" i="17" s="1"/>
  <c r="U14" i="17" s="1"/>
  <c r="AA14" i="17"/>
  <c r="W14" i="17" s="1"/>
  <c r="X14" i="17" s="1"/>
  <c r="Y14" i="17" s="1"/>
  <c r="Z14" i="17" s="1"/>
  <c r="AF14" i="17"/>
  <c r="AK14" i="17"/>
  <c r="AG14" i="17" l="1"/>
  <c r="AH14" i="17" s="1"/>
  <c r="AI14" i="17" s="1"/>
  <c r="AJ14" i="17" s="1"/>
  <c r="AB14" i="17"/>
  <c r="AC14" i="17" s="1"/>
  <c r="AD14" i="17" s="1"/>
  <c r="AE14" i="17" s="1"/>
  <c r="AL31" i="20"/>
  <c r="AG31" i="20"/>
  <c r="AB31" i="20"/>
  <c r="AC31" i="20" s="1"/>
  <c r="AD31" i="20" s="1"/>
  <c r="AE31" i="20" s="1"/>
  <c r="AF31" i="20" s="1"/>
  <c r="W31" i="20"/>
  <c r="AH31" i="20" s="1"/>
  <c r="AI31" i="20" s="1"/>
  <c r="AJ31" i="20" s="1"/>
  <c r="AK31" i="20" s="1"/>
  <c r="R31" i="20"/>
  <c r="S31" i="20" s="1"/>
  <c r="T31" i="20" s="1"/>
  <c r="U31" i="20" s="1"/>
  <c r="V31" i="20" s="1"/>
  <c r="L31" i="20"/>
  <c r="M31" i="20" s="1"/>
  <c r="N31" i="20" s="1"/>
  <c r="O31" i="20" s="1"/>
  <c r="P31" i="20" s="1"/>
  <c r="Q31" i="20" s="1"/>
  <c r="AL30" i="20"/>
  <c r="AG30" i="20"/>
  <c r="AB30" i="20"/>
  <c r="W30" i="20"/>
  <c r="AC30" i="20" s="1"/>
  <c r="AD30" i="20" s="1"/>
  <c r="AE30" i="20" s="1"/>
  <c r="AF30" i="20" s="1"/>
  <c r="R30" i="20"/>
  <c r="M30" i="20" s="1"/>
  <c r="N30" i="20" s="1"/>
  <c r="O30" i="20" s="1"/>
  <c r="P30" i="20" s="1"/>
  <c r="Q30" i="20" s="1"/>
  <c r="L30" i="20"/>
  <c r="AL29" i="20"/>
  <c r="AG29" i="20"/>
  <c r="AB29" i="20"/>
  <c r="X29" i="20"/>
  <c r="Y29" i="20" s="1"/>
  <c r="Z29" i="20" s="1"/>
  <c r="AA29" i="20" s="1"/>
  <c r="W29" i="20"/>
  <c r="R29" i="20"/>
  <c r="S29" i="20" s="1"/>
  <c r="T29" i="20" s="1"/>
  <c r="U29" i="20" s="1"/>
  <c r="V29" i="20" s="1"/>
  <c r="L29" i="20"/>
  <c r="AL28" i="20"/>
  <c r="AG28" i="20"/>
  <c r="AH28" i="20" s="1"/>
  <c r="AI28" i="20" s="1"/>
  <c r="AJ28" i="20" s="1"/>
  <c r="AK28" i="20" s="1"/>
  <c r="AB28" i="20"/>
  <c r="W28" i="20"/>
  <c r="S28" i="20"/>
  <c r="T28" i="20" s="1"/>
  <c r="U28" i="20" s="1"/>
  <c r="V28" i="20" s="1"/>
  <c r="R28" i="20"/>
  <c r="L28" i="20"/>
  <c r="M28" i="20" s="1"/>
  <c r="N28" i="20" s="1"/>
  <c r="O28" i="20" s="1"/>
  <c r="P28" i="20" s="1"/>
  <c r="Q28" i="20" s="1"/>
  <c r="AH27" i="20"/>
  <c r="AI27" i="20" s="1"/>
  <c r="AJ27" i="20" s="1"/>
  <c r="AK27" i="20" s="1"/>
  <c r="AD27" i="20"/>
  <c r="AE27" i="20" s="1"/>
  <c r="AF27" i="20" s="1"/>
  <c r="AC27" i="20"/>
  <c r="X27" i="20"/>
  <c r="Y27" i="20" s="1"/>
  <c r="Z27" i="20" s="1"/>
  <c r="AA27" i="20" s="1"/>
  <c r="S27" i="20"/>
  <c r="T27" i="20" s="1"/>
  <c r="U27" i="20" s="1"/>
  <c r="V27" i="20" s="1"/>
  <c r="N27" i="20"/>
  <c r="O27" i="20" s="1"/>
  <c r="P27" i="20" s="1"/>
  <c r="Q27" i="20" s="1"/>
  <c r="M27" i="20"/>
  <c r="AL26" i="20"/>
  <c r="AG26" i="20"/>
  <c r="AH26" i="20" s="1"/>
  <c r="AI26" i="20" s="1"/>
  <c r="AJ26" i="20" s="1"/>
  <c r="AK26" i="20" s="1"/>
  <c r="AB26" i="20"/>
  <c r="AC26" i="20" s="1"/>
  <c r="AD26" i="20" s="1"/>
  <c r="AE26" i="20" s="1"/>
  <c r="AF26" i="20" s="1"/>
  <c r="W26" i="20"/>
  <c r="X26" i="20" s="1"/>
  <c r="Y26" i="20" s="1"/>
  <c r="Z26" i="20" s="1"/>
  <c r="AA26" i="20" s="1"/>
  <c r="R26" i="20"/>
  <c r="S26" i="20" s="1"/>
  <c r="T26" i="20" s="1"/>
  <c r="U26" i="20" s="1"/>
  <c r="V26" i="20" s="1"/>
  <c r="L26" i="20"/>
  <c r="M26" i="20" s="1"/>
  <c r="N26" i="20" s="1"/>
  <c r="O26" i="20" s="1"/>
  <c r="P26" i="20" s="1"/>
  <c r="Q26" i="20" s="1"/>
  <c r="AL25" i="20"/>
  <c r="AH25" i="20" s="1"/>
  <c r="AI25" i="20" s="1"/>
  <c r="AJ25" i="20" s="1"/>
  <c r="AK25" i="20" s="1"/>
  <c r="AG25" i="20"/>
  <c r="AC25" i="20"/>
  <c r="AD25" i="20" s="1"/>
  <c r="AE25" i="20" s="1"/>
  <c r="AF25" i="20" s="1"/>
  <c r="AB25" i="20"/>
  <c r="W25" i="20"/>
  <c r="R25" i="20"/>
  <c r="L25" i="20"/>
  <c r="AH24" i="20"/>
  <c r="AI24" i="20" s="1"/>
  <c r="AJ24" i="20" s="1"/>
  <c r="AK24" i="20" s="1"/>
  <c r="AC24" i="20"/>
  <c r="AD24" i="20" s="1"/>
  <c r="AE24" i="20" s="1"/>
  <c r="AF24" i="20" s="1"/>
  <c r="Z24" i="20"/>
  <c r="AA24" i="20" s="1"/>
  <c r="Y24" i="20"/>
  <c r="X24" i="20"/>
  <c r="T24" i="20"/>
  <c r="U24" i="20" s="1"/>
  <c r="V24" i="20" s="1"/>
  <c r="S24" i="20"/>
  <c r="N24" i="20"/>
  <c r="O24" i="20" s="1"/>
  <c r="P24" i="20" s="1"/>
  <c r="Q24" i="20" s="1"/>
  <c r="M24" i="20"/>
  <c r="AH23" i="20"/>
  <c r="AI23" i="20" s="1"/>
  <c r="AJ23" i="20" s="1"/>
  <c r="AK23" i="20" s="1"/>
  <c r="AF23" i="20"/>
  <c r="AE23" i="20"/>
  <c r="AD23" i="20"/>
  <c r="AC23" i="20"/>
  <c r="X23" i="20"/>
  <c r="Y23" i="20" s="1"/>
  <c r="Z23" i="20" s="1"/>
  <c r="AA23" i="20" s="1"/>
  <c r="S23" i="20"/>
  <c r="T23" i="20" s="1"/>
  <c r="U23" i="20" s="1"/>
  <c r="V23" i="20" s="1"/>
  <c r="M23" i="20"/>
  <c r="N23" i="20" s="1"/>
  <c r="O23" i="20" s="1"/>
  <c r="P23" i="20" s="1"/>
  <c r="Q23" i="20" s="1"/>
  <c r="AL22" i="20"/>
  <c r="AH22" i="20"/>
  <c r="AI22" i="20" s="1"/>
  <c r="AJ22" i="20" s="1"/>
  <c r="AK22" i="20" s="1"/>
  <c r="AG22" i="20"/>
  <c r="AB22" i="20"/>
  <c r="AC22" i="20" s="1"/>
  <c r="AD22" i="20" s="1"/>
  <c r="AE22" i="20" s="1"/>
  <c r="AF22" i="20" s="1"/>
  <c r="W22" i="20"/>
  <c r="X22" i="20" s="1"/>
  <c r="Y22" i="20" s="1"/>
  <c r="Z22" i="20" s="1"/>
  <c r="AA22" i="20" s="1"/>
  <c r="R22" i="20"/>
  <c r="S22" i="20" s="1"/>
  <c r="T22" i="20" s="1"/>
  <c r="U22" i="20" s="1"/>
  <c r="V22" i="20" s="1"/>
  <c r="L22" i="20"/>
  <c r="M22" i="20" s="1"/>
  <c r="N22" i="20" s="1"/>
  <c r="O22" i="20" s="1"/>
  <c r="P22" i="20" s="1"/>
  <c r="Q22" i="20" s="1"/>
  <c r="AL21" i="20"/>
  <c r="AH21" i="20"/>
  <c r="AI21" i="20" s="1"/>
  <c r="AJ21" i="20" s="1"/>
  <c r="AK21" i="20" s="1"/>
  <c r="AG21" i="20"/>
  <c r="AC21" i="20"/>
  <c r="AD21" i="20" s="1"/>
  <c r="AE21" i="20" s="1"/>
  <c r="AF21" i="20" s="1"/>
  <c r="AB21" i="20"/>
  <c r="W21" i="20"/>
  <c r="X21" i="20" s="1"/>
  <c r="Y21" i="20" s="1"/>
  <c r="Z21" i="20" s="1"/>
  <c r="AA21" i="20" s="1"/>
  <c r="R21" i="20"/>
  <c r="M21" i="20" s="1"/>
  <c r="N21" i="20" s="1"/>
  <c r="O21" i="20" s="1"/>
  <c r="P21" i="20" s="1"/>
  <c r="Q21" i="20" s="1"/>
  <c r="L21" i="20"/>
  <c r="AH20" i="20"/>
  <c r="AI20" i="20" s="1"/>
  <c r="AJ20" i="20" s="1"/>
  <c r="AK20" i="20" s="1"/>
  <c r="AC20" i="20"/>
  <c r="AD20" i="20" s="1"/>
  <c r="AE20" i="20" s="1"/>
  <c r="AF20" i="20" s="1"/>
  <c r="Z20" i="20"/>
  <c r="AA20" i="20" s="1"/>
  <c r="Y20" i="20"/>
  <c r="X20" i="20"/>
  <c r="T20" i="20"/>
  <c r="U20" i="20" s="1"/>
  <c r="V20" i="20" s="1"/>
  <c r="S20" i="20"/>
  <c r="M20" i="20"/>
  <c r="N20" i="20" s="1"/>
  <c r="O20" i="20" s="1"/>
  <c r="P20" i="20" s="1"/>
  <c r="Q20" i="20" s="1"/>
  <c r="AL19" i="20"/>
  <c r="AH19" i="20"/>
  <c r="AI19" i="20" s="1"/>
  <c r="AJ19" i="20" s="1"/>
  <c r="AK19" i="20" s="1"/>
  <c r="AG19" i="20"/>
  <c r="AC19" i="20"/>
  <c r="AD19" i="20" s="1"/>
  <c r="AE19" i="20" s="1"/>
  <c r="AF19" i="20" s="1"/>
  <c r="AB19" i="20"/>
  <c r="W19" i="20"/>
  <c r="X19" i="20" s="1"/>
  <c r="Y19" i="20" s="1"/>
  <c r="Z19" i="20" s="1"/>
  <c r="AA19" i="20" s="1"/>
  <c r="R19" i="20"/>
  <c r="M19" i="20" s="1"/>
  <c r="N19" i="20" s="1"/>
  <c r="O19" i="20" s="1"/>
  <c r="P19" i="20" s="1"/>
  <c r="Q19" i="20" s="1"/>
  <c r="L19" i="20"/>
  <c r="AL18" i="20"/>
  <c r="AG18" i="20"/>
  <c r="AH18" i="20" s="1"/>
  <c r="AI18" i="20" s="1"/>
  <c r="AJ18" i="20" s="1"/>
  <c r="AK18" i="20" s="1"/>
  <c r="AC18" i="20"/>
  <c r="AD18" i="20" s="1"/>
  <c r="AE18" i="20" s="1"/>
  <c r="AF18" i="20" s="1"/>
  <c r="AB18" i="20"/>
  <c r="X18" i="20"/>
  <c r="Y18" i="20" s="1"/>
  <c r="Z18" i="20" s="1"/>
  <c r="AA18" i="20" s="1"/>
  <c r="W18" i="20"/>
  <c r="R18" i="20"/>
  <c r="S18" i="20" s="1"/>
  <c r="T18" i="20" s="1"/>
  <c r="U18" i="20" s="1"/>
  <c r="V18" i="20" s="1"/>
  <c r="L18" i="20"/>
  <c r="AL17" i="20"/>
  <c r="AG17" i="20"/>
  <c r="AH17" i="20" s="1"/>
  <c r="AI17" i="20" s="1"/>
  <c r="AJ17" i="20" s="1"/>
  <c r="AK17" i="20" s="1"/>
  <c r="AB17" i="20"/>
  <c r="AC17" i="20" s="1"/>
  <c r="AD17" i="20" s="1"/>
  <c r="AE17" i="20" s="1"/>
  <c r="AF17" i="20" s="1"/>
  <c r="X17" i="20"/>
  <c r="Y17" i="20" s="1"/>
  <c r="Z17" i="20" s="1"/>
  <c r="AA17" i="20" s="1"/>
  <c r="W17" i="20"/>
  <c r="S17" i="20"/>
  <c r="T17" i="20" s="1"/>
  <c r="U17" i="20" s="1"/>
  <c r="V17" i="20" s="1"/>
  <c r="R17" i="20"/>
  <c r="L17" i="20"/>
  <c r="M17" i="20" s="1"/>
  <c r="N17" i="20" s="1"/>
  <c r="O17" i="20" s="1"/>
  <c r="P17" i="20" s="1"/>
  <c r="Q17" i="20" s="1"/>
  <c r="AL16" i="20"/>
  <c r="AI16" i="20"/>
  <c r="AJ16" i="20" s="1"/>
  <c r="AK16" i="20" s="1"/>
  <c r="AH16" i="20"/>
  <c r="AG16" i="20"/>
  <c r="AB16" i="20"/>
  <c r="AC16" i="20" s="1"/>
  <c r="AD16" i="20" s="1"/>
  <c r="AE16" i="20" s="1"/>
  <c r="AF16" i="20" s="1"/>
  <c r="W16" i="20"/>
  <c r="X16" i="20" s="1"/>
  <c r="Y16" i="20" s="1"/>
  <c r="Z16" i="20" s="1"/>
  <c r="AA16" i="20" s="1"/>
  <c r="S16" i="20"/>
  <c r="T16" i="20" s="1"/>
  <c r="U16" i="20" s="1"/>
  <c r="V16" i="20" s="1"/>
  <c r="R16" i="20"/>
  <c r="L16" i="20"/>
  <c r="M16" i="20" s="1"/>
  <c r="N16" i="20" s="1"/>
  <c r="O16" i="20" s="1"/>
  <c r="P16" i="20" s="1"/>
  <c r="Q16" i="20" s="1"/>
  <c r="AI15" i="20"/>
  <c r="AJ15" i="20" s="1"/>
  <c r="AK15" i="20" s="1"/>
  <c r="AH15" i="20"/>
  <c r="AC15" i="20"/>
  <c r="AD15" i="20" s="1"/>
  <c r="AE15" i="20" s="1"/>
  <c r="AF15" i="20" s="1"/>
  <c r="AA15" i="20"/>
  <c r="Z15" i="20"/>
  <c r="Y15" i="20"/>
  <c r="X15" i="20"/>
  <c r="S15" i="20"/>
  <c r="T15" i="20" s="1"/>
  <c r="U15" i="20" s="1"/>
  <c r="V15" i="20" s="1"/>
  <c r="M15" i="20"/>
  <c r="N15" i="20" s="1"/>
  <c r="O15" i="20" s="1"/>
  <c r="P15" i="20" s="1"/>
  <c r="Q15" i="20" s="1"/>
  <c r="AH14" i="20"/>
  <c r="AI14" i="20" s="1"/>
  <c r="AJ14" i="20" s="1"/>
  <c r="AK14" i="20" s="1"/>
  <c r="AC14" i="20"/>
  <c r="AD14" i="20" s="1"/>
  <c r="AE14" i="20" s="1"/>
  <c r="AF14" i="20" s="1"/>
  <c r="Y14" i="20"/>
  <c r="Z14" i="20" s="1"/>
  <c r="AA14" i="20" s="1"/>
  <c r="X14" i="20"/>
  <c r="S14" i="20"/>
  <c r="T14" i="20" s="1"/>
  <c r="U14" i="20" s="1"/>
  <c r="V14" i="20" s="1"/>
  <c r="N14" i="20"/>
  <c r="O14" i="20" s="1"/>
  <c r="P14" i="20" s="1"/>
  <c r="Q14" i="20" s="1"/>
  <c r="M14" i="20"/>
  <c r="AL13" i="20"/>
  <c r="AG13" i="20"/>
  <c r="AH13" i="20" s="1"/>
  <c r="AI13" i="20" s="1"/>
  <c r="AJ13" i="20" s="1"/>
  <c r="AK13" i="20" s="1"/>
  <c r="AB13" i="20"/>
  <c r="AC13" i="20" s="1"/>
  <c r="AD13" i="20" s="1"/>
  <c r="AE13" i="20" s="1"/>
  <c r="AF13" i="20" s="1"/>
  <c r="X13" i="20"/>
  <c r="Y13" i="20" s="1"/>
  <c r="Z13" i="20" s="1"/>
  <c r="AA13" i="20" s="1"/>
  <c r="W13" i="20"/>
  <c r="S13" i="20"/>
  <c r="T13" i="20" s="1"/>
  <c r="U13" i="20" s="1"/>
  <c r="V13" i="20" s="1"/>
  <c r="R13" i="20"/>
  <c r="L13" i="20"/>
  <c r="M13" i="20" s="1"/>
  <c r="N13" i="20" s="1"/>
  <c r="O13" i="20" s="1"/>
  <c r="P13" i="20" s="1"/>
  <c r="Q13" i="20" s="1"/>
  <c r="AI12" i="20"/>
  <c r="AJ12" i="20" s="1"/>
  <c r="AK12" i="20" s="1"/>
  <c r="AH12" i="20"/>
  <c r="AC12" i="20"/>
  <c r="AD12" i="20" s="1"/>
  <c r="AE12" i="20" s="1"/>
  <c r="AF12" i="20" s="1"/>
  <c r="Y12" i="20"/>
  <c r="Z12" i="20" s="1"/>
  <c r="AA12" i="20" s="1"/>
  <c r="X12" i="20"/>
  <c r="S12" i="20"/>
  <c r="T12" i="20" s="1"/>
  <c r="U12" i="20" s="1"/>
  <c r="V12" i="20" s="1"/>
  <c r="N12" i="20"/>
  <c r="O12" i="20" s="1"/>
  <c r="P12" i="20" s="1"/>
  <c r="Q12" i="20" s="1"/>
  <c r="M12" i="20"/>
  <c r="AH11" i="20"/>
  <c r="AI11" i="20" s="1"/>
  <c r="AJ11" i="20" s="1"/>
  <c r="AK11" i="20" s="1"/>
  <c r="AC11" i="20"/>
  <c r="AD11" i="20" s="1"/>
  <c r="AE11" i="20" s="1"/>
  <c r="AF11" i="20" s="1"/>
  <c r="Z11" i="20"/>
  <c r="AA11" i="20" s="1"/>
  <c r="Y11" i="20"/>
  <c r="X11" i="20"/>
  <c r="T11" i="20"/>
  <c r="U11" i="20" s="1"/>
  <c r="V11" i="20" s="1"/>
  <c r="S11" i="20"/>
  <c r="N11" i="20"/>
  <c r="O11" i="20" s="1"/>
  <c r="P11" i="20" s="1"/>
  <c r="Q11" i="20" s="1"/>
  <c r="M11" i="20"/>
  <c r="AL10" i="20"/>
  <c r="AG10" i="20"/>
  <c r="AH10" i="20" s="1"/>
  <c r="AI10" i="20" s="1"/>
  <c r="AJ10" i="20" s="1"/>
  <c r="AK10" i="20" s="1"/>
  <c r="AB10" i="20"/>
  <c r="X10" i="20"/>
  <c r="Y10" i="20" s="1"/>
  <c r="Z10" i="20" s="1"/>
  <c r="AA10" i="20" s="1"/>
  <c r="W10" i="20"/>
  <c r="R10" i="20"/>
  <c r="S10" i="20" s="1"/>
  <c r="T10" i="20" s="1"/>
  <c r="U10" i="20" s="1"/>
  <c r="V10" i="20" s="1"/>
  <c r="M10" i="20"/>
  <c r="N10" i="20" s="1"/>
  <c r="O10" i="20" s="1"/>
  <c r="P10" i="20" s="1"/>
  <c r="Q10" i="20" s="1"/>
  <c r="L10" i="20"/>
  <c r="AL9" i="20"/>
  <c r="AG9" i="20"/>
  <c r="AH9" i="20" s="1"/>
  <c r="AI9" i="20" s="1"/>
  <c r="AJ9" i="20" s="1"/>
  <c r="AK9" i="20" s="1"/>
  <c r="AB9" i="20"/>
  <c r="AC9" i="20" s="1"/>
  <c r="AD9" i="20" s="1"/>
  <c r="AE9" i="20" s="1"/>
  <c r="AF9" i="20" s="1"/>
  <c r="X9" i="20"/>
  <c r="Y9" i="20" s="1"/>
  <c r="Z9" i="20" s="1"/>
  <c r="AA9" i="20" s="1"/>
  <c r="W9" i="20"/>
  <c r="S9" i="20"/>
  <c r="T9" i="20" s="1"/>
  <c r="U9" i="20" s="1"/>
  <c r="V9" i="20" s="1"/>
  <c r="R9" i="20"/>
  <c r="L9" i="20"/>
  <c r="M9" i="20" s="1"/>
  <c r="N9" i="20" s="1"/>
  <c r="O9" i="20" s="1"/>
  <c r="P9" i="20" s="1"/>
  <c r="Q9" i="20" s="1"/>
  <c r="AL8" i="20"/>
  <c r="AI8" i="20"/>
  <c r="AJ8" i="20" s="1"/>
  <c r="AK8" i="20" s="1"/>
  <c r="AH8" i="20"/>
  <c r="AG8" i="20"/>
  <c r="AB8" i="20"/>
  <c r="AC8" i="20" s="1"/>
  <c r="AD8" i="20" s="1"/>
  <c r="AE8" i="20" s="1"/>
  <c r="AF8" i="20" s="1"/>
  <c r="W8" i="20"/>
  <c r="X8" i="20" s="1"/>
  <c r="Y8" i="20" s="1"/>
  <c r="Z8" i="20" s="1"/>
  <c r="AA8" i="20" s="1"/>
  <c r="R8" i="20"/>
  <c r="L8" i="20"/>
  <c r="M8" i="20" s="1"/>
  <c r="N8" i="20" s="1"/>
  <c r="O8" i="20" s="1"/>
  <c r="P8" i="20" s="1"/>
  <c r="Q8" i="20" s="1"/>
  <c r="AL7" i="20"/>
  <c r="AH7" i="20"/>
  <c r="AI7" i="20" s="1"/>
  <c r="AJ7" i="20" s="1"/>
  <c r="AK7" i="20" s="1"/>
  <c r="AG7" i="20"/>
  <c r="AE7" i="20"/>
  <c r="AF7" i="20" s="1"/>
  <c r="AD7" i="20"/>
  <c r="AC7" i="20"/>
  <c r="AB7" i="20"/>
  <c r="W7" i="20"/>
  <c r="X7" i="20" s="1"/>
  <c r="Y7" i="20" s="1"/>
  <c r="Z7" i="20" s="1"/>
  <c r="AA7" i="20" s="1"/>
  <c r="R7" i="20"/>
  <c r="M7" i="20" s="1"/>
  <c r="N7" i="20"/>
  <c r="O7" i="20" s="1"/>
  <c r="P7" i="20" s="1"/>
  <c r="Q7" i="20" s="1"/>
  <c r="L7" i="20"/>
  <c r="M6" i="20"/>
  <c r="N6" i="20" s="1"/>
  <c r="O6" i="20" s="1"/>
  <c r="P6" i="20" s="1"/>
  <c r="Q6" i="20" s="1"/>
  <c r="R6" i="20" s="1"/>
  <c r="S6" i="20" s="1"/>
  <c r="T6" i="20" s="1"/>
  <c r="U6" i="20" s="1"/>
  <c r="V6" i="20" s="1"/>
  <c r="W6" i="20" s="1"/>
  <c r="X6" i="20" s="1"/>
  <c r="Y6" i="20" s="1"/>
  <c r="Z6" i="20" s="1"/>
  <c r="AA6" i="20" s="1"/>
  <c r="AB6" i="20" s="1"/>
  <c r="AC6" i="20" s="1"/>
  <c r="AD6" i="20" s="1"/>
  <c r="AE6" i="20" s="1"/>
  <c r="AF6" i="20" s="1"/>
  <c r="AG6" i="20" s="1"/>
  <c r="AH6" i="20" s="1"/>
  <c r="AI6" i="20" s="1"/>
  <c r="AJ6" i="20" s="1"/>
  <c r="AK6" i="20" s="1"/>
  <c r="AL6" i="20" s="1"/>
  <c r="J18" i="19"/>
  <c r="K18" i="19" s="1"/>
  <c r="L18" i="19" s="1"/>
  <c r="M18" i="19" s="1"/>
  <c r="N18" i="19" s="1"/>
  <c r="O18" i="19" s="1"/>
  <c r="P18" i="19" s="1"/>
  <c r="Q18" i="19" s="1"/>
  <c r="R18" i="19" s="1"/>
  <c r="S18" i="19" s="1"/>
  <c r="T18" i="19" s="1"/>
  <c r="U18" i="19" s="1"/>
  <c r="V18" i="19" s="1"/>
  <c r="W18" i="19" s="1"/>
  <c r="X18" i="19" s="1"/>
  <c r="Y18" i="19" s="1"/>
  <c r="Z18" i="19" s="1"/>
  <c r="AA18" i="19" s="1"/>
  <c r="AB18" i="19" s="1"/>
  <c r="AC18" i="19" s="1"/>
  <c r="AD18" i="19" s="1"/>
  <c r="AE18" i="19" s="1"/>
  <c r="AF18" i="19" s="1"/>
  <c r="AG18" i="19" s="1"/>
  <c r="AH18" i="19" s="1"/>
  <c r="AI18" i="19" s="1"/>
  <c r="J17" i="19"/>
  <c r="K17" i="19" s="1"/>
  <c r="L17" i="19" s="1"/>
  <c r="M17" i="19" s="1"/>
  <c r="N17" i="19" s="1"/>
  <c r="O17" i="19" s="1"/>
  <c r="P17" i="19" s="1"/>
  <c r="Q17" i="19" s="1"/>
  <c r="R17" i="19" s="1"/>
  <c r="S17" i="19" s="1"/>
  <c r="T17" i="19" s="1"/>
  <c r="U17" i="19" s="1"/>
  <c r="V17" i="19" s="1"/>
  <c r="W17" i="19" s="1"/>
  <c r="X17" i="19" s="1"/>
  <c r="Y17" i="19" s="1"/>
  <c r="Z17" i="19" s="1"/>
  <c r="AA17" i="19" s="1"/>
  <c r="AB17" i="19" s="1"/>
  <c r="AC17" i="19" s="1"/>
  <c r="AD17" i="19" s="1"/>
  <c r="AE17" i="19" s="1"/>
  <c r="AF17" i="19" s="1"/>
  <c r="AG17" i="19" s="1"/>
  <c r="AH17" i="19" s="1"/>
  <c r="AI17" i="19" s="1"/>
  <c r="J16" i="19"/>
  <c r="K16" i="19" s="1"/>
  <c r="L16" i="19" s="1"/>
  <c r="M16" i="19" s="1"/>
  <c r="N16" i="19" s="1"/>
  <c r="O16" i="19" s="1"/>
  <c r="P16" i="19" s="1"/>
  <c r="Q16" i="19" s="1"/>
  <c r="R16" i="19" s="1"/>
  <c r="S16" i="19" s="1"/>
  <c r="T16" i="19" s="1"/>
  <c r="U16" i="19" s="1"/>
  <c r="V16" i="19" s="1"/>
  <c r="W16" i="19" s="1"/>
  <c r="X16" i="19" s="1"/>
  <c r="Y16" i="19" s="1"/>
  <c r="Z16" i="19" s="1"/>
  <c r="AA16" i="19" s="1"/>
  <c r="AB16" i="19" s="1"/>
  <c r="AC16" i="19" s="1"/>
  <c r="AD16" i="19" s="1"/>
  <c r="AE16" i="19" s="1"/>
  <c r="AF16" i="19" s="1"/>
  <c r="AG16" i="19" s="1"/>
  <c r="AH16" i="19" s="1"/>
  <c r="AI16" i="19" s="1"/>
  <c r="J15" i="19"/>
  <c r="K15" i="19" s="1"/>
  <c r="L15" i="19" s="1"/>
  <c r="M15" i="19" s="1"/>
  <c r="N15" i="19" s="1"/>
  <c r="O15" i="19" s="1"/>
  <c r="P15" i="19" s="1"/>
  <c r="Q15" i="19" s="1"/>
  <c r="R15" i="19" s="1"/>
  <c r="S15" i="19" s="1"/>
  <c r="T15" i="19" s="1"/>
  <c r="U15" i="19" s="1"/>
  <c r="V15" i="19" s="1"/>
  <c r="W15" i="19" s="1"/>
  <c r="X15" i="19" s="1"/>
  <c r="Y15" i="19" s="1"/>
  <c r="Z15" i="19" s="1"/>
  <c r="AA15" i="19" s="1"/>
  <c r="AB15" i="19" s="1"/>
  <c r="AC15" i="19" s="1"/>
  <c r="AD15" i="19" s="1"/>
  <c r="AE15" i="19" s="1"/>
  <c r="AF15" i="19" s="1"/>
  <c r="AG15" i="19" s="1"/>
  <c r="AH15" i="19" s="1"/>
  <c r="AI15" i="19" s="1"/>
  <c r="J14" i="19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D14" i="19" s="1"/>
  <c r="AE14" i="19" s="1"/>
  <c r="AF14" i="19" s="1"/>
  <c r="AG14" i="19" s="1"/>
  <c r="AH14" i="19" s="1"/>
  <c r="AI14" i="19" s="1"/>
  <c r="Y11" i="19"/>
  <c r="Z11" i="19" s="1"/>
  <c r="AA11" i="19" s="1"/>
  <c r="AB11" i="19" s="1"/>
  <c r="AC11" i="19" s="1"/>
  <c r="AD11" i="19" s="1"/>
  <c r="AE11" i="19" s="1"/>
  <c r="AF11" i="19" s="1"/>
  <c r="AG11" i="19" s="1"/>
  <c r="AH11" i="19" s="1"/>
  <c r="AI11" i="19" s="1"/>
  <c r="T11" i="19"/>
  <c r="O11" i="19"/>
  <c r="P11" i="19" s="1"/>
  <c r="Q11" i="19" s="1"/>
  <c r="R11" i="19" s="1"/>
  <c r="S11" i="19" s="1"/>
  <c r="I11" i="19"/>
  <c r="J11" i="19" s="1"/>
  <c r="K11" i="19" s="1"/>
  <c r="L11" i="19" s="1"/>
  <c r="M11" i="19" s="1"/>
  <c r="N11" i="19" s="1"/>
  <c r="Y10" i="19"/>
  <c r="Z10" i="19" s="1"/>
  <c r="AA10" i="19" s="1"/>
  <c r="AB10" i="19" s="1"/>
  <c r="AC10" i="19" s="1"/>
  <c r="AD10" i="19" s="1"/>
  <c r="AE10" i="19" s="1"/>
  <c r="AF10" i="19" s="1"/>
  <c r="AG10" i="19" s="1"/>
  <c r="AH10" i="19" s="1"/>
  <c r="AI10" i="19" s="1"/>
  <c r="T10" i="19"/>
  <c r="U10" i="19" s="1"/>
  <c r="V10" i="19" s="1"/>
  <c r="W10" i="19" s="1"/>
  <c r="X10" i="19" s="1"/>
  <c r="O10" i="19"/>
  <c r="I10" i="19"/>
  <c r="J10" i="19" s="1"/>
  <c r="K10" i="19" s="1"/>
  <c r="L10" i="19" s="1"/>
  <c r="M10" i="19" s="1"/>
  <c r="N10" i="19" s="1"/>
  <c r="Y9" i="19"/>
  <c r="Z9" i="19" s="1"/>
  <c r="AA9" i="19" s="1"/>
  <c r="AB9" i="19" s="1"/>
  <c r="AC9" i="19" s="1"/>
  <c r="AD9" i="19" s="1"/>
  <c r="AE9" i="19" s="1"/>
  <c r="AF9" i="19" s="1"/>
  <c r="AG9" i="19" s="1"/>
  <c r="AH9" i="19" s="1"/>
  <c r="AI9" i="19" s="1"/>
  <c r="T9" i="19"/>
  <c r="U9" i="19" s="1"/>
  <c r="V9" i="19" s="1"/>
  <c r="W9" i="19" s="1"/>
  <c r="X9" i="19" s="1"/>
  <c r="O9" i="19"/>
  <c r="P9" i="19" s="1"/>
  <c r="Q9" i="19" s="1"/>
  <c r="R9" i="19" s="1"/>
  <c r="S9" i="19" s="1"/>
  <c r="I9" i="19"/>
  <c r="J9" i="19" s="1"/>
  <c r="K9" i="19" s="1"/>
  <c r="L9" i="19" s="1"/>
  <c r="M9" i="19" s="1"/>
  <c r="N9" i="19" s="1"/>
  <c r="Y8" i="19"/>
  <c r="Z8" i="19" s="1"/>
  <c r="AA8" i="19" s="1"/>
  <c r="AB8" i="19" s="1"/>
  <c r="AC8" i="19" s="1"/>
  <c r="AD8" i="19" s="1"/>
  <c r="AE8" i="19" s="1"/>
  <c r="AF8" i="19" s="1"/>
  <c r="AG8" i="19" s="1"/>
  <c r="AH8" i="19" s="1"/>
  <c r="AI8" i="19" s="1"/>
  <c r="T8" i="19"/>
  <c r="U8" i="19" s="1"/>
  <c r="V8" i="19" s="1"/>
  <c r="W8" i="19" s="1"/>
  <c r="X8" i="19" s="1"/>
  <c r="O8" i="19"/>
  <c r="P8" i="19" s="1"/>
  <c r="Q8" i="19" s="1"/>
  <c r="R8" i="19" s="1"/>
  <c r="S8" i="19" s="1"/>
  <c r="I8" i="19"/>
  <c r="J8" i="19" s="1"/>
  <c r="K8" i="19" s="1"/>
  <c r="L8" i="19" s="1"/>
  <c r="M8" i="19" s="1"/>
  <c r="N8" i="19" s="1"/>
  <c r="Y7" i="19"/>
  <c r="Z7" i="19" s="1"/>
  <c r="AA7" i="19" s="1"/>
  <c r="AB7" i="19" s="1"/>
  <c r="AC7" i="19" s="1"/>
  <c r="AD7" i="19" s="1"/>
  <c r="AE7" i="19" s="1"/>
  <c r="AF7" i="19" s="1"/>
  <c r="AG7" i="19" s="1"/>
  <c r="AH7" i="19" s="1"/>
  <c r="AI7" i="19" s="1"/>
  <c r="U7" i="19"/>
  <c r="V7" i="19" s="1"/>
  <c r="W7" i="19" s="1"/>
  <c r="X7" i="19" s="1"/>
  <c r="T7" i="19"/>
  <c r="O7" i="19"/>
  <c r="I7" i="19"/>
  <c r="J7" i="19" s="1"/>
  <c r="K7" i="19" s="1"/>
  <c r="L7" i="19" s="1"/>
  <c r="M7" i="19" s="1"/>
  <c r="N7" i="19" s="1"/>
  <c r="Y6" i="19"/>
  <c r="Z6" i="19" s="1"/>
  <c r="AA6" i="19" s="1"/>
  <c r="AB6" i="19" s="1"/>
  <c r="AC6" i="19" s="1"/>
  <c r="AD6" i="19" s="1"/>
  <c r="AE6" i="19" s="1"/>
  <c r="AF6" i="19" s="1"/>
  <c r="AG6" i="19" s="1"/>
  <c r="AH6" i="19" s="1"/>
  <c r="AI6" i="19" s="1"/>
  <c r="T6" i="19"/>
  <c r="U6" i="19" s="1"/>
  <c r="V6" i="19" s="1"/>
  <c r="W6" i="19" s="1"/>
  <c r="X6" i="19" s="1"/>
  <c r="O6" i="19"/>
  <c r="P6" i="19" s="1"/>
  <c r="Q6" i="19" s="1"/>
  <c r="R6" i="19" s="1"/>
  <c r="S6" i="19" s="1"/>
  <c r="I6" i="19"/>
  <c r="J6" i="19" s="1"/>
  <c r="K6" i="19" s="1"/>
  <c r="L6" i="19" s="1"/>
  <c r="M6" i="19" s="1"/>
  <c r="N6" i="19" s="1"/>
  <c r="J5" i="19"/>
  <c r="K5" i="19" s="1"/>
  <c r="L5" i="19" s="1"/>
  <c r="M5" i="19" s="1"/>
  <c r="N5" i="19" s="1"/>
  <c r="O5" i="19" s="1"/>
  <c r="P5" i="19" s="1"/>
  <c r="Q5" i="19" s="1"/>
  <c r="R5" i="19" s="1"/>
  <c r="S5" i="19" s="1"/>
  <c r="T5" i="19" s="1"/>
  <c r="U5" i="19" s="1"/>
  <c r="V5" i="19" s="1"/>
  <c r="W5" i="19" s="1"/>
  <c r="X5" i="19" s="1"/>
  <c r="Y5" i="19" s="1"/>
  <c r="Z5" i="19" s="1"/>
  <c r="AA5" i="19" s="1"/>
  <c r="AB5" i="19" s="1"/>
  <c r="AC5" i="19" s="1"/>
  <c r="AD5" i="19" s="1"/>
  <c r="AE5" i="19" s="1"/>
  <c r="AF5" i="19" s="1"/>
  <c r="AG5" i="19" s="1"/>
  <c r="AH5" i="19" s="1"/>
  <c r="AI5" i="19" s="1"/>
  <c r="AK29" i="18"/>
  <c r="AF29" i="18"/>
  <c r="AG29" i="18" s="1"/>
  <c r="AH29" i="18" s="1"/>
  <c r="AI29" i="18" s="1"/>
  <c r="AJ29" i="18" s="1"/>
  <c r="AA29" i="18"/>
  <c r="AB29" i="18" s="1"/>
  <c r="AC29" i="18" s="1"/>
  <c r="AD29" i="18" s="1"/>
  <c r="AE29" i="18" s="1"/>
  <c r="V29" i="18"/>
  <c r="Q29" i="18"/>
  <c r="R29" i="18" s="1"/>
  <c r="S29" i="18" s="1"/>
  <c r="T29" i="18" s="1"/>
  <c r="U29" i="18" s="1"/>
  <c r="K29" i="18"/>
  <c r="AK28" i="18"/>
  <c r="AF28" i="18"/>
  <c r="AA28" i="18"/>
  <c r="V28" i="18"/>
  <c r="W28" i="18" s="1"/>
  <c r="X28" i="18" s="1"/>
  <c r="Y28" i="18" s="1"/>
  <c r="Z28" i="18" s="1"/>
  <c r="Q28" i="18"/>
  <c r="K28" i="18"/>
  <c r="L28" i="18" s="1"/>
  <c r="M28" i="18" s="1"/>
  <c r="N28" i="18" s="1"/>
  <c r="O28" i="18" s="1"/>
  <c r="P28" i="18" s="1"/>
  <c r="AK27" i="18"/>
  <c r="AF27" i="18"/>
  <c r="AA27" i="18"/>
  <c r="V27" i="18"/>
  <c r="W27" i="18" s="1"/>
  <c r="X27" i="18" s="1"/>
  <c r="Y27" i="18" s="1"/>
  <c r="Z27" i="18" s="1"/>
  <c r="Q27" i="18"/>
  <c r="K27" i="18"/>
  <c r="AK26" i="18"/>
  <c r="AF26" i="18"/>
  <c r="AA26" i="18"/>
  <c r="W26" i="18" s="1"/>
  <c r="X26" i="18" s="1"/>
  <c r="Y26" i="18" s="1"/>
  <c r="Z26" i="18" s="1"/>
  <c r="V26" i="18"/>
  <c r="Q26" i="18"/>
  <c r="K26" i="18"/>
  <c r="L26" i="18" s="1"/>
  <c r="M26" i="18" s="1"/>
  <c r="N26" i="18" s="1"/>
  <c r="O26" i="18" s="1"/>
  <c r="P26" i="18" s="1"/>
  <c r="AK25" i="18"/>
  <c r="AF25" i="18"/>
  <c r="AA25" i="18"/>
  <c r="AB25" i="18" s="1"/>
  <c r="AC25" i="18" s="1"/>
  <c r="AD25" i="18" s="1"/>
  <c r="AE25" i="18" s="1"/>
  <c r="V25" i="18"/>
  <c r="Q25" i="18"/>
  <c r="K25" i="18"/>
  <c r="AK24" i="18"/>
  <c r="AF24" i="18"/>
  <c r="AA24" i="18"/>
  <c r="V24" i="18"/>
  <c r="W24" i="18" s="1"/>
  <c r="X24" i="18" s="1"/>
  <c r="Y24" i="18" s="1"/>
  <c r="Z24" i="18" s="1"/>
  <c r="Q24" i="18"/>
  <c r="K24" i="18"/>
  <c r="AK23" i="18"/>
  <c r="AF23" i="18"/>
  <c r="AA23" i="18"/>
  <c r="V23" i="18"/>
  <c r="Q23" i="18"/>
  <c r="K23" i="18"/>
  <c r="L23" i="18" s="1"/>
  <c r="M23" i="18" s="1"/>
  <c r="N23" i="18" s="1"/>
  <c r="O23" i="18" s="1"/>
  <c r="P23" i="18" s="1"/>
  <c r="AK22" i="18"/>
  <c r="AF22" i="18"/>
  <c r="AA22" i="18"/>
  <c r="AB22" i="18" s="1"/>
  <c r="AC22" i="18" s="1"/>
  <c r="AD22" i="18" s="1"/>
  <c r="AE22" i="18" s="1"/>
  <c r="V22" i="18"/>
  <c r="Q22" i="18"/>
  <c r="K22" i="18"/>
  <c r="L22" i="18" s="1"/>
  <c r="M22" i="18" s="1"/>
  <c r="N22" i="18" s="1"/>
  <c r="O22" i="18" s="1"/>
  <c r="P22" i="18" s="1"/>
  <c r="AK21" i="18"/>
  <c r="AF21" i="18"/>
  <c r="AA21" i="18"/>
  <c r="W21" i="18"/>
  <c r="X21" i="18" s="1"/>
  <c r="Y21" i="18" s="1"/>
  <c r="Z21" i="18" s="1"/>
  <c r="V21" i="18"/>
  <c r="Q21" i="18"/>
  <c r="K21" i="18"/>
  <c r="AK20" i="18"/>
  <c r="AF20" i="18"/>
  <c r="AG20" i="18" s="1"/>
  <c r="AH20" i="18" s="1"/>
  <c r="AI20" i="18" s="1"/>
  <c r="AJ20" i="18" s="1"/>
  <c r="AA20" i="18"/>
  <c r="V20" i="18"/>
  <c r="Q20" i="18"/>
  <c r="R20" i="18" s="1"/>
  <c r="S20" i="18" s="1"/>
  <c r="T20" i="18" s="1"/>
  <c r="U20" i="18" s="1"/>
  <c r="K20" i="18"/>
  <c r="L20" i="18" s="1"/>
  <c r="M20" i="18" s="1"/>
  <c r="N20" i="18" s="1"/>
  <c r="O20" i="18" s="1"/>
  <c r="P20" i="18" s="1"/>
  <c r="AK19" i="18"/>
  <c r="AF19" i="18"/>
  <c r="AG19" i="18" s="1"/>
  <c r="AH19" i="18" s="1"/>
  <c r="AI19" i="18" s="1"/>
  <c r="AJ19" i="18" s="1"/>
  <c r="AA19" i="18"/>
  <c r="AB19" i="18" s="1"/>
  <c r="AC19" i="18" s="1"/>
  <c r="AD19" i="18" s="1"/>
  <c r="AE19" i="18" s="1"/>
  <c r="V19" i="18"/>
  <c r="Q19" i="18"/>
  <c r="L19" i="18" s="1"/>
  <c r="M19" i="18" s="1"/>
  <c r="N19" i="18" s="1"/>
  <c r="O19" i="18" s="1"/>
  <c r="P19" i="18" s="1"/>
  <c r="K19" i="18"/>
  <c r="AK18" i="18"/>
  <c r="AF18" i="18"/>
  <c r="AG18" i="18" s="1"/>
  <c r="AH18" i="18" s="1"/>
  <c r="AI18" i="18" s="1"/>
  <c r="AJ18" i="18" s="1"/>
  <c r="AA18" i="18"/>
  <c r="V18" i="18"/>
  <c r="W18" i="18" s="1"/>
  <c r="X18" i="18" s="1"/>
  <c r="Y18" i="18" s="1"/>
  <c r="Z18" i="18" s="1"/>
  <c r="Q18" i="18"/>
  <c r="R18" i="18" s="1"/>
  <c r="S18" i="18" s="1"/>
  <c r="T18" i="18" s="1"/>
  <c r="U18" i="18" s="1"/>
  <c r="K18" i="18"/>
  <c r="L18" i="18" s="1"/>
  <c r="M18" i="18" s="1"/>
  <c r="N18" i="18" s="1"/>
  <c r="O18" i="18" s="1"/>
  <c r="P18" i="18" s="1"/>
  <c r="L17" i="18"/>
  <c r="M17" i="18" s="1"/>
  <c r="N17" i="18" s="1"/>
  <c r="O17" i="18" s="1"/>
  <c r="P17" i="18" s="1"/>
  <c r="Q17" i="18" s="1"/>
  <c r="R17" i="18" s="1"/>
  <c r="S17" i="18" s="1"/>
  <c r="T17" i="18" s="1"/>
  <c r="U17" i="18" s="1"/>
  <c r="V17" i="18" s="1"/>
  <c r="W17" i="18" s="1"/>
  <c r="X17" i="18" s="1"/>
  <c r="Y17" i="18" s="1"/>
  <c r="Z17" i="18" s="1"/>
  <c r="AA17" i="18" s="1"/>
  <c r="AB17" i="18" s="1"/>
  <c r="AC17" i="18" s="1"/>
  <c r="AD17" i="18" s="1"/>
  <c r="AE17" i="18" s="1"/>
  <c r="AF17" i="18" s="1"/>
  <c r="AG17" i="18" s="1"/>
  <c r="AH17" i="18" s="1"/>
  <c r="AI17" i="18" s="1"/>
  <c r="AJ17" i="18" s="1"/>
  <c r="AK17" i="18" s="1"/>
  <c r="AK14" i="18"/>
  <c r="AF14" i="18"/>
  <c r="AG14" i="18" s="1"/>
  <c r="AH14" i="18" s="1"/>
  <c r="AI14" i="18" s="1"/>
  <c r="AJ14" i="18" s="1"/>
  <c r="AA14" i="18"/>
  <c r="AB14" i="18" s="1"/>
  <c r="AC14" i="18" s="1"/>
  <c r="AD14" i="18" s="1"/>
  <c r="AE14" i="18" s="1"/>
  <c r="V14" i="18"/>
  <c r="Q14" i="18"/>
  <c r="K14" i="18"/>
  <c r="AK13" i="18"/>
  <c r="AF13" i="18"/>
  <c r="AA13" i="18"/>
  <c r="V13" i="18"/>
  <c r="W13" i="18" s="1"/>
  <c r="X13" i="18" s="1"/>
  <c r="Y13" i="18" s="1"/>
  <c r="Z13" i="18" s="1"/>
  <c r="Q13" i="18"/>
  <c r="R13" i="18" s="1"/>
  <c r="S13" i="18" s="1"/>
  <c r="T13" i="18" s="1"/>
  <c r="U13" i="18" s="1"/>
  <c r="K13" i="18"/>
  <c r="AK12" i="18"/>
  <c r="AF12" i="18"/>
  <c r="AG12" i="18" s="1"/>
  <c r="AH12" i="18" s="1"/>
  <c r="AI12" i="18" s="1"/>
  <c r="AJ12" i="18" s="1"/>
  <c r="AA12" i="18"/>
  <c r="V12" i="18"/>
  <c r="W12" i="18" s="1"/>
  <c r="X12" i="18" s="1"/>
  <c r="Y12" i="18" s="1"/>
  <c r="Z12" i="18" s="1"/>
  <c r="Q12" i="18"/>
  <c r="K12" i="18"/>
  <c r="AK11" i="18"/>
  <c r="AF11" i="18"/>
  <c r="AA11" i="18"/>
  <c r="AB11" i="18" s="1"/>
  <c r="AC11" i="18" s="1"/>
  <c r="AD11" i="18" s="1"/>
  <c r="AE11" i="18" s="1"/>
  <c r="V11" i="18"/>
  <c r="W11" i="18" s="1"/>
  <c r="X11" i="18" s="1"/>
  <c r="Y11" i="18" s="1"/>
  <c r="Z11" i="18" s="1"/>
  <c r="Q11" i="18"/>
  <c r="K11" i="18"/>
  <c r="L11" i="18" s="1"/>
  <c r="M11" i="18" s="1"/>
  <c r="N11" i="18" s="1"/>
  <c r="O11" i="18" s="1"/>
  <c r="P11" i="18" s="1"/>
  <c r="AK10" i="18"/>
  <c r="AF10" i="18"/>
  <c r="AG10" i="18" s="1"/>
  <c r="AH10" i="18" s="1"/>
  <c r="AI10" i="18" s="1"/>
  <c r="AJ10" i="18" s="1"/>
  <c r="AA10" i="18"/>
  <c r="V10" i="18"/>
  <c r="Q10" i="18"/>
  <c r="K10" i="18"/>
  <c r="L10" i="18" s="1"/>
  <c r="M10" i="18" s="1"/>
  <c r="N10" i="18" s="1"/>
  <c r="O10" i="18" s="1"/>
  <c r="P10" i="18" s="1"/>
  <c r="AK9" i="18"/>
  <c r="AF9" i="18"/>
  <c r="AA9" i="18"/>
  <c r="V9" i="18"/>
  <c r="W9" i="18" s="1"/>
  <c r="X9" i="18" s="1"/>
  <c r="Y9" i="18" s="1"/>
  <c r="Z9" i="18" s="1"/>
  <c r="Q9" i="18"/>
  <c r="K9" i="18"/>
  <c r="AK8" i="18"/>
  <c r="AF8" i="18"/>
  <c r="AG8" i="18" s="1"/>
  <c r="AH8" i="18" s="1"/>
  <c r="AI8" i="18" s="1"/>
  <c r="AJ8" i="18" s="1"/>
  <c r="AA8" i="18"/>
  <c r="V8" i="18"/>
  <c r="Q8" i="18"/>
  <c r="K8" i="18"/>
  <c r="L7" i="18"/>
  <c r="M7" i="18" s="1"/>
  <c r="N7" i="18" s="1"/>
  <c r="O7" i="18" s="1"/>
  <c r="P7" i="18" s="1"/>
  <c r="Q7" i="18" s="1"/>
  <c r="R7" i="18" s="1"/>
  <c r="S7" i="18" s="1"/>
  <c r="T7" i="18" s="1"/>
  <c r="U7" i="18" s="1"/>
  <c r="V7" i="18" s="1"/>
  <c r="W7" i="18" s="1"/>
  <c r="X7" i="18" s="1"/>
  <c r="Y7" i="18" s="1"/>
  <c r="Z7" i="18" s="1"/>
  <c r="AA7" i="18" s="1"/>
  <c r="AB7" i="18" s="1"/>
  <c r="AC7" i="18" s="1"/>
  <c r="AD7" i="18" s="1"/>
  <c r="AE7" i="18" s="1"/>
  <c r="AF7" i="18" s="1"/>
  <c r="AG7" i="18" s="1"/>
  <c r="AH7" i="18" s="1"/>
  <c r="AI7" i="18" s="1"/>
  <c r="AJ7" i="18" s="1"/>
  <c r="AK7" i="18" s="1"/>
  <c r="AK13" i="17"/>
  <c r="AF13" i="17"/>
  <c r="AA13" i="17"/>
  <c r="V13" i="17"/>
  <c r="Q13" i="17"/>
  <c r="K13" i="17"/>
  <c r="AK12" i="17"/>
  <c r="AF12" i="17"/>
  <c r="AA12" i="17"/>
  <c r="V12" i="17"/>
  <c r="W12" i="17" s="1"/>
  <c r="X12" i="17" s="1"/>
  <c r="Y12" i="17" s="1"/>
  <c r="Z12" i="17" s="1"/>
  <c r="Q12" i="17"/>
  <c r="K12" i="17"/>
  <c r="AK11" i="17"/>
  <c r="AF11" i="17"/>
  <c r="AA11" i="17"/>
  <c r="V11" i="17"/>
  <c r="Q11" i="17"/>
  <c r="K11" i="17"/>
  <c r="AK10" i="17"/>
  <c r="AF10" i="17"/>
  <c r="AA10" i="17"/>
  <c r="AB10" i="17" s="1"/>
  <c r="AC10" i="17" s="1"/>
  <c r="AD10" i="17" s="1"/>
  <c r="AE10" i="17" s="1"/>
  <c r="V10" i="17"/>
  <c r="W10" i="17" s="1"/>
  <c r="X10" i="17" s="1"/>
  <c r="Y10" i="17" s="1"/>
  <c r="Z10" i="17" s="1"/>
  <c r="Q10" i="17"/>
  <c r="R10" i="17" s="1"/>
  <c r="S10" i="17" s="1"/>
  <c r="T10" i="17" s="1"/>
  <c r="U10" i="17" s="1"/>
  <c r="K10" i="17"/>
  <c r="L10" i="17" s="1"/>
  <c r="M10" i="17" s="1"/>
  <c r="N10" i="17" s="1"/>
  <c r="O10" i="17" s="1"/>
  <c r="P10" i="17" s="1"/>
  <c r="AK9" i="17"/>
  <c r="AF9" i="17"/>
  <c r="AA9" i="17"/>
  <c r="V9" i="17"/>
  <c r="W9" i="17" s="1"/>
  <c r="X9" i="17" s="1"/>
  <c r="Y9" i="17" s="1"/>
  <c r="Z9" i="17" s="1"/>
  <c r="Q9" i="17"/>
  <c r="K9" i="17"/>
  <c r="AK8" i="17"/>
  <c r="AF8" i="17"/>
  <c r="AA8" i="17"/>
  <c r="V8" i="17"/>
  <c r="Q8" i="17"/>
  <c r="K8" i="17"/>
  <c r="L7" i="17"/>
  <c r="M7" i="17" s="1"/>
  <c r="N7" i="17" s="1"/>
  <c r="O7" i="17" s="1"/>
  <c r="P7" i="17" s="1"/>
  <c r="Q7" i="17" s="1"/>
  <c r="R7" i="17" s="1"/>
  <c r="S7" i="17" s="1"/>
  <c r="T7" i="17" s="1"/>
  <c r="U7" i="17" s="1"/>
  <c r="V7" i="17" s="1"/>
  <c r="W7" i="17" s="1"/>
  <c r="X7" i="17" s="1"/>
  <c r="Y7" i="17" s="1"/>
  <c r="Z7" i="17" s="1"/>
  <c r="AA7" i="17" s="1"/>
  <c r="AB7" i="17" s="1"/>
  <c r="AC7" i="17" s="1"/>
  <c r="AD7" i="17" s="1"/>
  <c r="AE7" i="17" s="1"/>
  <c r="AF7" i="17" s="1"/>
  <c r="AG7" i="17" s="1"/>
  <c r="AH7" i="17" s="1"/>
  <c r="AI7" i="17" s="1"/>
  <c r="AJ7" i="17" s="1"/>
  <c r="AK7" i="17" s="1"/>
  <c r="AK19" i="16"/>
  <c r="AF19" i="16"/>
  <c r="AG19" i="16" s="1"/>
  <c r="AH19" i="16" s="1"/>
  <c r="AI19" i="16" s="1"/>
  <c r="AJ19" i="16" s="1"/>
  <c r="AB19" i="16"/>
  <c r="AC19" i="16" s="1"/>
  <c r="AD19" i="16" s="1"/>
  <c r="AE19" i="16" s="1"/>
  <c r="AA19" i="16"/>
  <c r="X19" i="16"/>
  <c r="Y19" i="16" s="1"/>
  <c r="Z19" i="16" s="1"/>
  <c r="W19" i="16"/>
  <c r="V19" i="16"/>
  <c r="R19" i="16" s="1"/>
  <c r="S19" i="16" s="1"/>
  <c r="T19" i="16" s="1"/>
  <c r="U19" i="16" s="1"/>
  <c r="Q19" i="16"/>
  <c r="L19" i="16"/>
  <c r="M19" i="16" s="1"/>
  <c r="N19" i="16" s="1"/>
  <c r="O19" i="16" s="1"/>
  <c r="P19" i="16" s="1"/>
  <c r="K19" i="16"/>
  <c r="AK18" i="16"/>
  <c r="AF18" i="16"/>
  <c r="AG18" i="16" s="1"/>
  <c r="AH18" i="16" s="1"/>
  <c r="AI18" i="16" s="1"/>
  <c r="AJ18" i="16" s="1"/>
  <c r="AA18" i="16"/>
  <c r="AB18" i="16" s="1"/>
  <c r="AC18" i="16" s="1"/>
  <c r="AD18" i="16" s="1"/>
  <c r="AE18" i="16" s="1"/>
  <c r="W18" i="16"/>
  <c r="X18" i="16" s="1"/>
  <c r="Y18" i="16" s="1"/>
  <c r="Z18" i="16" s="1"/>
  <c r="V18" i="16"/>
  <c r="Q18" i="16"/>
  <c r="R18" i="16" s="1"/>
  <c r="S18" i="16" s="1"/>
  <c r="T18" i="16" s="1"/>
  <c r="U18" i="16" s="1"/>
  <c r="K18" i="16"/>
  <c r="L18" i="16" s="1"/>
  <c r="M18" i="16" s="1"/>
  <c r="N18" i="16" s="1"/>
  <c r="O18" i="16" s="1"/>
  <c r="P18" i="16" s="1"/>
  <c r="AK17" i="16"/>
  <c r="AF17" i="16"/>
  <c r="AG17" i="16" s="1"/>
  <c r="AH17" i="16" s="1"/>
  <c r="AI17" i="16" s="1"/>
  <c r="AJ17" i="16" s="1"/>
  <c r="AA17" i="16"/>
  <c r="AB17" i="16" s="1"/>
  <c r="AC17" i="16" s="1"/>
  <c r="AD17" i="16" s="1"/>
  <c r="AE17" i="16" s="1"/>
  <c r="V17" i="16"/>
  <c r="W17" i="16" s="1"/>
  <c r="X17" i="16" s="1"/>
  <c r="Y17" i="16" s="1"/>
  <c r="Z17" i="16" s="1"/>
  <c r="Q17" i="16"/>
  <c r="R17" i="16" s="1"/>
  <c r="S17" i="16" s="1"/>
  <c r="T17" i="16" s="1"/>
  <c r="U17" i="16" s="1"/>
  <c r="K17" i="16"/>
  <c r="L17" i="16" s="1"/>
  <c r="M17" i="16" s="1"/>
  <c r="N17" i="16" s="1"/>
  <c r="O17" i="16" s="1"/>
  <c r="P17" i="16" s="1"/>
  <c r="AK16" i="16"/>
  <c r="AF16" i="16"/>
  <c r="AG16" i="16" s="1"/>
  <c r="AH16" i="16" s="1"/>
  <c r="AI16" i="16" s="1"/>
  <c r="AJ16" i="16" s="1"/>
  <c r="AA16" i="16"/>
  <c r="AB16" i="16" s="1"/>
  <c r="AC16" i="16" s="1"/>
  <c r="AD16" i="16" s="1"/>
  <c r="AE16" i="16" s="1"/>
  <c r="V16" i="16"/>
  <c r="W16" i="16" s="1"/>
  <c r="X16" i="16" s="1"/>
  <c r="Y16" i="16" s="1"/>
  <c r="Z16" i="16" s="1"/>
  <c r="Q16" i="16"/>
  <c r="R16" i="16" s="1"/>
  <c r="S16" i="16" s="1"/>
  <c r="T16" i="16" s="1"/>
  <c r="U16" i="16" s="1"/>
  <c r="K16" i="16"/>
  <c r="L16" i="16" s="1"/>
  <c r="M16" i="16" s="1"/>
  <c r="N16" i="16" s="1"/>
  <c r="O16" i="16" s="1"/>
  <c r="P16" i="16" s="1"/>
  <c r="AK15" i="16"/>
  <c r="AG15" i="16"/>
  <c r="AH15" i="16" s="1"/>
  <c r="AI15" i="16" s="1"/>
  <c r="AJ15" i="16" s="1"/>
  <c r="AF15" i="16"/>
  <c r="AA15" i="16"/>
  <c r="AB15" i="16" s="1"/>
  <c r="AC15" i="16" s="1"/>
  <c r="AD15" i="16" s="1"/>
  <c r="AE15" i="16" s="1"/>
  <c r="V15" i="16"/>
  <c r="W15" i="16" s="1"/>
  <c r="X15" i="16" s="1"/>
  <c r="Y15" i="16" s="1"/>
  <c r="Z15" i="16" s="1"/>
  <c r="Q15" i="16"/>
  <c r="R15" i="16" s="1"/>
  <c r="S15" i="16" s="1"/>
  <c r="T15" i="16" s="1"/>
  <c r="U15" i="16" s="1"/>
  <c r="K15" i="16"/>
  <c r="L15" i="16" s="1"/>
  <c r="M15" i="16" s="1"/>
  <c r="N15" i="16" s="1"/>
  <c r="O15" i="16" s="1"/>
  <c r="P15" i="16" s="1"/>
  <c r="AK14" i="16"/>
  <c r="AG14" i="16"/>
  <c r="AH14" i="16" s="1"/>
  <c r="AI14" i="16" s="1"/>
  <c r="AJ14" i="16" s="1"/>
  <c r="AF14" i="16"/>
  <c r="AB14" i="16"/>
  <c r="AC14" i="16" s="1"/>
  <c r="AD14" i="16" s="1"/>
  <c r="AE14" i="16" s="1"/>
  <c r="AA14" i="16"/>
  <c r="V14" i="16"/>
  <c r="W14" i="16" s="1"/>
  <c r="X14" i="16" s="1"/>
  <c r="Y14" i="16" s="1"/>
  <c r="Z14" i="16" s="1"/>
  <c r="Q14" i="16"/>
  <c r="R14" i="16" s="1"/>
  <c r="S14" i="16" s="1"/>
  <c r="T14" i="16" s="1"/>
  <c r="U14" i="16" s="1"/>
  <c r="L14" i="16"/>
  <c r="M14" i="16" s="1"/>
  <c r="N14" i="16" s="1"/>
  <c r="O14" i="16" s="1"/>
  <c r="P14" i="16" s="1"/>
  <c r="K14" i="16"/>
  <c r="AK13" i="16"/>
  <c r="AF13" i="16"/>
  <c r="AG13" i="16" s="1"/>
  <c r="AH13" i="16" s="1"/>
  <c r="AI13" i="16" s="1"/>
  <c r="AJ13" i="16" s="1"/>
  <c r="AB13" i="16"/>
  <c r="AC13" i="16" s="1"/>
  <c r="AD13" i="16" s="1"/>
  <c r="AE13" i="16" s="1"/>
  <c r="AA13" i="16"/>
  <c r="W13" i="16"/>
  <c r="X13" i="16" s="1"/>
  <c r="Y13" i="16" s="1"/>
  <c r="Z13" i="16" s="1"/>
  <c r="V13" i="16"/>
  <c r="Q13" i="16"/>
  <c r="R13" i="16" s="1"/>
  <c r="S13" i="16" s="1"/>
  <c r="T13" i="16" s="1"/>
  <c r="U13" i="16" s="1"/>
  <c r="L13" i="16"/>
  <c r="M13" i="16" s="1"/>
  <c r="N13" i="16" s="1"/>
  <c r="O13" i="16" s="1"/>
  <c r="P13" i="16" s="1"/>
  <c r="K13" i="16"/>
  <c r="AK12" i="16"/>
  <c r="AF12" i="16"/>
  <c r="AG12" i="16" s="1"/>
  <c r="AH12" i="16" s="1"/>
  <c r="AI12" i="16" s="1"/>
  <c r="AJ12" i="16" s="1"/>
  <c r="AA12" i="16"/>
  <c r="AB12" i="16" s="1"/>
  <c r="AC12" i="16" s="1"/>
  <c r="AD12" i="16" s="1"/>
  <c r="AE12" i="16" s="1"/>
  <c r="W12" i="16"/>
  <c r="X12" i="16" s="1"/>
  <c r="Y12" i="16" s="1"/>
  <c r="Z12" i="16" s="1"/>
  <c r="V12" i="16"/>
  <c r="R12" i="16"/>
  <c r="S12" i="16" s="1"/>
  <c r="T12" i="16" s="1"/>
  <c r="U12" i="16" s="1"/>
  <c r="Q12" i="16"/>
  <c r="K12" i="16"/>
  <c r="L12" i="16" s="1"/>
  <c r="M12" i="16" s="1"/>
  <c r="N12" i="16" s="1"/>
  <c r="O12" i="16" s="1"/>
  <c r="P12" i="16" s="1"/>
  <c r="AK11" i="16"/>
  <c r="AF11" i="16"/>
  <c r="AG11" i="16" s="1"/>
  <c r="AH11" i="16" s="1"/>
  <c r="AI11" i="16" s="1"/>
  <c r="AJ11" i="16" s="1"/>
  <c r="AA11" i="16"/>
  <c r="AB11" i="16" s="1"/>
  <c r="AC11" i="16" s="1"/>
  <c r="AD11" i="16" s="1"/>
  <c r="AE11" i="16" s="1"/>
  <c r="V11" i="16"/>
  <c r="W11" i="16" s="1"/>
  <c r="X11" i="16" s="1"/>
  <c r="Y11" i="16" s="1"/>
  <c r="Z11" i="16" s="1"/>
  <c r="R11" i="16"/>
  <c r="S11" i="16" s="1"/>
  <c r="T11" i="16" s="1"/>
  <c r="U11" i="16" s="1"/>
  <c r="Q11" i="16"/>
  <c r="K11" i="16"/>
  <c r="L11" i="16" s="1"/>
  <c r="M11" i="16" s="1"/>
  <c r="N11" i="16" s="1"/>
  <c r="O11" i="16" s="1"/>
  <c r="P11" i="16" s="1"/>
  <c r="AK10" i="16"/>
  <c r="AF10" i="16"/>
  <c r="AG10" i="16" s="1"/>
  <c r="AH10" i="16" s="1"/>
  <c r="AI10" i="16" s="1"/>
  <c r="AJ10" i="16" s="1"/>
  <c r="AA10" i="16"/>
  <c r="AB10" i="16" s="1"/>
  <c r="AC10" i="16" s="1"/>
  <c r="AD10" i="16" s="1"/>
  <c r="AE10" i="16" s="1"/>
  <c r="V10" i="16"/>
  <c r="W10" i="16" s="1"/>
  <c r="X10" i="16" s="1"/>
  <c r="Y10" i="16" s="1"/>
  <c r="Z10" i="16" s="1"/>
  <c r="Q10" i="16"/>
  <c r="R10" i="16" s="1"/>
  <c r="S10" i="16" s="1"/>
  <c r="T10" i="16" s="1"/>
  <c r="U10" i="16" s="1"/>
  <c r="K10" i="16"/>
  <c r="L10" i="16" s="1"/>
  <c r="M10" i="16" s="1"/>
  <c r="N10" i="16" s="1"/>
  <c r="O10" i="16" s="1"/>
  <c r="P10" i="16" s="1"/>
  <c r="AK9" i="16"/>
  <c r="AG9" i="16" s="1"/>
  <c r="AH9" i="16" s="1"/>
  <c r="AI9" i="16" s="1"/>
  <c r="AJ9" i="16" s="1"/>
  <c r="AF9" i="16"/>
  <c r="AA9" i="16"/>
  <c r="AB9" i="16" s="1"/>
  <c r="AC9" i="16" s="1"/>
  <c r="AD9" i="16" s="1"/>
  <c r="AE9" i="16" s="1"/>
  <c r="V9" i="16"/>
  <c r="W9" i="16" s="1"/>
  <c r="X9" i="16" s="1"/>
  <c r="Y9" i="16" s="1"/>
  <c r="Z9" i="16" s="1"/>
  <c r="Q9" i="16"/>
  <c r="R9" i="16" s="1"/>
  <c r="S9" i="16" s="1"/>
  <c r="T9" i="16" s="1"/>
  <c r="U9" i="16" s="1"/>
  <c r="K9" i="16"/>
  <c r="L9" i="16" s="1"/>
  <c r="M9" i="16" s="1"/>
  <c r="N9" i="16" s="1"/>
  <c r="O9" i="16" s="1"/>
  <c r="P9" i="16" s="1"/>
  <c r="AK8" i="16"/>
  <c r="AF8" i="16"/>
  <c r="AB8" i="16" s="1"/>
  <c r="AC8" i="16" s="1"/>
  <c r="AD8" i="16" s="1"/>
  <c r="AE8" i="16" s="1"/>
  <c r="AA8" i="16"/>
  <c r="V8" i="16"/>
  <c r="W8" i="16" s="1"/>
  <c r="X8" i="16" s="1"/>
  <c r="Y8" i="16" s="1"/>
  <c r="Z8" i="16" s="1"/>
  <c r="Q8" i="16"/>
  <c r="L8" i="16" s="1"/>
  <c r="M8" i="16" s="1"/>
  <c r="N8" i="16" s="1"/>
  <c r="O8" i="16" s="1"/>
  <c r="P8" i="16" s="1"/>
  <c r="K8" i="16"/>
  <c r="L7" i="16"/>
  <c r="M7" i="16" s="1"/>
  <c r="N7" i="16" s="1"/>
  <c r="O7" i="16" s="1"/>
  <c r="P7" i="16" s="1"/>
  <c r="Q7" i="16" s="1"/>
  <c r="R7" i="16" s="1"/>
  <c r="S7" i="16" s="1"/>
  <c r="T7" i="16" s="1"/>
  <c r="U7" i="16" s="1"/>
  <c r="V7" i="16" s="1"/>
  <c r="W7" i="16" s="1"/>
  <c r="X7" i="16" s="1"/>
  <c r="Y7" i="16" s="1"/>
  <c r="Z7" i="16" s="1"/>
  <c r="AA7" i="16" s="1"/>
  <c r="AB7" i="16" s="1"/>
  <c r="AC7" i="16" s="1"/>
  <c r="AD7" i="16" s="1"/>
  <c r="AE7" i="16" s="1"/>
  <c r="AF7" i="16" s="1"/>
  <c r="AG7" i="16" s="1"/>
  <c r="AH7" i="16" s="1"/>
  <c r="AI7" i="16" s="1"/>
  <c r="AJ7" i="16" s="1"/>
  <c r="AK7" i="16" s="1"/>
  <c r="X25" i="20" l="1"/>
  <c r="Y25" i="20" s="1"/>
  <c r="Z25" i="20" s="1"/>
  <c r="AA25" i="20" s="1"/>
  <c r="R19" i="18"/>
  <c r="S19" i="18" s="1"/>
  <c r="T19" i="18" s="1"/>
  <c r="U19" i="18" s="1"/>
  <c r="AB24" i="18"/>
  <c r="AC24" i="18" s="1"/>
  <c r="AD24" i="18" s="1"/>
  <c r="AE24" i="18" s="1"/>
  <c r="AG22" i="18"/>
  <c r="AH22" i="18" s="1"/>
  <c r="AI22" i="18" s="1"/>
  <c r="AJ22" i="18" s="1"/>
  <c r="R11" i="18"/>
  <c r="S11" i="18" s="1"/>
  <c r="T11" i="18" s="1"/>
  <c r="U11" i="18" s="1"/>
  <c r="R25" i="18"/>
  <c r="S25" i="18" s="1"/>
  <c r="T25" i="18" s="1"/>
  <c r="U25" i="18" s="1"/>
  <c r="W10" i="18"/>
  <c r="X10" i="18" s="1"/>
  <c r="Y10" i="18" s="1"/>
  <c r="Z10" i="18" s="1"/>
  <c r="L13" i="18"/>
  <c r="M13" i="18" s="1"/>
  <c r="N13" i="18" s="1"/>
  <c r="O13" i="18" s="1"/>
  <c r="P13" i="18" s="1"/>
  <c r="AB18" i="18"/>
  <c r="AC18" i="18" s="1"/>
  <c r="AD18" i="18" s="1"/>
  <c r="AE18" i="18" s="1"/>
  <c r="L21" i="18"/>
  <c r="M21" i="18" s="1"/>
  <c r="N21" i="18" s="1"/>
  <c r="O21" i="18" s="1"/>
  <c r="P21" i="18" s="1"/>
  <c r="AB13" i="18"/>
  <c r="AC13" i="18" s="1"/>
  <c r="AD13" i="18" s="1"/>
  <c r="AE13" i="18" s="1"/>
  <c r="AG23" i="18"/>
  <c r="AH23" i="18" s="1"/>
  <c r="AI23" i="18" s="1"/>
  <c r="AJ23" i="18" s="1"/>
  <c r="L9" i="18"/>
  <c r="M9" i="18" s="1"/>
  <c r="N9" i="18" s="1"/>
  <c r="O9" i="18" s="1"/>
  <c r="P9" i="18" s="1"/>
  <c r="AB21" i="18"/>
  <c r="AC21" i="18" s="1"/>
  <c r="AD21" i="18" s="1"/>
  <c r="AE21" i="18" s="1"/>
  <c r="W25" i="18"/>
  <c r="X25" i="18" s="1"/>
  <c r="Y25" i="18" s="1"/>
  <c r="Z25" i="18" s="1"/>
  <c r="AG21" i="18"/>
  <c r="AH21" i="18" s="1"/>
  <c r="AI21" i="18" s="1"/>
  <c r="AJ21" i="18" s="1"/>
  <c r="AB27" i="18"/>
  <c r="AC27" i="18" s="1"/>
  <c r="AD27" i="18" s="1"/>
  <c r="AE27" i="18" s="1"/>
  <c r="AG25" i="18"/>
  <c r="AH25" i="18" s="1"/>
  <c r="AI25" i="18" s="1"/>
  <c r="AJ25" i="18" s="1"/>
  <c r="AB9" i="18"/>
  <c r="AC9" i="18" s="1"/>
  <c r="AD9" i="18" s="1"/>
  <c r="AE9" i="18" s="1"/>
  <c r="W14" i="18"/>
  <c r="X14" i="18" s="1"/>
  <c r="Y14" i="18" s="1"/>
  <c r="Z14" i="18" s="1"/>
  <c r="AB10" i="18"/>
  <c r="AC10" i="18" s="1"/>
  <c r="AD10" i="18" s="1"/>
  <c r="AE10" i="18" s="1"/>
  <c r="R23" i="18"/>
  <c r="S23" i="18" s="1"/>
  <c r="T23" i="18" s="1"/>
  <c r="U23" i="18" s="1"/>
  <c r="W29" i="18"/>
  <c r="X29" i="18" s="1"/>
  <c r="Y29" i="18" s="1"/>
  <c r="Z29" i="18" s="1"/>
  <c r="W20" i="18"/>
  <c r="X20" i="18" s="1"/>
  <c r="Y20" i="18" s="1"/>
  <c r="Z20" i="18" s="1"/>
  <c r="AG9" i="18"/>
  <c r="AH9" i="18" s="1"/>
  <c r="AI9" i="18" s="1"/>
  <c r="AJ9" i="18" s="1"/>
  <c r="R26" i="18"/>
  <c r="S26" i="18" s="1"/>
  <c r="T26" i="18" s="1"/>
  <c r="U26" i="18" s="1"/>
  <c r="L24" i="18"/>
  <c r="M24" i="18" s="1"/>
  <c r="N24" i="18" s="1"/>
  <c r="O24" i="18" s="1"/>
  <c r="P24" i="18" s="1"/>
  <c r="L8" i="18"/>
  <c r="M8" i="18" s="1"/>
  <c r="N8" i="18" s="1"/>
  <c r="O8" i="18" s="1"/>
  <c r="P8" i="18" s="1"/>
  <c r="L12" i="18"/>
  <c r="M12" i="18" s="1"/>
  <c r="N12" i="18" s="1"/>
  <c r="O12" i="18" s="1"/>
  <c r="P12" i="18" s="1"/>
  <c r="AG13" i="18"/>
  <c r="AH13" i="18" s="1"/>
  <c r="AI13" i="18" s="1"/>
  <c r="AJ13" i="18" s="1"/>
  <c r="R22" i="18"/>
  <c r="S22" i="18" s="1"/>
  <c r="T22" i="18" s="1"/>
  <c r="U22" i="18" s="1"/>
  <c r="AB28" i="18"/>
  <c r="AC28" i="18" s="1"/>
  <c r="AD28" i="18" s="1"/>
  <c r="AE28" i="18" s="1"/>
  <c r="R8" i="18"/>
  <c r="S8" i="18" s="1"/>
  <c r="T8" i="18" s="1"/>
  <c r="U8" i="18" s="1"/>
  <c r="R12" i="18"/>
  <c r="S12" i="18" s="1"/>
  <c r="T12" i="18" s="1"/>
  <c r="U12" i="18" s="1"/>
  <c r="W23" i="18"/>
  <c r="X23" i="18" s="1"/>
  <c r="Y23" i="18" s="1"/>
  <c r="Z23" i="18" s="1"/>
  <c r="W8" i="18"/>
  <c r="X8" i="18" s="1"/>
  <c r="Y8" i="18" s="1"/>
  <c r="Z8" i="18" s="1"/>
  <c r="R14" i="18"/>
  <c r="S14" i="18" s="1"/>
  <c r="T14" i="18" s="1"/>
  <c r="U14" i="18" s="1"/>
  <c r="AB26" i="18"/>
  <c r="AC26" i="18" s="1"/>
  <c r="AD26" i="18" s="1"/>
  <c r="AE26" i="18" s="1"/>
  <c r="AG28" i="18"/>
  <c r="AH28" i="18" s="1"/>
  <c r="AI28" i="18" s="1"/>
  <c r="AJ28" i="18" s="1"/>
  <c r="AB8" i="18"/>
  <c r="AC8" i="18" s="1"/>
  <c r="AD8" i="18" s="1"/>
  <c r="AE8" i="18" s="1"/>
  <c r="R10" i="18"/>
  <c r="S10" i="18" s="1"/>
  <c r="T10" i="18" s="1"/>
  <c r="U10" i="18" s="1"/>
  <c r="AB12" i="18"/>
  <c r="AC12" i="18" s="1"/>
  <c r="AD12" i="18" s="1"/>
  <c r="AE12" i="18" s="1"/>
  <c r="L25" i="18"/>
  <c r="M25" i="18" s="1"/>
  <c r="N25" i="18" s="1"/>
  <c r="O25" i="18" s="1"/>
  <c r="P25" i="18" s="1"/>
  <c r="AG26" i="18"/>
  <c r="AH26" i="18" s="1"/>
  <c r="AI26" i="18" s="1"/>
  <c r="AJ26" i="18" s="1"/>
  <c r="L29" i="18"/>
  <c r="M29" i="18" s="1"/>
  <c r="N29" i="18" s="1"/>
  <c r="O29" i="18" s="1"/>
  <c r="P29" i="18" s="1"/>
  <c r="W8" i="17"/>
  <c r="X8" i="17" s="1"/>
  <c r="Y8" i="17" s="1"/>
  <c r="Z8" i="17" s="1"/>
  <c r="L11" i="17"/>
  <c r="M11" i="17" s="1"/>
  <c r="N11" i="17" s="1"/>
  <c r="O11" i="17" s="1"/>
  <c r="P11" i="17" s="1"/>
  <c r="AB13" i="17"/>
  <c r="AC13" i="17" s="1"/>
  <c r="AD13" i="17" s="1"/>
  <c r="AE13" i="17" s="1"/>
  <c r="L9" i="17"/>
  <c r="M9" i="17" s="1"/>
  <c r="N9" i="17" s="1"/>
  <c r="O9" i="17" s="1"/>
  <c r="P9" i="17" s="1"/>
  <c r="R9" i="17"/>
  <c r="S9" i="17" s="1"/>
  <c r="T9" i="17" s="1"/>
  <c r="U9" i="17" s="1"/>
  <c r="L13" i="17"/>
  <c r="M13" i="17" s="1"/>
  <c r="N13" i="17" s="1"/>
  <c r="O13" i="17" s="1"/>
  <c r="P13" i="17" s="1"/>
  <c r="AG10" i="17"/>
  <c r="AH10" i="17" s="1"/>
  <c r="AI10" i="17" s="1"/>
  <c r="AJ10" i="17" s="1"/>
  <c r="R11" i="17"/>
  <c r="S11" i="17" s="1"/>
  <c r="T11" i="17" s="1"/>
  <c r="U11" i="17" s="1"/>
  <c r="W11" i="17"/>
  <c r="X11" i="17" s="1"/>
  <c r="Y11" i="17" s="1"/>
  <c r="Z11" i="17" s="1"/>
  <c r="L8" i="17"/>
  <c r="M8" i="17" s="1"/>
  <c r="N8" i="17" s="1"/>
  <c r="O8" i="17" s="1"/>
  <c r="P8" i="17" s="1"/>
  <c r="AG13" i="17"/>
  <c r="AH13" i="17" s="1"/>
  <c r="AI13" i="17" s="1"/>
  <c r="AJ13" i="17" s="1"/>
  <c r="AG11" i="17"/>
  <c r="AH11" i="17" s="1"/>
  <c r="AI11" i="17" s="1"/>
  <c r="AJ11" i="17" s="1"/>
  <c r="AB12" i="17"/>
  <c r="AC12" i="17" s="1"/>
  <c r="AD12" i="17" s="1"/>
  <c r="AE12" i="17" s="1"/>
  <c r="R8" i="17"/>
  <c r="S8" i="17" s="1"/>
  <c r="T8" i="17" s="1"/>
  <c r="U8" i="17" s="1"/>
  <c r="AG9" i="17"/>
  <c r="AH9" i="17" s="1"/>
  <c r="AI9" i="17" s="1"/>
  <c r="AJ9" i="17" s="1"/>
  <c r="AB8" i="17"/>
  <c r="AC8" i="17" s="1"/>
  <c r="AD8" i="17" s="1"/>
  <c r="AE8" i="17" s="1"/>
  <c r="R13" i="17"/>
  <c r="S13" i="17" s="1"/>
  <c r="T13" i="17" s="1"/>
  <c r="U13" i="17" s="1"/>
  <c r="AB9" i="17"/>
  <c r="AC9" i="17" s="1"/>
  <c r="AD9" i="17" s="1"/>
  <c r="AE9" i="17" s="1"/>
  <c r="L12" i="17"/>
  <c r="M12" i="17" s="1"/>
  <c r="N12" i="17" s="1"/>
  <c r="O12" i="17" s="1"/>
  <c r="P12" i="17" s="1"/>
  <c r="S7" i="20"/>
  <c r="T7" i="20" s="1"/>
  <c r="U7" i="20" s="1"/>
  <c r="V7" i="20" s="1"/>
  <c r="S8" i="20"/>
  <c r="T8" i="20" s="1"/>
  <c r="U8" i="20" s="1"/>
  <c r="V8" i="20" s="1"/>
  <c r="S21" i="20"/>
  <c r="T21" i="20" s="1"/>
  <c r="U21" i="20" s="1"/>
  <c r="V21" i="20" s="1"/>
  <c r="AH29" i="20"/>
  <c r="AI29" i="20" s="1"/>
  <c r="AJ29" i="20" s="1"/>
  <c r="AK29" i="20" s="1"/>
  <c r="AC29" i="20"/>
  <c r="AD29" i="20" s="1"/>
  <c r="AE29" i="20" s="1"/>
  <c r="AF29" i="20" s="1"/>
  <c r="M25" i="20"/>
  <c r="N25" i="20" s="1"/>
  <c r="O25" i="20" s="1"/>
  <c r="P25" i="20" s="1"/>
  <c r="Q25" i="20" s="1"/>
  <c r="S25" i="20"/>
  <c r="T25" i="20" s="1"/>
  <c r="U25" i="20" s="1"/>
  <c r="V25" i="20" s="1"/>
  <c r="M18" i="20"/>
  <c r="N18" i="20" s="1"/>
  <c r="O18" i="20" s="1"/>
  <c r="P18" i="20" s="1"/>
  <c r="Q18" i="20" s="1"/>
  <c r="AC10" i="20"/>
  <c r="AD10" i="20" s="1"/>
  <c r="AE10" i="20" s="1"/>
  <c r="AF10" i="20" s="1"/>
  <c r="S19" i="20"/>
  <c r="T19" i="20" s="1"/>
  <c r="U19" i="20" s="1"/>
  <c r="V19" i="20" s="1"/>
  <c r="AC28" i="20"/>
  <c r="AD28" i="20" s="1"/>
  <c r="AE28" i="20" s="1"/>
  <c r="AF28" i="20" s="1"/>
  <c r="X28" i="20"/>
  <c r="Y28" i="20" s="1"/>
  <c r="Z28" i="20" s="1"/>
  <c r="AA28" i="20" s="1"/>
  <c r="M29" i="20"/>
  <c r="N29" i="20" s="1"/>
  <c r="O29" i="20" s="1"/>
  <c r="P29" i="20" s="1"/>
  <c r="Q29" i="20" s="1"/>
  <c r="AH30" i="20"/>
  <c r="AI30" i="20" s="1"/>
  <c r="AJ30" i="20" s="1"/>
  <c r="AK30" i="20" s="1"/>
  <c r="S30" i="20"/>
  <c r="T30" i="20" s="1"/>
  <c r="U30" i="20" s="1"/>
  <c r="V30" i="20" s="1"/>
  <c r="X31" i="20"/>
  <c r="Y31" i="20" s="1"/>
  <c r="Z31" i="20" s="1"/>
  <c r="AA31" i="20" s="1"/>
  <c r="X30" i="20"/>
  <c r="Y30" i="20" s="1"/>
  <c r="Z30" i="20" s="1"/>
  <c r="AA30" i="20" s="1"/>
  <c r="P10" i="19"/>
  <c r="Q10" i="19" s="1"/>
  <c r="R10" i="19" s="1"/>
  <c r="S10" i="19" s="1"/>
  <c r="P7" i="19"/>
  <c r="Q7" i="19" s="1"/>
  <c r="R7" i="19" s="1"/>
  <c r="S7" i="19" s="1"/>
  <c r="U11" i="19"/>
  <c r="V11" i="19" s="1"/>
  <c r="W11" i="19" s="1"/>
  <c r="X11" i="19" s="1"/>
  <c r="AG11" i="18"/>
  <c r="AH11" i="18" s="1"/>
  <c r="AI11" i="18" s="1"/>
  <c r="AJ11" i="18" s="1"/>
  <c r="L14" i="18"/>
  <c r="M14" i="18" s="1"/>
  <c r="N14" i="18" s="1"/>
  <c r="O14" i="18" s="1"/>
  <c r="P14" i="18" s="1"/>
  <c r="R9" i="18"/>
  <c r="S9" i="18" s="1"/>
  <c r="T9" i="18" s="1"/>
  <c r="U9" i="18" s="1"/>
  <c r="R21" i="18"/>
  <c r="S21" i="18" s="1"/>
  <c r="T21" i="18" s="1"/>
  <c r="U21" i="18" s="1"/>
  <c r="AB23" i="18"/>
  <c r="AC23" i="18" s="1"/>
  <c r="AD23" i="18" s="1"/>
  <c r="AE23" i="18" s="1"/>
  <c r="AG27" i="18"/>
  <c r="AH27" i="18" s="1"/>
  <c r="AI27" i="18" s="1"/>
  <c r="AJ27" i="18" s="1"/>
  <c r="W22" i="18"/>
  <c r="X22" i="18" s="1"/>
  <c r="Y22" i="18" s="1"/>
  <c r="Z22" i="18" s="1"/>
  <c r="R24" i="18"/>
  <c r="S24" i="18" s="1"/>
  <c r="T24" i="18" s="1"/>
  <c r="U24" i="18" s="1"/>
  <c r="W19" i="18"/>
  <c r="X19" i="18" s="1"/>
  <c r="Y19" i="18" s="1"/>
  <c r="Z19" i="18" s="1"/>
  <c r="R28" i="18"/>
  <c r="S28" i="18" s="1"/>
  <c r="T28" i="18" s="1"/>
  <c r="U28" i="18" s="1"/>
  <c r="AG24" i="18"/>
  <c r="AH24" i="18" s="1"/>
  <c r="AI24" i="18" s="1"/>
  <c r="AJ24" i="18" s="1"/>
  <c r="R27" i="18"/>
  <c r="S27" i="18" s="1"/>
  <c r="T27" i="18" s="1"/>
  <c r="U27" i="18" s="1"/>
  <c r="L27" i="18"/>
  <c r="M27" i="18" s="1"/>
  <c r="N27" i="18" s="1"/>
  <c r="O27" i="18" s="1"/>
  <c r="P27" i="18" s="1"/>
  <c r="AB20" i="18"/>
  <c r="AC20" i="18" s="1"/>
  <c r="AD20" i="18" s="1"/>
  <c r="AE20" i="18" s="1"/>
  <c r="AB11" i="17"/>
  <c r="AC11" i="17" s="1"/>
  <c r="AD11" i="17" s="1"/>
  <c r="AE11" i="17" s="1"/>
  <c r="AG12" i="17"/>
  <c r="AH12" i="17" s="1"/>
  <c r="AI12" i="17" s="1"/>
  <c r="AJ12" i="17" s="1"/>
  <c r="R12" i="17"/>
  <c r="S12" i="17" s="1"/>
  <c r="T12" i="17" s="1"/>
  <c r="U12" i="17" s="1"/>
  <c r="W13" i="17"/>
  <c r="X13" i="17" s="1"/>
  <c r="Y13" i="17" s="1"/>
  <c r="Z13" i="17" s="1"/>
  <c r="AG8" i="17"/>
  <c r="AH8" i="17" s="1"/>
  <c r="AI8" i="17" s="1"/>
  <c r="AJ8" i="17" s="1"/>
  <c r="AG8" i="16"/>
  <c r="AH8" i="16" s="1"/>
  <c r="AI8" i="16" s="1"/>
  <c r="AJ8" i="16" s="1"/>
  <c r="R8" i="16"/>
  <c r="S8" i="16" s="1"/>
  <c r="T8" i="16" s="1"/>
  <c r="U8" i="16" s="1"/>
  <c r="K4" i="1" l="1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6" i="2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J21" i="4" l="1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A8" i="2"/>
  <c r="A9" i="2"/>
  <c r="A10" i="2"/>
  <c r="A11" i="2"/>
  <c r="A12" i="2" s="1"/>
  <c r="A13" i="2" s="1"/>
  <c r="A7" i="2"/>
  <c r="J4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I6" i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J5" i="1"/>
  <c r="I5" i="1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7" i="3"/>
  <c r="R8" i="3"/>
  <c r="R6" i="3"/>
  <c r="R5" i="3"/>
  <c r="R4" i="3"/>
  <c r="Q6" i="3"/>
  <c r="Q7" i="3"/>
  <c r="Q8" i="3"/>
  <c r="Q9" i="3" s="1"/>
  <c r="Q10" i="3" s="1"/>
  <c r="Q11" i="3" s="1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5" i="3"/>
</calcChain>
</file>

<file path=xl/sharedStrings.xml><?xml version="1.0" encoding="utf-8"?>
<sst xmlns="http://schemas.openxmlformats.org/spreadsheetml/2006/main" count="4979" uniqueCount="227">
  <si>
    <t>year</t>
  </si>
  <si>
    <t>Data from: https://www.seai.ie/data-and-insights/seai-statistics/prices</t>
  </si>
  <si>
    <t>Commercial wood (Bagged pellets)</t>
  </si>
  <si>
    <t>Household wood (Bagged pellets)</t>
  </si>
  <si>
    <t>Year</t>
  </si>
  <si>
    <t>euro/GJ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</si>
  <si>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</si>
  <si>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</si>
  <si>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</si>
  <si>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</si>
  <si>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</si>
  <si>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</si>
  <si>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</si>
  <si>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</si>
  <si>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</si>
  <si>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</si>
  <si>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</si>
  <si>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</si>
  <si>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</si>
  <si>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</si>
  <si>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</si>
  <si>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</si>
  <si>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</si>
  <si>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</si>
  <si>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</si>
  <si>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</si>
  <si>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</si>
  <si>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</si>
  <si>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</si>
  <si>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</si>
  <si>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</si>
  <si>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</si>
  <si>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</si>
  <si>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</si>
  <si>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</si>
  <si>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</si>
  <si>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</si>
  <si>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</si>
  <si>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</si>
  <si>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</si>
  <si>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</si>
  <si>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</si>
  <si>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</si>
  <si>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</si>
  <si>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</si>
  <si>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</si>
  <si>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</si>
  <si>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Normal years</t>
  </si>
  <si>
    <t>2018Q2</t>
  </si>
  <si>
    <t>Spike years</t>
  </si>
  <si>
    <t>2018Q3</t>
  </si>
  <si>
    <t>Correction years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</si>
  <si>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</si>
  <si>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</si>
  <si>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</si>
  <si>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</si>
  <si>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</si>
  <si>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</si>
  <si>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</si>
  <si>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</si>
  <si>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</si>
  <si>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</si>
  <si>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</si>
  <si>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</si>
  <si>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</si>
  <si>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</si>
  <si>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</si>
  <si>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</si>
  <si>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</si>
  <si>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</si>
  <si>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</si>
  <si>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</si>
  <si>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</si>
  <si>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</si>
  <si>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</si>
  <si>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</si>
  <si>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</si>
  <si>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</si>
  <si>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</si>
  <si>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</si>
  <si>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</si>
  <si>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</si>
  <si>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Data from: https://kilowatt.ie/wholesale-electricity-prices-ireland/</t>
  </si>
  <si>
    <t>https://www.sem-o.com/market-data/static-reports/historic-market-data?utm_source=chatgpt.com</t>
  </si>
  <si>
    <t>https://www.semcommittee.com/files/semcommittee/media-files/SEM-12-095%20DSEM%20Annual%20Report%202011.pdf?utm_source=chatgpt.com</t>
  </si>
  <si>
    <t>wholesale electricity price (€/MWh)</t>
  </si>
  <si>
    <t>2026 (YTD)</t>
  </si>
  <si>
    <t>Average gas price to business (Euro cent/kWh)</t>
  </si>
  <si>
    <t>Average gas price to households (Euro cent/kWh)</t>
  </si>
  <si>
    <t>Commercial fuel cost comparison (Euro cent/kWh)</t>
  </si>
  <si>
    <t>Household fuel cost comparison (Euro cent/kWh)</t>
  </si>
  <si>
    <t>S1 2008</t>
  </si>
  <si>
    <t>S2 2008</t>
  </si>
  <si>
    <t>S1 2009</t>
  </si>
  <si>
    <t>S2 2009</t>
  </si>
  <si>
    <t>S1 2010</t>
  </si>
  <si>
    <t>S2 2010</t>
  </si>
  <si>
    <t>S1 2011</t>
  </si>
  <si>
    <t>S2 2011</t>
  </si>
  <si>
    <t>S1 2012</t>
  </si>
  <si>
    <t>S2 2012</t>
  </si>
  <si>
    <t>S1 2013</t>
  </si>
  <si>
    <t>S2 2013</t>
  </si>
  <si>
    <t>2014S1</t>
  </si>
  <si>
    <t>2014S2</t>
  </si>
  <si>
    <t>2015S1</t>
  </si>
  <si>
    <t>2015S2</t>
  </si>
  <si>
    <t>2016S1</t>
  </si>
  <si>
    <t>2016S2</t>
  </si>
  <si>
    <t>2017S1</t>
  </si>
  <si>
    <t>2017S2</t>
  </si>
  <si>
    <t>2018S1</t>
  </si>
  <si>
    <t>2018S2</t>
  </si>
  <si>
    <t>2019S1</t>
  </si>
  <si>
    <t>2019S2</t>
  </si>
  <si>
    <t>2020S1</t>
  </si>
  <si>
    <t>2020S2</t>
  </si>
  <si>
    <t>2021S1</t>
  </si>
  <si>
    <t>2021S2</t>
  </si>
  <si>
    <t>2022S1</t>
  </si>
  <si>
    <t>2022S2</t>
  </si>
  <si>
    <t>2023S1</t>
  </si>
  <si>
    <t>2023S2</t>
  </si>
  <si>
    <t>2024S1</t>
  </si>
  <si>
    <t>2024S2</t>
  </si>
  <si>
    <t>2025S1</t>
  </si>
  <si>
    <t>Commercial Oil (Gas oil)</t>
  </si>
  <si>
    <t>Household Oil (Kerosene)</t>
  </si>
  <si>
    <t>cent/kWh</t>
  </si>
  <si>
    <t>P10</t>
  </si>
  <si>
    <t>P50</t>
  </si>
  <si>
    <t>P90</t>
  </si>
  <si>
    <t>SpikeYears</t>
  </si>
  <si>
    <t>SpikeFrequency</t>
  </si>
  <si>
    <t>[2026]</t>
  </si>
  <si>
    <t>[2031]</t>
  </si>
  <si>
    <t>[2038]</t>
  </si>
  <si>
    <t>[2042]</t>
  </si>
  <si>
    <t>[2047]</t>
  </si>
  <si>
    <t>[2029, 2037]</t>
  </si>
  <si>
    <t>[2030, 2047]</t>
  </si>
  <si>
    <t>[2031, 2036]</t>
  </si>
  <si>
    <t>[2035, 2041]</t>
  </si>
  <si>
    <t>[2042, 2050]</t>
  </si>
  <si>
    <t>[2037, 2039, 2041]</t>
  </si>
  <si>
    <t>[2026, 2031, 2042]</t>
  </si>
  <si>
    <t>[2034, 2048, 2050]</t>
  </si>
  <si>
    <t>[2029, 2044, 2049]</t>
  </si>
  <si>
    <t>[2027, 2035, 2038]</t>
  </si>
  <si>
    <t>[2026, 2030, 2036, 2044]</t>
  </si>
  <si>
    <t>[2035, 2038, 2045, 2048]</t>
  </si>
  <si>
    <t>[2031, 2041, 2047, 2049]</t>
  </si>
  <si>
    <t>[2029, 2034, 2039, 2046]</t>
  </si>
  <si>
    <t>[2027, 2032, 2037, 2042]</t>
  </si>
  <si>
    <t>[2026, 2028, 2034, 2041, 2043]</t>
  </si>
  <si>
    <t>[2029, 2031, 2036, 2046, 2048]</t>
  </si>
  <si>
    <t>[2030, 2037, 2045, 2047, 2050]</t>
  </si>
  <si>
    <t>[2032, 2035, 2039, 2042, 2044]</t>
  </si>
  <si>
    <t>[2027, 2033, 2038, 2040, 2049]</t>
  </si>
  <si>
    <t>Data from: https://www.iea.org/reports/global-critical-minerals-outlook-2025</t>
  </si>
  <si>
    <t>https://tradingeconomics.com/commodity/lithium</t>
  </si>
  <si>
    <t>https://www.fastmarkets.com/metals-and-mining/battery-raw-materials/lithium/lithium-prices/</t>
  </si>
  <si>
    <t>https://fred.stlouisfed.org/series/PCU335991335991</t>
  </si>
  <si>
    <t>Lithium</t>
  </si>
  <si>
    <t>Annual average (euros/ton)</t>
  </si>
  <si>
    <t>Nickel</t>
  </si>
  <si>
    <t>Graphite</t>
  </si>
  <si>
    <t>Reference: https://www.iea.org/data-and-statistics/data-tools/critical-minerals-data-explorer</t>
  </si>
  <si>
    <t>Mineral demand for electric vehicles (kt)</t>
  </si>
  <si>
    <t>Net Zero Emissions by 2050 Scenario</t>
  </si>
  <si>
    <t>Base case</t>
  </si>
  <si>
    <t>Copper</t>
  </si>
  <si>
    <t>Cobalt</t>
  </si>
  <si>
    <t>Battery-grade graphite</t>
  </si>
  <si>
    <t>Manganese</t>
  </si>
  <si>
    <t>Silicon</t>
  </si>
  <si>
    <t>Neodymium</t>
  </si>
  <si>
    <t>Dysprosium</t>
  </si>
  <si>
    <t>Praseodymium</t>
  </si>
  <si>
    <t>Terbium</t>
  </si>
  <si>
    <t>Total EV</t>
  </si>
  <si>
    <t>Total</t>
  </si>
  <si>
    <t>Mineral demand for solar PV (kt)</t>
  </si>
  <si>
    <t>Gallium</t>
  </si>
  <si>
    <t>Molybdenum</t>
  </si>
  <si>
    <t>Silver</t>
  </si>
  <si>
    <t>Tellurium</t>
  </si>
  <si>
    <t>Zinc</t>
  </si>
  <si>
    <t>Total solar PV</t>
  </si>
  <si>
    <t>Mineral demand for wind (kt)</t>
  </si>
  <si>
    <t>Boron</t>
  </si>
  <si>
    <t>Chromium</t>
  </si>
  <si>
    <t>Total wind</t>
  </si>
  <si>
    <t>Constrained rare earth elements supply</t>
  </si>
  <si>
    <t>Total supply for key energy transition minerals, base case (kt)</t>
  </si>
  <si>
    <t>Copper - Refining</t>
  </si>
  <si>
    <t>Cobalt - Refining</t>
  </si>
  <si>
    <t>Lithium - Chemicals</t>
  </si>
  <si>
    <t>Nickel - Refining</t>
  </si>
  <si>
    <t>Graphite - Battery grade</t>
  </si>
  <si>
    <t>Magnet rare earth elements - Refining</t>
  </si>
  <si>
    <t>kton</t>
  </si>
  <si>
    <t>https://finance.yahoo.com/news/manganese-global-strategic-business-report-091400968.html</t>
  </si>
  <si>
    <t>https://www.alcircle.com/news/us-gallium-strategy-a-supply-network-to-weaken-chinas-critical-mineral-monopoly-117243</t>
  </si>
  <si>
    <t>https://www.usgs.gov/centers/national-minerals-information-center/commodity-statistics-and-information</t>
  </si>
  <si>
    <t>Demand for key energy transition minerals (kt)</t>
  </si>
  <si>
    <t>BEVs</t>
  </si>
  <si>
    <t>Solar PV</t>
  </si>
  <si>
    <t>PV</t>
  </si>
  <si>
    <t>Wind</t>
  </si>
  <si>
    <t>Other low emissions power generation</t>
  </si>
  <si>
    <t>Electric vehicles</t>
  </si>
  <si>
    <t>Grid battery storage</t>
  </si>
  <si>
    <t>Electricity networks</t>
  </si>
  <si>
    <t>Hydrogen technologies</t>
  </si>
  <si>
    <t>Total clean technologies</t>
  </si>
  <si>
    <t>Other uses</t>
  </si>
  <si>
    <t>Total demand</t>
  </si>
  <si>
    <t xml:space="preserve">Share of clean technologies in total demand </t>
  </si>
  <si>
    <t>Magnet rare earth elements</t>
  </si>
  <si>
    <t>Low emissions power generation</t>
  </si>
  <si>
    <t>Graphite (all grades: natural and synthetic)</t>
  </si>
  <si>
    <t>Total Silicon</t>
  </si>
  <si>
    <t>Rare earth elements</t>
  </si>
  <si>
    <t>Note: shortes are &lt;0 values</t>
  </si>
  <si>
    <t>[%]</t>
  </si>
  <si>
    <t>This document provides supplementary data for the study titled: Assessing Energy Security Risks to Ireland’s Net-Zero Transition Under Cross-Border Supply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</si>
</sst>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</font>
    <font>
      <b/>
      <sz val="11"/>
      <color theme="1" tint="4.9989318521683403E-2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b/>
      <sz val="11"/>
      <name val="Calibri"/>
      <family val="2"/>
    </font>
    <font>
      <b/>
      <sz val="18"/>
      <color theme="1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rgb="FF00B050"/>
      <name val="Aptos Narrow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0" fontId="5" fillId="0" borderId="7" applyNumberFormat="0" applyFill="0" applyAlignment="0" applyProtection="0"/>
    <xf numFmtId="0" fontId="6" fillId="0" borderId="8" applyNumberFormat="0" applyFill="0" applyAlignment="0" applyProtection="0"/>
    <xf numFmtId="0" fontId="7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9" fillId="0" borderId="10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10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12" fillId="0" borderId="10" xfId="0" applyFont="1" applyBorder="1" applyAlignment="1">
      <alignment horizontal="center" vertical="top"/>
    </xf>
    <xf numFmtId="0" fontId="0" fillId="2" borderId="0" xfId="0" applyFill="1" applyAlignment="1">
      <alignment horizontal="left" vertical="center"/>
    </xf>
    <xf numFmtId="0" fontId="0" fillId="2" borderId="0" xfId="0" applyFill="1"/>
    <xf numFmtId="0" fontId="2" fillId="2" borderId="0" xfId="0" applyFont="1" applyFill="1"/>
    <xf numFmtId="0" fontId="13" fillId="2" borderId="0" xfId="0" applyFont="1" applyFill="1"/>
    <xf numFmtId="0" fontId="14" fillId="3" borderId="0" xfId="2" applyFont="1" applyFill="1" applyBorder="1" applyAlignment="1">
      <alignment horizontal="centerContinuous"/>
    </xf>
    <xf numFmtId="0" fontId="8" fillId="3" borderId="0" xfId="0" applyFont="1" applyFill="1" applyAlignment="1">
      <alignment horizontal="centerContinuous"/>
    </xf>
    <xf numFmtId="0" fontId="5" fillId="2" borderId="7" xfId="2" applyFill="1"/>
    <xf numFmtId="0" fontId="5" fillId="2" borderId="0" xfId="2" applyFill="1" applyBorder="1"/>
    <xf numFmtId="0" fontId="6" fillId="2" borderId="8" xfId="3" applyFill="1"/>
    <xf numFmtId="0" fontId="6" fillId="2" borderId="0" xfId="3" applyFill="1" applyBorder="1"/>
    <xf numFmtId="2" fontId="0" fillId="2" borderId="0" xfId="0" applyNumberFormat="1" applyFill="1"/>
    <xf numFmtId="2" fontId="2" fillId="2" borderId="0" xfId="0" applyNumberFormat="1" applyFont="1" applyFill="1"/>
    <xf numFmtId="0" fontId="7" fillId="2" borderId="9" xfId="4" applyFill="1"/>
    <xf numFmtId="2" fontId="7" fillId="2" borderId="9" xfId="4" applyNumberFormat="1" applyFill="1"/>
    <xf numFmtId="2" fontId="7" fillId="2" borderId="0" xfId="4" applyNumberFormat="1" applyFill="1" applyBorder="1"/>
    <xf numFmtId="0" fontId="7" fillId="2" borderId="0" xfId="0" applyFont="1" applyFill="1"/>
    <xf numFmtId="0" fontId="15" fillId="2" borderId="0" xfId="0" applyFont="1" applyFill="1"/>
    <xf numFmtId="0" fontId="1" fillId="2" borderId="0" xfId="0" applyFont="1" applyFill="1"/>
    <xf numFmtId="0" fontId="5" fillId="2" borderId="7" xfId="2" applyFill="1" applyAlignment="1">
      <alignment horizontal="centerContinuous"/>
    </xf>
    <xf numFmtId="1" fontId="7" fillId="2" borderId="9" xfId="4" applyNumberFormat="1" applyFill="1"/>
    <xf numFmtId="0" fontId="16" fillId="2" borderId="0" xfId="5" applyFill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5" fillId="2" borderId="0" xfId="2" applyFill="1" applyBorder="1" applyAlignment="1">
      <alignment horizontal="centerContinuous"/>
    </xf>
    <xf numFmtId="1" fontId="0" fillId="2" borderId="0" xfId="0" applyNumberFormat="1" applyFill="1"/>
    <xf numFmtId="1" fontId="15" fillId="2" borderId="0" xfId="0" applyNumberFormat="1" applyFont="1" applyFill="1"/>
    <xf numFmtId="2" fontId="17" fillId="2" borderId="0" xfId="0" applyNumberFormat="1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9" fontId="15" fillId="2" borderId="0" xfId="1" applyFont="1" applyFill="1"/>
    <xf numFmtId="9" fontId="15" fillId="2" borderId="0" xfId="1" applyFont="1" applyFill="1" applyAlignment="1">
      <alignment horizontal="center"/>
    </xf>
    <xf numFmtId="1" fontId="6" fillId="2" borderId="8" xfId="3" applyNumberFormat="1" applyFill="1"/>
    <xf numFmtId="0" fontId="3" fillId="2" borderId="0" xfId="0" applyFont="1" applyFill="1"/>
    <xf numFmtId="2" fontId="2" fillId="2" borderId="0" xfId="0" applyNumberFormat="1" applyFont="1" applyFill="1" applyAlignment="1">
      <alignment horizontal="center"/>
    </xf>
    <xf numFmtId="9" fontId="17" fillId="2" borderId="0" xfId="1" applyFont="1" applyFill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/>
  </cellXfs>
  <cellStyles count="6">
    <cellStyle name="Heading 1" xfId="2" builtinId="16"/>
    <cellStyle name="Heading 2" xfId="3" builtinId="17"/>
    <cellStyle name="Hyperlink" xfId="5" builtinId="8"/>
    <cellStyle name="Normal" xfId="0" builtinId="0"/>
    <cellStyle name="Per cent" xfId="1" builtinId="5"/>
    <cellStyle name="Total" xfId="4" builtinId="25"/>
  </cellStyles>
  <dxfs count="0"/>
  <tableStyles count="0" defaultTableStyle="TableStyleMedium2" defaultPivotStyle="PivotStyleLight16"/>
  <colors>
    <mruColors>
      <color rgb="FF0077B6"/>
      <color rgb="FF774936"/>
      <color rgb="FFE56B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9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0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1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2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3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4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5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6.xml"/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7.xml"/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8.xml"/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9.xml"/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0.xml"/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1.xml"/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2.xml"/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3.xml"/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4.xml"/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5.xml"/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6.xml"/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7.xml"/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8.xml"/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9.xml"/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0.xml"/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1.xml"/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2.xml"/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3.xml"/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4.xml"/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5.xml"/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'Historical biomass price'!$I$4:$I$21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xVal>
          <c:yVal>
            <c:numRef>
              <c:f>'Historical biomass price'!$J$4:$J$21</c:f>
              <c:numCache>
                <c:formatCode>General</c:formatCode>
                <c:ptCount val="18"/>
                <c:pt idx="0">
                  <c:v>5.26</c:v>
                </c:pt>
                <c:pt idx="1">
                  <c:v>5.3174999999999999</c:v>
                </c:pt>
                <c:pt idx="2">
                  <c:v>5.3112500000000002</c:v>
                </c:pt>
                <c:pt idx="3">
                  <c:v>5.3762499999999998</c:v>
                </c:pt>
                <c:pt idx="4">
                  <c:v>5.5687499999999996</c:v>
                </c:pt>
                <c:pt idx="5">
                  <c:v>5.8975</c:v>
                </c:pt>
                <c:pt idx="6">
                  <c:v>6.2975000000000003</c:v>
                </c:pt>
                <c:pt idx="7">
                  <c:v>6.4924999999999997</c:v>
                </c:pt>
                <c:pt idx="8">
                  <c:v>6.55</c:v>
                </c:pt>
                <c:pt idx="9">
                  <c:v>6.5162500000000012</c:v>
                </c:pt>
                <c:pt idx="10">
                  <c:v>6.5612500000000002</c:v>
                </c:pt>
                <c:pt idx="11">
                  <c:v>6.3637499999999996</c:v>
                </c:pt>
                <c:pt idx="12">
                  <c:v>6.4725000000000001</c:v>
                </c:pt>
                <c:pt idx="13">
                  <c:v>6.34</c:v>
                </c:pt>
                <c:pt idx="14">
                  <c:v>8.7174999999999994</c:v>
                </c:pt>
                <c:pt idx="15">
                  <c:v>11.528749999999999</c:v>
                </c:pt>
                <c:pt idx="16">
                  <c:v>10.3</c:v>
                </c:pt>
                <c:pt idx="17">
                  <c:v>9.1775000000000002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F6-4D7D-A79B-1E4861725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4588832"/>
        <c:axId val="1804601792"/>
      </c:scatterChart>
      <c:valAx>
        <c:axId val="1804588832"/>
        <c:scaling>
          <c:orientation val="minMax"/>
          <c:max val="2026"/>
          <c:min val="200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E"/>
                  <a:t>Year</a:t>
                </a:r>
              </a:p>
            </c:rich>
          </c:tx>
          <c:layout>
            <c:manualLayout>
              <c:xMode val="edge"/>
              <c:yMode val="edge"/>
              <c:x val="0.49530555555555555"/>
              <c:y val="0.909722222222222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04601792"/>
        <c:crosses val="autoZero"/>
        <c:crossBetween val="midCat"/>
        <c:majorUnit val="2"/>
      </c:valAx>
      <c:valAx>
        <c:axId val="1804601792"/>
        <c:scaling>
          <c:orientation val="minMax"/>
          <c:max val="1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E" sz="1000" b="0" i="0" u="none" strike="noStrike" kern="1200" baseline="0">
                    <a:solidFill>
                      <a:sysClr val="windowText" lastClr="000000">
                        <a:lumMod val="95000"/>
                        <a:lumOff val="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Biomass price [cent/kWh]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1521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0458883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'Historical electicity price'!$A$6:$A$23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xVal>
          <c:yVal>
            <c:numRef>
              <c:f>'Historical electicity price'!$B$6:$B$23</c:f>
              <c:numCache>
                <c:formatCode>General</c:formatCode>
                <c:ptCount val="18"/>
                <c:pt idx="0">
                  <c:v>80</c:v>
                </c:pt>
                <c:pt idx="1">
                  <c:v>42.5</c:v>
                </c:pt>
                <c:pt idx="2">
                  <c:v>52.5</c:v>
                </c:pt>
                <c:pt idx="3">
                  <c:v>62</c:v>
                </c:pt>
                <c:pt idx="4">
                  <c:v>57.5</c:v>
                </c:pt>
                <c:pt idx="5">
                  <c:v>58</c:v>
                </c:pt>
                <c:pt idx="6">
                  <c:v>52.5</c:v>
                </c:pt>
                <c:pt idx="7">
                  <c:v>45</c:v>
                </c:pt>
                <c:pt idx="8">
                  <c:v>47.5</c:v>
                </c:pt>
                <c:pt idx="9">
                  <c:v>57.5</c:v>
                </c:pt>
                <c:pt idx="10">
                  <c:v>72.23</c:v>
                </c:pt>
                <c:pt idx="11">
                  <c:v>50.18</c:v>
                </c:pt>
                <c:pt idx="12">
                  <c:v>37.67</c:v>
                </c:pt>
                <c:pt idx="13">
                  <c:v>135.75</c:v>
                </c:pt>
                <c:pt idx="14">
                  <c:v>226.53</c:v>
                </c:pt>
                <c:pt idx="15">
                  <c:v>121.91</c:v>
                </c:pt>
                <c:pt idx="16">
                  <c:v>108.91</c:v>
                </c:pt>
                <c:pt idx="17">
                  <c:v>113.83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6E-4A5B-91AB-BE1D1630D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0224"/>
        <c:axId val="10381184"/>
      </c:scatterChart>
      <c:valAx>
        <c:axId val="10380224"/>
        <c:scaling>
          <c:orientation val="minMax"/>
          <c:max val="2026"/>
          <c:min val="200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E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81184"/>
        <c:crosses val="autoZero"/>
        <c:crossBetween val="midCat"/>
        <c:majorUnit val="2"/>
      </c:valAx>
      <c:valAx>
        <c:axId val="103811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E"/>
                  <a:t>Electricity price [€/MWh]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164611636755139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80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'Historical natural gas price'!$R$3</c:f>
              <c:strCache>
                <c:ptCount val="1"/>
                <c:pt idx="0">
                  <c:v>cent/kWh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'Historical natural gas price'!$Q$4:$Q$21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xVal>
          <c:yVal>
            <c:numRef>
              <c:f>'Historical natural gas price'!$R$4:$R$21</c:f>
              <c:numCache>
                <c:formatCode>General</c:formatCode>
                <c:ptCount val="18"/>
                <c:pt idx="0">
                  <c:v>5.1100000000000003</c:v>
                </c:pt>
                <c:pt idx="1">
                  <c:v>4.8083333333333327</c:v>
                </c:pt>
                <c:pt idx="2">
                  <c:v>4.2408333333333337</c:v>
                </c:pt>
                <c:pt idx="3">
                  <c:v>4.6991666666666667</c:v>
                </c:pt>
                <c:pt idx="4">
                  <c:v>5.2233333333333327</c:v>
                </c:pt>
                <c:pt idx="5">
                  <c:v>5.7333333333333334</c:v>
                </c:pt>
                <c:pt idx="6">
                  <c:v>5.7441666666666658</c:v>
                </c:pt>
                <c:pt idx="7">
                  <c:v>5.5491666666666655</c:v>
                </c:pt>
                <c:pt idx="8">
                  <c:v>5.1141666666666667</c:v>
                </c:pt>
                <c:pt idx="9">
                  <c:v>5.0091666666666663</c:v>
                </c:pt>
                <c:pt idx="10">
                  <c:v>5.379999999999999</c:v>
                </c:pt>
                <c:pt idx="11">
                  <c:v>5.3475000000000001</c:v>
                </c:pt>
                <c:pt idx="12">
                  <c:v>4.9874999999999998</c:v>
                </c:pt>
                <c:pt idx="13">
                  <c:v>5.7650000000000006</c:v>
                </c:pt>
                <c:pt idx="14">
                  <c:v>9.9583333333333339</c:v>
                </c:pt>
                <c:pt idx="15">
                  <c:v>11.790000000000001</c:v>
                </c:pt>
                <c:pt idx="16">
                  <c:v>10.055833333333334</c:v>
                </c:pt>
                <c:pt idx="17">
                  <c:v>9.7750000000000004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E8-4FC4-AA0D-D766E2016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4588832"/>
        <c:axId val="1804601792"/>
      </c:scatterChart>
      <c:valAx>
        <c:axId val="1804588832"/>
        <c:scaling>
          <c:orientation val="minMax"/>
          <c:max val="2026"/>
          <c:min val="200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E"/>
                  <a:t>Year</a:t>
                </a:r>
              </a:p>
            </c:rich>
          </c:tx>
          <c:layout>
            <c:manualLayout>
              <c:xMode val="edge"/>
              <c:yMode val="edge"/>
              <c:x val="0.49530555555555555"/>
              <c:y val="0.909617612977983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04601792"/>
        <c:crosses val="autoZero"/>
        <c:crossBetween val="midCat"/>
        <c:majorUnit val="2"/>
      </c:valAx>
      <c:valAx>
        <c:axId val="1804601792"/>
        <c:scaling>
          <c:orientation val="minMax"/>
          <c:max val="1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E"/>
                  <a:t>Natural</a:t>
                </a:r>
                <a:r>
                  <a:rPr lang="en-IE" baseline="0"/>
                  <a:t> gas price [cent/kWh]</a:t>
                </a:r>
                <a:endParaRPr lang="en-IE"/>
              </a:p>
            </c:rich>
          </c:tx>
          <c:layout>
            <c:manualLayout>
              <c:xMode val="edge"/>
              <c:yMode val="edge"/>
              <c:x val="1.6666666666666666E-2"/>
              <c:y val="0.129349184770211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I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0458883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'Historical oil price'!$J$3</c:f>
              <c:strCache>
                <c:ptCount val="1"/>
                <c:pt idx="0">
                  <c:v>cent/kWh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'Historical oil price'!$I$4:$I$21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xVal>
          <c:yVal>
            <c:numRef>
              <c:f>'Historical oil price'!$J$4:$J$21</c:f>
              <c:numCache>
                <c:formatCode>General</c:formatCode>
                <c:ptCount val="18"/>
                <c:pt idx="0">
                  <c:v>8.52</c:v>
                </c:pt>
                <c:pt idx="1">
                  <c:v>6.0000000000000009</c:v>
                </c:pt>
                <c:pt idx="2">
                  <c:v>7.6350000000000007</c:v>
                </c:pt>
                <c:pt idx="3">
                  <c:v>9.0987500000000008</c:v>
                </c:pt>
                <c:pt idx="4">
                  <c:v>10.221250000000001</c:v>
                </c:pt>
                <c:pt idx="5">
                  <c:v>10.03875</c:v>
                </c:pt>
                <c:pt idx="6">
                  <c:v>9.8074999999999992</c:v>
                </c:pt>
                <c:pt idx="7">
                  <c:v>7.8425000000000002</c:v>
                </c:pt>
                <c:pt idx="8">
                  <c:v>6.8637499999999996</c:v>
                </c:pt>
                <c:pt idx="9">
                  <c:v>7.7074999999999996</c:v>
                </c:pt>
                <c:pt idx="10">
                  <c:v>8.6662500000000016</c:v>
                </c:pt>
                <c:pt idx="11">
                  <c:v>8.2612500000000004</c:v>
                </c:pt>
                <c:pt idx="12">
                  <c:v>7.0912500000000005</c:v>
                </c:pt>
                <c:pt idx="13">
                  <c:v>8.192499999999999</c:v>
                </c:pt>
                <c:pt idx="14">
                  <c:v>13.237499999999997</c:v>
                </c:pt>
                <c:pt idx="15">
                  <c:v>12.001250000000001</c:v>
                </c:pt>
                <c:pt idx="16">
                  <c:v>11.6875</c:v>
                </c:pt>
                <c:pt idx="17">
                  <c:v>11.2225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35-4F7E-ACDB-970026963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4588832"/>
        <c:axId val="1804601792"/>
      </c:scatterChart>
      <c:valAx>
        <c:axId val="1804588832"/>
        <c:scaling>
          <c:orientation val="minMax"/>
          <c:max val="2026"/>
          <c:min val="200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E"/>
                  <a:t>Year</a:t>
                </a:r>
              </a:p>
            </c:rich>
          </c:tx>
          <c:layout>
            <c:manualLayout>
              <c:xMode val="edge"/>
              <c:yMode val="edge"/>
              <c:x val="0.49530555555555555"/>
              <c:y val="0.909722222222222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04601792"/>
        <c:crosses val="autoZero"/>
        <c:crossBetween val="midCat"/>
        <c:majorUnit val="2"/>
      </c:valAx>
      <c:valAx>
        <c:axId val="18046017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E" baseline="0"/>
                  <a:t>Oil price [cent/kWh]</a:t>
                </a:r>
                <a:endParaRPr lang="en-IE"/>
              </a:p>
            </c:rich>
          </c:tx>
          <c:layout>
            <c:manualLayout>
              <c:xMode val="edge"/>
              <c:yMode val="edge"/>
              <c:x val="1.6666666666666666E-2"/>
              <c:y val="0.208240740740740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I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0458883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[1]All_Scenarios!$A$602:$A$626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[1]All_Scenarios!$B$602:$B$626</c:f>
              <c:numCache>
                <c:formatCode>General</c:formatCode>
                <c:ptCount val="25"/>
                <c:pt idx="0">
                  <c:v>31.125445902084731</c:v>
                </c:pt>
                <c:pt idx="1">
                  <c:v>51.317184718793229</c:v>
                </c:pt>
                <c:pt idx="2">
                  <c:v>31.125445902084731</c:v>
                </c:pt>
                <c:pt idx="3">
                  <c:v>32.381966508937133</c:v>
                </c:pt>
                <c:pt idx="4">
                  <c:v>31.310497754020201</c:v>
                </c:pt>
                <c:pt idx="5">
                  <c:v>32.784890528867606</c:v>
                </c:pt>
                <c:pt idx="6">
                  <c:v>33.191938954708959</c:v>
                </c:pt>
                <c:pt idx="7">
                  <c:v>54.724255770408838</c:v>
                </c:pt>
                <c:pt idx="8">
                  <c:v>33.191938954708959</c:v>
                </c:pt>
                <c:pt idx="9">
                  <c:v>33.601932347775957</c:v>
                </c:pt>
                <c:pt idx="10">
                  <c:v>33.401965151550449</c:v>
                </c:pt>
                <c:pt idx="11">
                  <c:v>32.334265938856291</c:v>
                </c:pt>
                <c:pt idx="12">
                  <c:v>53.310192025867018</c:v>
                </c:pt>
                <c:pt idx="13">
                  <c:v>41.943175159360948</c:v>
                </c:pt>
                <c:pt idx="14">
                  <c:v>69.152605045939652</c:v>
                </c:pt>
                <c:pt idx="15">
                  <c:v>44.819062576852581</c:v>
                </c:pt>
                <c:pt idx="16">
                  <c:v>42.111583903725922</c:v>
                </c:pt>
                <c:pt idx="17">
                  <c:v>42.010383171695338</c:v>
                </c:pt>
                <c:pt idx="18">
                  <c:v>42.332148264061743</c:v>
                </c:pt>
                <c:pt idx="19">
                  <c:v>40.154638426041657</c:v>
                </c:pt>
                <c:pt idx="20">
                  <c:v>42.479574576912881</c:v>
                </c:pt>
                <c:pt idx="21">
                  <c:v>40.759398589877073</c:v>
                </c:pt>
                <c:pt idx="22">
                  <c:v>41.206905246218341</c:v>
                </c:pt>
                <c:pt idx="23">
                  <c:v>67.93870117916488</c:v>
                </c:pt>
                <c:pt idx="24">
                  <c:v>44.520747409339947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EA-46A8-B01D-4C338530D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[1]All_Scenarios!$A$602:$A$626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[1]All_Scenarios!$C$602:$C$626</c:f>
              <c:numCache>
                <c:formatCode>General</c:formatCode>
                <c:ptCount val="25"/>
                <c:pt idx="0">
                  <c:v>31.212772785389401</c:v>
                </c:pt>
                <c:pt idx="1">
                  <c:v>51.461162408801577</c:v>
                </c:pt>
                <c:pt idx="2">
                  <c:v>38.376045776617843</c:v>
                </c:pt>
                <c:pt idx="3">
                  <c:v>39.617349553180247</c:v>
                </c:pt>
                <c:pt idx="4">
                  <c:v>39.859791574563552</c:v>
                </c:pt>
                <c:pt idx="5">
                  <c:v>40.663678269012721</c:v>
                </c:pt>
                <c:pt idx="6">
                  <c:v>39.410284550934207</c:v>
                </c:pt>
                <c:pt idx="7">
                  <c:v>64.976574423469884</c:v>
                </c:pt>
                <c:pt idx="8">
                  <c:v>48.040647578798207</c:v>
                </c:pt>
                <c:pt idx="9">
                  <c:v>46.414325798432579</c:v>
                </c:pt>
                <c:pt idx="10">
                  <c:v>46.239428671024143</c:v>
                </c:pt>
                <c:pt idx="11">
                  <c:v>47.676438552757418</c:v>
                </c:pt>
                <c:pt idx="12">
                  <c:v>72.724722211999989</c:v>
                </c:pt>
                <c:pt idx="13">
                  <c:v>53.474400483135007</c:v>
                </c:pt>
                <c:pt idx="14">
                  <c:v>72.724722211999989</c:v>
                </c:pt>
                <c:pt idx="15">
                  <c:v>57.097426186082963</c:v>
                </c:pt>
                <c:pt idx="16">
                  <c:v>53.44259315740171</c:v>
                </c:pt>
                <c:pt idx="17">
                  <c:v>52.54401638434846</c:v>
                </c:pt>
                <c:pt idx="18">
                  <c:v>55.032616745928159</c:v>
                </c:pt>
                <c:pt idx="19">
                  <c:v>56.16879070851472</c:v>
                </c:pt>
                <c:pt idx="20">
                  <c:v>56.382280964138417</c:v>
                </c:pt>
                <c:pt idx="21">
                  <c:v>54.095265740508353</c:v>
                </c:pt>
                <c:pt idx="22">
                  <c:v>52.907476432012999</c:v>
                </c:pt>
                <c:pt idx="23">
                  <c:v>72.724722211999989</c:v>
                </c:pt>
                <c:pt idx="24">
                  <c:v>55.601058289517937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A1-4C7B-84DF-66E946502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P90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[1]All_Scenarios!$A$602:$A$626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[1]All_Scenarios!$D$602:$D$626</c:f>
              <c:numCache>
                <c:formatCode>General</c:formatCode>
                <c:ptCount val="25"/>
                <c:pt idx="0">
                  <c:v>32.862985131636179</c:v>
                </c:pt>
                <c:pt idx="1">
                  <c:v>54.181902605230619</c:v>
                </c:pt>
                <c:pt idx="2">
                  <c:v>46.207116051980243</c:v>
                </c:pt>
                <c:pt idx="3">
                  <c:v>47.848144643947499</c:v>
                </c:pt>
                <c:pt idx="4">
                  <c:v>50.468612818070483</c:v>
                </c:pt>
                <c:pt idx="5">
                  <c:v>48.867467284423263</c:v>
                </c:pt>
                <c:pt idx="6">
                  <c:v>48.467846672582887</c:v>
                </c:pt>
                <c:pt idx="7">
                  <c:v>72.724722211999989</c:v>
                </c:pt>
                <c:pt idx="8">
                  <c:v>67.157396202902106</c:v>
                </c:pt>
                <c:pt idx="9">
                  <c:v>66.774670311501765</c:v>
                </c:pt>
                <c:pt idx="10">
                  <c:v>67.251850525833049</c:v>
                </c:pt>
                <c:pt idx="11">
                  <c:v>69.873346580597826</c:v>
                </c:pt>
                <c:pt idx="12">
                  <c:v>72.724722211999989</c:v>
                </c:pt>
                <c:pt idx="13">
                  <c:v>72.724722211999989</c:v>
                </c:pt>
                <c:pt idx="14">
                  <c:v>72.724722211999989</c:v>
                </c:pt>
                <c:pt idx="15">
                  <c:v>72.724722211999989</c:v>
                </c:pt>
                <c:pt idx="16">
                  <c:v>72.724722211999989</c:v>
                </c:pt>
                <c:pt idx="17">
                  <c:v>71.215771679470819</c:v>
                </c:pt>
                <c:pt idx="18">
                  <c:v>68.870138219104348</c:v>
                </c:pt>
                <c:pt idx="19">
                  <c:v>66.256481990096191</c:v>
                </c:pt>
                <c:pt idx="20">
                  <c:v>66.633218245479824</c:v>
                </c:pt>
                <c:pt idx="21">
                  <c:v>67.066572402827816</c:v>
                </c:pt>
                <c:pt idx="22">
                  <c:v>68.173740513459578</c:v>
                </c:pt>
                <c:pt idx="23">
                  <c:v>72.724722211999989</c:v>
                </c:pt>
                <c:pt idx="24">
                  <c:v>65.463480313310399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46-4E27-8D1B-A953A0189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[1]All_Scenarios!$A$577:$A$601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[1]All_Scenarios!$B$577:$B$601</c:f>
              <c:numCache>
                <c:formatCode>General</c:formatCode>
                <c:ptCount val="25"/>
                <c:pt idx="0">
                  <c:v>31.21360842664188</c:v>
                </c:pt>
                <c:pt idx="1">
                  <c:v>30.11538963584756</c:v>
                </c:pt>
                <c:pt idx="2">
                  <c:v>29.716645842063048</c:v>
                </c:pt>
                <c:pt idx="3">
                  <c:v>30.156175290961741</c:v>
                </c:pt>
                <c:pt idx="4">
                  <c:v>29.750412773984358</c:v>
                </c:pt>
                <c:pt idx="5">
                  <c:v>30.277773195868551</c:v>
                </c:pt>
                <c:pt idx="6">
                  <c:v>49.919608697462692</c:v>
                </c:pt>
                <c:pt idx="7">
                  <c:v>30.31260509175771</c:v>
                </c:pt>
                <c:pt idx="8">
                  <c:v>30.511753584298699</c:v>
                </c:pt>
                <c:pt idx="9">
                  <c:v>50.30537714079415</c:v>
                </c:pt>
                <c:pt idx="10">
                  <c:v>35.02727869475185</c:v>
                </c:pt>
                <c:pt idx="11">
                  <c:v>36.543916299608263</c:v>
                </c:pt>
                <c:pt idx="12">
                  <c:v>35.770917282049027</c:v>
                </c:pt>
                <c:pt idx="13">
                  <c:v>58.976272195369049</c:v>
                </c:pt>
                <c:pt idx="14">
                  <c:v>35.770917282049027</c:v>
                </c:pt>
                <c:pt idx="15">
                  <c:v>36.374070686358017</c:v>
                </c:pt>
                <c:pt idx="16">
                  <c:v>59.970704042548483</c:v>
                </c:pt>
                <c:pt idx="17">
                  <c:v>42.951849304856928</c:v>
                </c:pt>
                <c:pt idx="18">
                  <c:v>70.815627564824126</c:v>
                </c:pt>
                <c:pt idx="19">
                  <c:v>42.951849304856928</c:v>
                </c:pt>
                <c:pt idx="20">
                  <c:v>42.745247152450617</c:v>
                </c:pt>
                <c:pt idx="21">
                  <c:v>43.098712936741947</c:v>
                </c:pt>
                <c:pt idx="22">
                  <c:v>42.618184019378667</c:v>
                </c:pt>
                <c:pt idx="23">
                  <c:v>43.488025965247857</c:v>
                </c:pt>
                <c:pt idx="24">
                  <c:v>42.610756306633682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45-478B-8386-755F78509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[1]All_Scenarios!$A$577:$A$601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[1]All_Scenarios!$C$577:$C$601</c:f>
              <c:numCache>
                <c:formatCode>General</c:formatCode>
                <c:ptCount val="25"/>
                <c:pt idx="0">
                  <c:v>30.838450894679251</c:v>
                </c:pt>
                <c:pt idx="1">
                  <c:v>30.340962298845081</c:v>
                </c:pt>
                <c:pt idx="2">
                  <c:v>29.568023461739081</c:v>
                </c:pt>
                <c:pt idx="3">
                  <c:v>29.126243126003121</c:v>
                </c:pt>
                <c:pt idx="4">
                  <c:v>30.02530604823907</c:v>
                </c:pt>
                <c:pt idx="5">
                  <c:v>30.702916448871161</c:v>
                </c:pt>
                <c:pt idx="6">
                  <c:v>50.620551421782743</c:v>
                </c:pt>
                <c:pt idx="7">
                  <c:v>38.472360484817528</c:v>
                </c:pt>
                <c:pt idx="8">
                  <c:v>38.510729163518747</c:v>
                </c:pt>
                <c:pt idx="9">
                  <c:v>63.493458322065123</c:v>
                </c:pt>
                <c:pt idx="10">
                  <c:v>49.225586393034497</c:v>
                </c:pt>
                <c:pt idx="11">
                  <c:v>47.659512310776421</c:v>
                </c:pt>
                <c:pt idx="12">
                  <c:v>50.61930813402752</c:v>
                </c:pt>
                <c:pt idx="13">
                  <c:v>72.724722211999989</c:v>
                </c:pt>
                <c:pt idx="14">
                  <c:v>46.528576678478487</c:v>
                </c:pt>
                <c:pt idx="15">
                  <c:v>47.250540071537358</c:v>
                </c:pt>
                <c:pt idx="16">
                  <c:v>72.724722211999989</c:v>
                </c:pt>
                <c:pt idx="17">
                  <c:v>52.214290282253224</c:v>
                </c:pt>
                <c:pt idx="18">
                  <c:v>72.724722211999989</c:v>
                </c:pt>
                <c:pt idx="19">
                  <c:v>56.261078420551257</c:v>
                </c:pt>
                <c:pt idx="20">
                  <c:v>54.658935580179502</c:v>
                </c:pt>
                <c:pt idx="21">
                  <c:v>54.481334955478353</c:v>
                </c:pt>
                <c:pt idx="22">
                  <c:v>50.599433669204117</c:v>
                </c:pt>
                <c:pt idx="23">
                  <c:v>52.909829917891088</c:v>
                </c:pt>
                <c:pt idx="24">
                  <c:v>54.79205806774241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41-4402-8EE6-78E293B7B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P90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[1]All_Scenarios!$A$577:$A$601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[1]All_Scenarios!$D$577:$D$601</c:f>
              <c:numCache>
                <c:formatCode>General</c:formatCode>
                <c:ptCount val="25"/>
                <c:pt idx="0">
                  <c:v>33.944489218177623</c:v>
                </c:pt>
                <c:pt idx="1">
                  <c:v>34.55740194316153</c:v>
                </c:pt>
                <c:pt idx="2">
                  <c:v>35.727667348270053</c:v>
                </c:pt>
                <c:pt idx="3">
                  <c:v>36.268143888844847</c:v>
                </c:pt>
                <c:pt idx="4">
                  <c:v>35.121771067547137</c:v>
                </c:pt>
                <c:pt idx="5">
                  <c:v>36.601674336393003</c:v>
                </c:pt>
                <c:pt idx="6">
                  <c:v>60.345959021650152</c:v>
                </c:pt>
                <c:pt idx="7">
                  <c:v>50.671402626001132</c:v>
                </c:pt>
                <c:pt idx="8">
                  <c:v>50.424891341866271</c:v>
                </c:pt>
                <c:pt idx="9">
                  <c:v>72.724722211999989</c:v>
                </c:pt>
                <c:pt idx="10">
                  <c:v>61.305328753880708</c:v>
                </c:pt>
                <c:pt idx="11">
                  <c:v>65.802945067934346</c:v>
                </c:pt>
                <c:pt idx="12">
                  <c:v>68.243082225704399</c:v>
                </c:pt>
                <c:pt idx="13">
                  <c:v>72.724722211999989</c:v>
                </c:pt>
                <c:pt idx="14">
                  <c:v>70.788475863177979</c:v>
                </c:pt>
                <c:pt idx="15">
                  <c:v>66.128121849297813</c:v>
                </c:pt>
                <c:pt idx="16">
                  <c:v>72.724722211999989</c:v>
                </c:pt>
                <c:pt idx="17">
                  <c:v>72.724722211999989</c:v>
                </c:pt>
                <c:pt idx="18">
                  <c:v>72.724722211999989</c:v>
                </c:pt>
                <c:pt idx="19">
                  <c:v>72.724722211999989</c:v>
                </c:pt>
                <c:pt idx="20">
                  <c:v>72.724722211999989</c:v>
                </c:pt>
                <c:pt idx="21">
                  <c:v>72.391027754571212</c:v>
                </c:pt>
                <c:pt idx="22">
                  <c:v>72.724722211999989</c:v>
                </c:pt>
                <c:pt idx="23">
                  <c:v>70.139580946575492</c:v>
                </c:pt>
                <c:pt idx="24">
                  <c:v>67.985897959529538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B0-4DB6-BCEB-2B840E1F2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[1]All_Scenarios!$A$2:$A$26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[1]All_Scenarios!$B$2:$B$26</c:f>
              <c:numCache>
                <c:formatCode>General</c:formatCode>
                <c:ptCount val="25"/>
                <c:pt idx="0">
                  <c:v>52.131650615948899</c:v>
                </c:pt>
                <c:pt idx="1">
                  <c:v>31.619444439999999</c:v>
                </c:pt>
                <c:pt idx="2">
                  <c:v>31.480434527314671</c:v>
                </c:pt>
                <c:pt idx="3">
                  <c:v>31.123851808288361</c:v>
                </c:pt>
                <c:pt idx="4">
                  <c:v>30.81184063037162</c:v>
                </c:pt>
                <c:pt idx="5">
                  <c:v>30.695883664951239</c:v>
                </c:pt>
                <c:pt idx="6">
                  <c:v>31.520636342617571</c:v>
                </c:pt>
                <c:pt idx="7">
                  <c:v>30.062128617295659</c:v>
                </c:pt>
                <c:pt idx="8">
                  <c:v>29.85209661960662</c:v>
                </c:pt>
                <c:pt idx="9">
                  <c:v>30.852190974139919</c:v>
                </c:pt>
                <c:pt idx="10">
                  <c:v>30.27512812820914</c:v>
                </c:pt>
                <c:pt idx="11">
                  <c:v>29.778023430589499</c:v>
                </c:pt>
                <c:pt idx="12">
                  <c:v>30.703403448043971</c:v>
                </c:pt>
                <c:pt idx="13">
                  <c:v>30.356660431932742</c:v>
                </c:pt>
                <c:pt idx="14">
                  <c:v>29.89227235407499</c:v>
                </c:pt>
                <c:pt idx="15">
                  <c:v>29.682461482440939</c:v>
                </c:pt>
                <c:pt idx="16">
                  <c:v>29.607983278143571</c:v>
                </c:pt>
                <c:pt idx="17">
                  <c:v>30.802862814019591</c:v>
                </c:pt>
                <c:pt idx="18">
                  <c:v>30.765536623834642</c:v>
                </c:pt>
                <c:pt idx="19">
                  <c:v>30.346139499939259</c:v>
                </c:pt>
                <c:pt idx="20">
                  <c:v>30.688754142081049</c:v>
                </c:pt>
                <c:pt idx="21">
                  <c:v>29.439186705477461</c:v>
                </c:pt>
                <c:pt idx="22">
                  <c:v>29.641877374811539</c:v>
                </c:pt>
                <c:pt idx="23">
                  <c:v>30.168109645173221</c:v>
                </c:pt>
                <c:pt idx="24">
                  <c:v>30.54881797450728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83-48B9-AAF5-A5F09C2D4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[1]All_Scenarios!$A$2:$A$26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[1]All_Scenarios!$C$2:$C$26</c:f>
              <c:numCache>
                <c:formatCode>General</c:formatCode>
                <c:ptCount val="25"/>
                <c:pt idx="0">
                  <c:v>52.131650615948899</c:v>
                </c:pt>
                <c:pt idx="1">
                  <c:v>36.923091881504043</c:v>
                </c:pt>
                <c:pt idx="2">
                  <c:v>38.582234796613392</c:v>
                </c:pt>
                <c:pt idx="3">
                  <c:v>38.821187918002693</c:v>
                </c:pt>
                <c:pt idx="4">
                  <c:v>39.157964434052722</c:v>
                </c:pt>
                <c:pt idx="5">
                  <c:v>38.744496835674333</c:v>
                </c:pt>
                <c:pt idx="6">
                  <c:v>37.515614468874809</c:v>
                </c:pt>
                <c:pt idx="7">
                  <c:v>37.412372748971592</c:v>
                </c:pt>
                <c:pt idx="8">
                  <c:v>38.338394013300253</c:v>
                </c:pt>
                <c:pt idx="9">
                  <c:v>40.204814594151827</c:v>
                </c:pt>
                <c:pt idx="10">
                  <c:v>39.500694990286732</c:v>
                </c:pt>
                <c:pt idx="11">
                  <c:v>38.576161986554283</c:v>
                </c:pt>
                <c:pt idx="12">
                  <c:v>36.559868586266241</c:v>
                </c:pt>
                <c:pt idx="13">
                  <c:v>37.291636108981713</c:v>
                </c:pt>
                <c:pt idx="14">
                  <c:v>37.521829217343537</c:v>
                </c:pt>
                <c:pt idx="15">
                  <c:v>39.212754634558117</c:v>
                </c:pt>
                <c:pt idx="16">
                  <c:v>38.588190541897937</c:v>
                </c:pt>
                <c:pt idx="17">
                  <c:v>38.199778894638627</c:v>
                </c:pt>
                <c:pt idx="18">
                  <c:v>38.75365394295072</c:v>
                </c:pt>
                <c:pt idx="19">
                  <c:v>37.356538604060908</c:v>
                </c:pt>
                <c:pt idx="20">
                  <c:v>38.659083769148538</c:v>
                </c:pt>
                <c:pt idx="21">
                  <c:v>39.226672834314321</c:v>
                </c:pt>
                <c:pt idx="22">
                  <c:v>39.114105722336546</c:v>
                </c:pt>
                <c:pt idx="23">
                  <c:v>38.560473199256052</c:v>
                </c:pt>
                <c:pt idx="24">
                  <c:v>38.388239165958318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34-488E-810E-52FD0150A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P90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[1]All_Scenarios!$A$2:$A$26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[1]All_Scenarios!$D$2:$D$26</c:f>
              <c:numCache>
                <c:formatCode>General</c:formatCode>
                <c:ptCount val="25"/>
                <c:pt idx="0">
                  <c:v>52.131650615948899</c:v>
                </c:pt>
                <c:pt idx="1">
                  <c:v>48.552430782892962</c:v>
                </c:pt>
                <c:pt idx="2">
                  <c:v>48.826716100147387</c:v>
                </c:pt>
                <c:pt idx="3">
                  <c:v>51.79514124389776</c:v>
                </c:pt>
                <c:pt idx="4">
                  <c:v>50.938008839589948</c:v>
                </c:pt>
                <c:pt idx="5">
                  <c:v>50.567892871418593</c:v>
                </c:pt>
                <c:pt idx="6">
                  <c:v>49.992286394598928</c:v>
                </c:pt>
                <c:pt idx="7">
                  <c:v>51.402272874051157</c:v>
                </c:pt>
                <c:pt idx="8">
                  <c:v>51.170231673328679</c:v>
                </c:pt>
                <c:pt idx="9">
                  <c:v>51.314267334871737</c:v>
                </c:pt>
                <c:pt idx="10">
                  <c:v>50.065142501041407</c:v>
                </c:pt>
                <c:pt idx="11">
                  <c:v>50.746628674692431</c:v>
                </c:pt>
                <c:pt idx="12">
                  <c:v>52.697429135932737</c:v>
                </c:pt>
                <c:pt idx="13">
                  <c:v>51.062722729627232</c:v>
                </c:pt>
                <c:pt idx="14">
                  <c:v>50.658398728432147</c:v>
                </c:pt>
                <c:pt idx="15">
                  <c:v>51.046792315662401</c:v>
                </c:pt>
                <c:pt idx="16">
                  <c:v>52.223198598593548</c:v>
                </c:pt>
                <c:pt idx="17">
                  <c:v>50.670243498553518</c:v>
                </c:pt>
                <c:pt idx="18">
                  <c:v>51.27310619442688</c:v>
                </c:pt>
                <c:pt idx="19">
                  <c:v>53.936776674091753</c:v>
                </c:pt>
                <c:pt idx="20">
                  <c:v>53.8952437312347</c:v>
                </c:pt>
                <c:pt idx="21">
                  <c:v>55.032550866068448</c:v>
                </c:pt>
                <c:pt idx="22">
                  <c:v>53.483168579589602</c:v>
                </c:pt>
                <c:pt idx="23">
                  <c:v>53.406950457438022</c:v>
                </c:pt>
                <c:pt idx="24">
                  <c:v>53.932144284965943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E3-4631-B9EB-835FC0EBB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[1]All_Scenarios!$A$27:$A$51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[1]All_Scenarios!$B$27:$B$51</c:f>
              <c:numCache>
                <c:formatCode>General</c:formatCode>
                <c:ptCount val="25"/>
                <c:pt idx="0">
                  <c:v>30.99057804982187</c:v>
                </c:pt>
                <c:pt idx="1">
                  <c:v>29.441300426505961</c:v>
                </c:pt>
                <c:pt idx="2">
                  <c:v>29.934648536755521</c:v>
                </c:pt>
                <c:pt idx="3">
                  <c:v>29.961898742838901</c:v>
                </c:pt>
                <c:pt idx="4">
                  <c:v>28.814727182185742</c:v>
                </c:pt>
                <c:pt idx="5">
                  <c:v>47.507453614690803</c:v>
                </c:pt>
                <c:pt idx="6">
                  <c:v>32.244275992497158</c:v>
                </c:pt>
                <c:pt idx="7">
                  <c:v>32.644955900997047</c:v>
                </c:pt>
                <c:pt idx="8">
                  <c:v>31.341027047856411</c:v>
                </c:pt>
                <c:pt idx="9">
                  <c:v>32.388442848446623</c:v>
                </c:pt>
                <c:pt idx="10">
                  <c:v>32.020682509461977</c:v>
                </c:pt>
                <c:pt idx="11">
                  <c:v>31.506477685483912</c:v>
                </c:pt>
                <c:pt idx="12">
                  <c:v>30.683209222594311</c:v>
                </c:pt>
                <c:pt idx="13">
                  <c:v>29.441948793884318</c:v>
                </c:pt>
                <c:pt idx="14">
                  <c:v>30.109054058076261</c:v>
                </c:pt>
                <c:pt idx="15">
                  <c:v>30.543594127395199</c:v>
                </c:pt>
                <c:pt idx="16">
                  <c:v>30.79778242737547</c:v>
                </c:pt>
                <c:pt idx="17">
                  <c:v>29.150298607374939</c:v>
                </c:pt>
                <c:pt idx="18">
                  <c:v>30.747818421466722</c:v>
                </c:pt>
                <c:pt idx="19">
                  <c:v>30.55939572681902</c:v>
                </c:pt>
                <c:pt idx="20">
                  <c:v>29.681343526866339</c:v>
                </c:pt>
                <c:pt idx="21">
                  <c:v>30.380970508412641</c:v>
                </c:pt>
                <c:pt idx="22">
                  <c:v>29.65828726251544</c:v>
                </c:pt>
                <c:pt idx="23">
                  <c:v>29.07942093528105</c:v>
                </c:pt>
                <c:pt idx="24">
                  <c:v>27.911616040619428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0A-4B46-8798-5992C0242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[1]All_Scenarios!$A$27:$A$51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[1]All_Scenarios!$C$27:$C$51</c:f>
              <c:numCache>
                <c:formatCode>General</c:formatCode>
                <c:ptCount val="25"/>
                <c:pt idx="0">
                  <c:v>30.36490174226876</c:v>
                </c:pt>
                <c:pt idx="1">
                  <c:v>30.438147445697219</c:v>
                </c:pt>
                <c:pt idx="2">
                  <c:v>29.97678290098267</c:v>
                </c:pt>
                <c:pt idx="3">
                  <c:v>30.640068858609791</c:v>
                </c:pt>
                <c:pt idx="4">
                  <c:v>31.888781394982789</c:v>
                </c:pt>
                <c:pt idx="5">
                  <c:v>52.575712182614623</c:v>
                </c:pt>
                <c:pt idx="6">
                  <c:v>37.450107109774223</c:v>
                </c:pt>
                <c:pt idx="7">
                  <c:v>37.224037847034623</c:v>
                </c:pt>
                <c:pt idx="8">
                  <c:v>36.537156205643768</c:v>
                </c:pt>
                <c:pt idx="9">
                  <c:v>38.17950416903011</c:v>
                </c:pt>
                <c:pt idx="10">
                  <c:v>38.539050341302669</c:v>
                </c:pt>
                <c:pt idx="11">
                  <c:v>38.148812423073387</c:v>
                </c:pt>
                <c:pt idx="12">
                  <c:v>37.259410367935907</c:v>
                </c:pt>
                <c:pt idx="13">
                  <c:v>37.650920425622132</c:v>
                </c:pt>
                <c:pt idx="14">
                  <c:v>39.253421397947712</c:v>
                </c:pt>
                <c:pt idx="15">
                  <c:v>39.129322648635721</c:v>
                </c:pt>
                <c:pt idx="16">
                  <c:v>38.446815442161821</c:v>
                </c:pt>
                <c:pt idx="17">
                  <c:v>37.876348108209143</c:v>
                </c:pt>
                <c:pt idx="18">
                  <c:v>38.123550800245368</c:v>
                </c:pt>
                <c:pt idx="19">
                  <c:v>38.270570789721113</c:v>
                </c:pt>
                <c:pt idx="20">
                  <c:v>38.742016694391609</c:v>
                </c:pt>
                <c:pt idx="21">
                  <c:v>37.965371904812613</c:v>
                </c:pt>
                <c:pt idx="22">
                  <c:v>37.816800293620837</c:v>
                </c:pt>
                <c:pt idx="23">
                  <c:v>38.323725706471407</c:v>
                </c:pt>
                <c:pt idx="24">
                  <c:v>39.336880421413348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3C-4917-855C-70D26DA47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P90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[1]All_Scenarios!$A$27:$A$51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[1]All_Scenarios!$D$27:$D$51</c:f>
              <c:numCache>
                <c:formatCode>General</c:formatCode>
                <c:ptCount val="25"/>
                <c:pt idx="0">
                  <c:v>32.783359022615663</c:v>
                </c:pt>
                <c:pt idx="1">
                  <c:v>33.654165623735253</c:v>
                </c:pt>
                <c:pt idx="2">
                  <c:v>32.939563421606209</c:v>
                </c:pt>
                <c:pt idx="3">
                  <c:v>34.044208894550529</c:v>
                </c:pt>
                <c:pt idx="4">
                  <c:v>34.956615514833487</c:v>
                </c:pt>
                <c:pt idx="5">
                  <c:v>57.633715550992093</c:v>
                </c:pt>
                <c:pt idx="6">
                  <c:v>48.758363756733488</c:v>
                </c:pt>
                <c:pt idx="7">
                  <c:v>50.225107824442702</c:v>
                </c:pt>
                <c:pt idx="8">
                  <c:v>48.396781924628293</c:v>
                </c:pt>
                <c:pt idx="9">
                  <c:v>50.637268021705417</c:v>
                </c:pt>
                <c:pt idx="10">
                  <c:v>51.249683035773828</c:v>
                </c:pt>
                <c:pt idx="11">
                  <c:v>51.062989755515517</c:v>
                </c:pt>
                <c:pt idx="12">
                  <c:v>51.72805507722051</c:v>
                </c:pt>
                <c:pt idx="13">
                  <c:v>51.637736665271021</c:v>
                </c:pt>
                <c:pt idx="14">
                  <c:v>53.054706749003557</c:v>
                </c:pt>
                <c:pt idx="15">
                  <c:v>51.344960472073261</c:v>
                </c:pt>
                <c:pt idx="16">
                  <c:v>52.497071276592557</c:v>
                </c:pt>
                <c:pt idx="17">
                  <c:v>52.934050399054918</c:v>
                </c:pt>
                <c:pt idx="18">
                  <c:v>53.788962942999191</c:v>
                </c:pt>
                <c:pt idx="19">
                  <c:v>49.611698391204349</c:v>
                </c:pt>
                <c:pt idx="20">
                  <c:v>51.214399846046888</c:v>
                </c:pt>
                <c:pt idx="21">
                  <c:v>51.253309337585243</c:v>
                </c:pt>
                <c:pt idx="22">
                  <c:v>51.801855059957113</c:v>
                </c:pt>
                <c:pt idx="23">
                  <c:v>53.517018021365537</c:v>
                </c:pt>
                <c:pt idx="24">
                  <c:v>56.426513699737782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D5-4368-B1B6-34C97DF0B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[1]All_Scenarios!$A$52:$A$76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[1]All_Scenarios!$B$52:$B$76</c:f>
              <c:numCache>
                <c:formatCode>General</c:formatCode>
                <c:ptCount val="25"/>
                <c:pt idx="0">
                  <c:v>30.849946489682559</c:v>
                </c:pt>
                <c:pt idx="1">
                  <c:v>30.81060222035229</c:v>
                </c:pt>
                <c:pt idx="2">
                  <c:v>29.793173630620188</c:v>
                </c:pt>
                <c:pt idx="3">
                  <c:v>29.772213180206279</c:v>
                </c:pt>
                <c:pt idx="4">
                  <c:v>28.926898255118441</c:v>
                </c:pt>
                <c:pt idx="5">
                  <c:v>29.106733589215079</c:v>
                </c:pt>
                <c:pt idx="6">
                  <c:v>28.040406659125331</c:v>
                </c:pt>
                <c:pt idx="7">
                  <c:v>28.640591422629289</c:v>
                </c:pt>
                <c:pt idx="8">
                  <c:v>28.54769105988683</c:v>
                </c:pt>
                <c:pt idx="9">
                  <c:v>28.01187193707656</c:v>
                </c:pt>
                <c:pt idx="10">
                  <c:v>28.53223311066251</c:v>
                </c:pt>
                <c:pt idx="11">
                  <c:v>28.995368194579989</c:v>
                </c:pt>
                <c:pt idx="12">
                  <c:v>47.805280294185998</c:v>
                </c:pt>
                <c:pt idx="13">
                  <c:v>30.556856570112181</c:v>
                </c:pt>
                <c:pt idx="14">
                  <c:v>30.031116153654459</c:v>
                </c:pt>
                <c:pt idx="15">
                  <c:v>31.208971272750951</c:v>
                </c:pt>
                <c:pt idx="16">
                  <c:v>29.344129022626198</c:v>
                </c:pt>
                <c:pt idx="17">
                  <c:v>29.01401524783099</c:v>
                </c:pt>
                <c:pt idx="18">
                  <c:v>29.895490231702141</c:v>
                </c:pt>
                <c:pt idx="19">
                  <c:v>29.840994866669451</c:v>
                </c:pt>
                <c:pt idx="20">
                  <c:v>28.708938784563831</c:v>
                </c:pt>
                <c:pt idx="21">
                  <c:v>29.17278372287273</c:v>
                </c:pt>
                <c:pt idx="22">
                  <c:v>29.52654819287751</c:v>
                </c:pt>
                <c:pt idx="23">
                  <c:v>30.41371905835183</c:v>
                </c:pt>
                <c:pt idx="24">
                  <c:v>30.67446353502616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6F-4AC9-8C27-D21538C81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[1]All_Scenarios!$A$52:$A$76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[1]All_Scenarios!$C$52:$C$76</c:f>
              <c:numCache>
                <c:formatCode>General</c:formatCode>
                <c:ptCount val="25"/>
                <c:pt idx="0">
                  <c:v>32.430417068058937</c:v>
                </c:pt>
                <c:pt idx="1">
                  <c:v>32.78759523871026</c:v>
                </c:pt>
                <c:pt idx="2">
                  <c:v>32.171726332481413</c:v>
                </c:pt>
                <c:pt idx="3">
                  <c:v>31.339754258620719</c:v>
                </c:pt>
                <c:pt idx="4">
                  <c:v>29.847170776136341</c:v>
                </c:pt>
                <c:pt idx="5">
                  <c:v>33.072672757601552</c:v>
                </c:pt>
                <c:pt idx="6">
                  <c:v>32.566299581648693</c:v>
                </c:pt>
                <c:pt idx="7">
                  <c:v>32.18077392808226</c:v>
                </c:pt>
                <c:pt idx="8">
                  <c:v>31.922725952284448</c:v>
                </c:pt>
                <c:pt idx="9">
                  <c:v>30.745370893360921</c:v>
                </c:pt>
                <c:pt idx="10">
                  <c:v>32.331007797934923</c:v>
                </c:pt>
                <c:pt idx="11">
                  <c:v>32.633325961418379</c:v>
                </c:pt>
                <c:pt idx="12">
                  <c:v>53.803258646281193</c:v>
                </c:pt>
                <c:pt idx="13">
                  <c:v>38.414438225451043</c:v>
                </c:pt>
                <c:pt idx="14">
                  <c:v>37.299438854144157</c:v>
                </c:pt>
                <c:pt idx="15">
                  <c:v>37.42593042727713</c:v>
                </c:pt>
                <c:pt idx="16">
                  <c:v>39.635513077666317</c:v>
                </c:pt>
                <c:pt idx="17">
                  <c:v>38.258946111464461</c:v>
                </c:pt>
                <c:pt idx="18">
                  <c:v>39.497513122926968</c:v>
                </c:pt>
                <c:pt idx="19">
                  <c:v>38.197773136930337</c:v>
                </c:pt>
                <c:pt idx="20">
                  <c:v>39.455950065285187</c:v>
                </c:pt>
                <c:pt idx="21">
                  <c:v>40.045491706082338</c:v>
                </c:pt>
                <c:pt idx="22">
                  <c:v>38.742827986609868</c:v>
                </c:pt>
                <c:pt idx="23">
                  <c:v>37.292763915727832</c:v>
                </c:pt>
                <c:pt idx="24">
                  <c:v>38.267145598176931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4A-4737-A341-94251ECC6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P90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[1]All_Scenarios!$A$52:$A$76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[1]All_Scenarios!$D$52:$D$76</c:f>
              <c:numCache>
                <c:formatCode>General</c:formatCode>
                <c:ptCount val="25"/>
                <c:pt idx="0">
                  <c:v>31.289745472857259</c:v>
                </c:pt>
                <c:pt idx="1">
                  <c:v>32.098585677669959</c:v>
                </c:pt>
                <c:pt idx="2">
                  <c:v>33.219510026872641</c:v>
                </c:pt>
                <c:pt idx="3">
                  <c:v>35.048430109686507</c:v>
                </c:pt>
                <c:pt idx="4">
                  <c:v>35.304221717151883</c:v>
                </c:pt>
                <c:pt idx="5">
                  <c:v>35.046357607529167</c:v>
                </c:pt>
                <c:pt idx="6">
                  <c:v>34.369660084345298</c:v>
                </c:pt>
                <c:pt idx="7">
                  <c:v>34.024864531062939</c:v>
                </c:pt>
                <c:pt idx="8">
                  <c:v>34.777315173368947</c:v>
                </c:pt>
                <c:pt idx="9">
                  <c:v>35.69687225367003</c:v>
                </c:pt>
                <c:pt idx="10">
                  <c:v>36.339629724622789</c:v>
                </c:pt>
                <c:pt idx="11">
                  <c:v>35.757460427213722</c:v>
                </c:pt>
                <c:pt idx="12">
                  <c:v>58.954085592565363</c:v>
                </c:pt>
                <c:pt idx="13">
                  <c:v>55.898124813754208</c:v>
                </c:pt>
                <c:pt idx="14">
                  <c:v>54.436293614997368</c:v>
                </c:pt>
                <c:pt idx="15">
                  <c:v>52.981155979537128</c:v>
                </c:pt>
                <c:pt idx="16">
                  <c:v>53.451687336149639</c:v>
                </c:pt>
                <c:pt idx="17">
                  <c:v>54.185441676940407</c:v>
                </c:pt>
                <c:pt idx="18">
                  <c:v>51.344092930722873</c:v>
                </c:pt>
                <c:pt idx="19">
                  <c:v>50.014168594185413</c:v>
                </c:pt>
                <c:pt idx="20">
                  <c:v>53.192221112484887</c:v>
                </c:pt>
                <c:pt idx="21">
                  <c:v>54.064360678836273</c:v>
                </c:pt>
                <c:pt idx="22">
                  <c:v>52.518072111072421</c:v>
                </c:pt>
                <c:pt idx="23">
                  <c:v>53.78511063751688</c:v>
                </c:pt>
                <c:pt idx="24">
                  <c:v>55.982606321696558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C1-43F1-A810-774F905A5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[1]All_Scenarios!$A$77:$A$101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[1]All_Scenarios!$B$77:$B$101</c:f>
              <c:numCache>
                <c:formatCode>General</c:formatCode>
                <c:ptCount val="25"/>
                <c:pt idx="0">
                  <c:v>30.849946489682559</c:v>
                </c:pt>
                <c:pt idx="1">
                  <c:v>30.81060222035229</c:v>
                </c:pt>
                <c:pt idx="2">
                  <c:v>29.793173630620188</c:v>
                </c:pt>
                <c:pt idx="3">
                  <c:v>29.772213180206279</c:v>
                </c:pt>
                <c:pt idx="4">
                  <c:v>28.926898255118441</c:v>
                </c:pt>
                <c:pt idx="5">
                  <c:v>29.106733589215079</c:v>
                </c:pt>
                <c:pt idx="6">
                  <c:v>28.040406659125331</c:v>
                </c:pt>
                <c:pt idx="7">
                  <c:v>28.640591422629289</c:v>
                </c:pt>
                <c:pt idx="8">
                  <c:v>28.54769105988683</c:v>
                </c:pt>
                <c:pt idx="9">
                  <c:v>28.01187193707656</c:v>
                </c:pt>
                <c:pt idx="10">
                  <c:v>28.53223311066251</c:v>
                </c:pt>
                <c:pt idx="11">
                  <c:v>28.995368194579989</c:v>
                </c:pt>
                <c:pt idx="12">
                  <c:v>28.681558985202301</c:v>
                </c:pt>
                <c:pt idx="13">
                  <c:v>28.065011120294699</c:v>
                </c:pt>
                <c:pt idx="14">
                  <c:v>27.582143695747298</c:v>
                </c:pt>
                <c:pt idx="15">
                  <c:v>28.663947281783429</c:v>
                </c:pt>
                <c:pt idx="16">
                  <c:v>42.881900588514277</c:v>
                </c:pt>
                <c:pt idx="17">
                  <c:v>29.5159080641826</c:v>
                </c:pt>
                <c:pt idx="18">
                  <c:v>30.412631056935659</c:v>
                </c:pt>
                <c:pt idx="19">
                  <c:v>30.357193015337842</c:v>
                </c:pt>
                <c:pt idx="20">
                  <c:v>29.205554300133599</c:v>
                </c:pt>
                <c:pt idx="21">
                  <c:v>29.67742296216532</c:v>
                </c:pt>
                <c:pt idx="22">
                  <c:v>30.037306952155841</c:v>
                </c:pt>
                <c:pt idx="23">
                  <c:v>30.939824355517271</c:v>
                </c:pt>
                <c:pt idx="24">
                  <c:v>31.205079265464231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57-4FEE-8CD0-569C9C02D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[1]All_Scenarios!$A$252:$A$276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[1]All_Scenarios!$B$252:$B$276</c:f>
              <c:numCache>
                <c:formatCode>General</c:formatCode>
                <c:ptCount val="25"/>
                <c:pt idx="0">
                  <c:v>31.699515995012071</c:v>
                </c:pt>
                <c:pt idx="1">
                  <c:v>31.723109845270258</c:v>
                </c:pt>
                <c:pt idx="2">
                  <c:v>32.260235467847842</c:v>
                </c:pt>
                <c:pt idx="3">
                  <c:v>30.627756739570529</c:v>
                </c:pt>
                <c:pt idx="4">
                  <c:v>30.29801019385885</c:v>
                </c:pt>
                <c:pt idx="5">
                  <c:v>30.371141047331179</c:v>
                </c:pt>
                <c:pt idx="6">
                  <c:v>29.676018722163839</c:v>
                </c:pt>
                <c:pt idx="7">
                  <c:v>28.970926257678968</c:v>
                </c:pt>
                <c:pt idx="8">
                  <c:v>27.90546292782707</c:v>
                </c:pt>
                <c:pt idx="9">
                  <c:v>27.152718644787871</c:v>
                </c:pt>
                <c:pt idx="10">
                  <c:v>28.07803215460692</c:v>
                </c:pt>
                <c:pt idx="11">
                  <c:v>46.292848852702583</c:v>
                </c:pt>
                <c:pt idx="12">
                  <c:v>28.07803215460692</c:v>
                </c:pt>
                <c:pt idx="13">
                  <c:v>46.292848852702583</c:v>
                </c:pt>
                <c:pt idx="14">
                  <c:v>35.800325393575669</c:v>
                </c:pt>
                <c:pt idx="15">
                  <c:v>52.23571306410647</c:v>
                </c:pt>
                <c:pt idx="16">
                  <c:v>40.732159418504366</c:v>
                </c:pt>
                <c:pt idx="17">
                  <c:v>40.812190016705941</c:v>
                </c:pt>
                <c:pt idx="18">
                  <c:v>40.786166761603269</c:v>
                </c:pt>
                <c:pt idx="19">
                  <c:v>40.712298085590582</c:v>
                </c:pt>
                <c:pt idx="20">
                  <c:v>39.234143256532441</c:v>
                </c:pt>
                <c:pt idx="21">
                  <c:v>38.013496768474113</c:v>
                </c:pt>
                <c:pt idx="22">
                  <c:v>36.68772466663092</c:v>
                </c:pt>
                <c:pt idx="23">
                  <c:v>38.077261084635872</c:v>
                </c:pt>
                <c:pt idx="24">
                  <c:v>38.368716784722388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78-4577-9FD0-FBCB82E16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[1]All_Scenarios!$A$102:$A$126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[1]All_Scenarios!$B$102:$B$126</c:f>
              <c:numCache>
                <c:formatCode>General</c:formatCode>
                <c:ptCount val="25"/>
                <c:pt idx="0">
                  <c:v>30.052936027126499</c:v>
                </c:pt>
                <c:pt idx="1">
                  <c:v>30.051023519474128</c:v>
                </c:pt>
                <c:pt idx="2">
                  <c:v>29.66951138184892</c:v>
                </c:pt>
                <c:pt idx="3">
                  <c:v>29.442884023430171</c:v>
                </c:pt>
                <c:pt idx="4">
                  <c:v>29.17402873886142</c:v>
                </c:pt>
                <c:pt idx="5">
                  <c:v>29.209540263620401</c:v>
                </c:pt>
                <c:pt idx="6">
                  <c:v>29.149703593747091</c:v>
                </c:pt>
                <c:pt idx="7">
                  <c:v>28.11710250922614</c:v>
                </c:pt>
                <c:pt idx="8">
                  <c:v>27.963554025348561</c:v>
                </c:pt>
                <c:pt idx="9">
                  <c:v>27.235322122325641</c:v>
                </c:pt>
                <c:pt idx="10">
                  <c:v>27.037297593442251</c:v>
                </c:pt>
                <c:pt idx="11">
                  <c:v>27.589581713155319</c:v>
                </c:pt>
                <c:pt idx="12">
                  <c:v>27.8765718358001</c:v>
                </c:pt>
                <c:pt idx="13">
                  <c:v>27.358522022698711</c:v>
                </c:pt>
                <c:pt idx="14">
                  <c:v>27.189599332058279</c:v>
                </c:pt>
                <c:pt idx="15">
                  <c:v>26.487862259100989</c:v>
                </c:pt>
                <c:pt idx="16">
                  <c:v>25.805391053868419</c:v>
                </c:pt>
                <c:pt idx="17">
                  <c:v>26.115469889728619</c:v>
                </c:pt>
                <c:pt idx="18">
                  <c:v>25.599432880128511</c:v>
                </c:pt>
                <c:pt idx="19">
                  <c:v>25.70230085767713</c:v>
                </c:pt>
                <c:pt idx="20">
                  <c:v>26.315732537786779</c:v>
                </c:pt>
                <c:pt idx="21">
                  <c:v>43.387307989104528</c:v>
                </c:pt>
                <c:pt idx="22">
                  <c:v>28.804234584926039</c:v>
                </c:pt>
                <c:pt idx="23">
                  <c:v>29.287470584455011</c:v>
                </c:pt>
                <c:pt idx="24">
                  <c:v>29.702918702848521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F1-4A67-8021-B324BD97E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[1]All_Scenarios!$A$127:$A$151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[1]All_Scenarios!$B$127:$B$151</c:f>
              <c:numCache>
                <c:formatCode>General</c:formatCode>
                <c:ptCount val="25"/>
                <c:pt idx="0">
                  <c:v>29.569907042759571</c:v>
                </c:pt>
                <c:pt idx="1">
                  <c:v>28.735082253393781</c:v>
                </c:pt>
                <c:pt idx="2">
                  <c:v>29.2150555728544</c:v>
                </c:pt>
                <c:pt idx="3">
                  <c:v>48.167483547651358</c:v>
                </c:pt>
                <c:pt idx="4">
                  <c:v>31.925809603455441</c:v>
                </c:pt>
                <c:pt idx="5">
                  <c:v>33.198107719823717</c:v>
                </c:pt>
                <c:pt idx="6">
                  <c:v>32.30238413843847</c:v>
                </c:pt>
                <c:pt idx="7">
                  <c:v>31.68800641121139</c:v>
                </c:pt>
                <c:pt idx="8">
                  <c:v>31.74195054369228</c:v>
                </c:pt>
                <c:pt idx="9">
                  <c:v>31.082701637776701</c:v>
                </c:pt>
                <c:pt idx="10">
                  <c:v>31.231015862639609</c:v>
                </c:pt>
                <c:pt idx="11">
                  <c:v>51.491240158307043</c:v>
                </c:pt>
                <c:pt idx="12">
                  <c:v>33.016431165819789</c:v>
                </c:pt>
                <c:pt idx="13">
                  <c:v>32.549132217944063</c:v>
                </c:pt>
                <c:pt idx="14">
                  <c:v>32.867869620252527</c:v>
                </c:pt>
                <c:pt idx="15">
                  <c:v>33.05262436762991</c:v>
                </c:pt>
                <c:pt idx="16">
                  <c:v>35.587246074924913</c:v>
                </c:pt>
                <c:pt idx="17">
                  <c:v>34.920252905431568</c:v>
                </c:pt>
                <c:pt idx="18">
                  <c:v>35.209812449272412</c:v>
                </c:pt>
                <c:pt idx="19">
                  <c:v>33.981238743948417</c:v>
                </c:pt>
                <c:pt idx="20">
                  <c:v>33.192762108737831</c:v>
                </c:pt>
                <c:pt idx="21">
                  <c:v>33.21624335676114</c:v>
                </c:pt>
                <c:pt idx="22">
                  <c:v>31.94311826230464</c:v>
                </c:pt>
                <c:pt idx="23">
                  <c:v>32.484606111138397</c:v>
                </c:pt>
                <c:pt idx="24">
                  <c:v>32.482874637483057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4B-424E-AC9C-629CF3F2D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[1]All_Scenarios!$A$152:$A$176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[1]All_Scenarios!$B$152:$B$176</c:f>
              <c:numCache>
                <c:formatCode>General</c:formatCode>
                <c:ptCount val="25"/>
                <c:pt idx="0">
                  <c:v>30.983731683772241</c:v>
                </c:pt>
                <c:pt idx="1">
                  <c:v>30.508466204388029</c:v>
                </c:pt>
                <c:pt idx="2">
                  <c:v>29.51713396840168</c:v>
                </c:pt>
                <c:pt idx="3">
                  <c:v>29.416329366650562</c:v>
                </c:pt>
                <c:pt idx="4">
                  <c:v>48.499327932717613</c:v>
                </c:pt>
                <c:pt idx="5">
                  <c:v>29.416329366650562</c:v>
                </c:pt>
                <c:pt idx="6">
                  <c:v>29.950794113126719</c:v>
                </c:pt>
                <c:pt idx="7">
                  <c:v>30.13074713879406</c:v>
                </c:pt>
                <c:pt idx="8">
                  <c:v>30.865494681502781</c:v>
                </c:pt>
                <c:pt idx="9">
                  <c:v>30.810492177341281</c:v>
                </c:pt>
                <c:pt idx="10">
                  <c:v>30.558535015887511</c:v>
                </c:pt>
                <c:pt idx="11">
                  <c:v>30.167839618492021</c:v>
                </c:pt>
                <c:pt idx="12">
                  <c:v>30.477107486771121</c:v>
                </c:pt>
                <c:pt idx="13">
                  <c:v>29.23764949261173</c:v>
                </c:pt>
                <c:pt idx="14">
                  <c:v>28.1463115255068</c:v>
                </c:pt>
                <c:pt idx="15">
                  <c:v>28.804710129979831</c:v>
                </c:pt>
                <c:pt idx="16">
                  <c:v>28.68606449899708</c:v>
                </c:pt>
                <c:pt idx="17">
                  <c:v>28.69444469024274</c:v>
                </c:pt>
                <c:pt idx="18">
                  <c:v>28.42257286551575</c:v>
                </c:pt>
                <c:pt idx="19">
                  <c:v>27.475047035854718</c:v>
                </c:pt>
                <c:pt idx="20">
                  <c:v>29.553563992518342</c:v>
                </c:pt>
                <c:pt idx="21">
                  <c:v>48.725589579462387</c:v>
                </c:pt>
                <c:pt idx="22">
                  <c:v>34.534536476524814</c:v>
                </c:pt>
                <c:pt idx="23">
                  <c:v>34.930782092378038</c:v>
                </c:pt>
                <c:pt idx="24">
                  <c:v>34.260287371008197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CD-43C5-92C8-116273E05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[1]All_Scenarios!$A$177:$A$201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[1]All_Scenarios!$B$177:$B$201</c:f>
              <c:numCache>
                <c:formatCode>General</c:formatCode>
                <c:ptCount val="25"/>
                <c:pt idx="0">
                  <c:v>31.47369512827423</c:v>
                </c:pt>
                <c:pt idx="1">
                  <c:v>30.480001022638049</c:v>
                </c:pt>
                <c:pt idx="2">
                  <c:v>30.62811866275684</c:v>
                </c:pt>
                <c:pt idx="3">
                  <c:v>30.655505041667769</c:v>
                </c:pt>
                <c:pt idx="4">
                  <c:v>29.678900535624209</c:v>
                </c:pt>
                <c:pt idx="5">
                  <c:v>48.932234604077053</c:v>
                </c:pt>
                <c:pt idx="6">
                  <c:v>30.3655564225784</c:v>
                </c:pt>
                <c:pt idx="7">
                  <c:v>30.50994996466649</c:v>
                </c:pt>
                <c:pt idx="8">
                  <c:v>32.033295472199178</c:v>
                </c:pt>
                <c:pt idx="9">
                  <c:v>30.345407096778111</c:v>
                </c:pt>
                <c:pt idx="10">
                  <c:v>50.031118148512697</c:v>
                </c:pt>
                <c:pt idx="11">
                  <c:v>34.333758829147371</c:v>
                </c:pt>
                <c:pt idx="12">
                  <c:v>34.378334274667957</c:v>
                </c:pt>
                <c:pt idx="13">
                  <c:v>33.615651950260087</c:v>
                </c:pt>
                <c:pt idx="14">
                  <c:v>34.315085798991127</c:v>
                </c:pt>
                <c:pt idx="15">
                  <c:v>34.23285084936699</c:v>
                </c:pt>
                <c:pt idx="16">
                  <c:v>35.206321843666707</c:v>
                </c:pt>
                <c:pt idx="17">
                  <c:v>35.458143814542638</c:v>
                </c:pt>
                <c:pt idx="18">
                  <c:v>34.875636744302113</c:v>
                </c:pt>
                <c:pt idx="19">
                  <c:v>34.926023307023193</c:v>
                </c:pt>
                <c:pt idx="20">
                  <c:v>33.939523699947998</c:v>
                </c:pt>
                <c:pt idx="21">
                  <c:v>34.34626926951352</c:v>
                </c:pt>
                <c:pt idx="22">
                  <c:v>32.472039298859173</c:v>
                </c:pt>
                <c:pt idx="23">
                  <c:v>31.461790179783559</c:v>
                </c:pt>
                <c:pt idx="24">
                  <c:v>33.087210863005829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C3-4231-9F15-E97E9588A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[1]All_Scenarios!$A$202:$A$226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[1]All_Scenarios!$B$202:$B$226</c:f>
              <c:numCache>
                <c:formatCode>General</c:formatCode>
                <c:ptCount val="25"/>
                <c:pt idx="0">
                  <c:v>28.903010222147461</c:v>
                </c:pt>
                <c:pt idx="1">
                  <c:v>29.59940775268997</c:v>
                </c:pt>
                <c:pt idx="2">
                  <c:v>29.79012396494392</c:v>
                </c:pt>
                <c:pt idx="3">
                  <c:v>30.35611057627532</c:v>
                </c:pt>
                <c:pt idx="4">
                  <c:v>29.3922561703063</c:v>
                </c:pt>
                <c:pt idx="5">
                  <c:v>27.63538895952605</c:v>
                </c:pt>
                <c:pt idx="6">
                  <c:v>28.168613786299659</c:v>
                </c:pt>
                <c:pt idx="7">
                  <c:v>27.768997029734049</c:v>
                </c:pt>
                <c:pt idx="8">
                  <c:v>27.427892014146789</c:v>
                </c:pt>
                <c:pt idx="9">
                  <c:v>45.220948974189987</c:v>
                </c:pt>
                <c:pt idx="10">
                  <c:v>32.811198260484147</c:v>
                </c:pt>
                <c:pt idx="11">
                  <c:v>30.88079132868241</c:v>
                </c:pt>
                <c:pt idx="12">
                  <c:v>31.472586086421199</c:v>
                </c:pt>
                <c:pt idx="13">
                  <c:v>31.57927058618111</c:v>
                </c:pt>
                <c:pt idx="14">
                  <c:v>31.279804228553221</c:v>
                </c:pt>
                <c:pt idx="15">
                  <c:v>51.571678574951513</c:v>
                </c:pt>
                <c:pt idx="16">
                  <c:v>34.051699474897518</c:v>
                </c:pt>
                <c:pt idx="17">
                  <c:v>35.089833467513678</c:v>
                </c:pt>
                <c:pt idx="18">
                  <c:v>34.857132458049037</c:v>
                </c:pt>
                <c:pt idx="19">
                  <c:v>34.161606619062837</c:v>
                </c:pt>
                <c:pt idx="20">
                  <c:v>32.708461610551751</c:v>
                </c:pt>
                <c:pt idx="21">
                  <c:v>33.579902122522043</c:v>
                </c:pt>
                <c:pt idx="22">
                  <c:v>32.922839761847477</c:v>
                </c:pt>
                <c:pt idx="23">
                  <c:v>32.745641539749379</c:v>
                </c:pt>
                <c:pt idx="24">
                  <c:v>33.022750302046767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A6-4124-B2B8-0DA6D83A9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[1]All_Scenarios!$A$227:$A$251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[1]All_Scenarios!$B$227:$B$251</c:f>
              <c:numCache>
                <c:formatCode>General</c:formatCode>
                <c:ptCount val="25"/>
                <c:pt idx="0">
                  <c:v>31.19853456674198</c:v>
                </c:pt>
                <c:pt idx="1">
                  <c:v>31.562587931727709</c:v>
                </c:pt>
                <c:pt idx="2">
                  <c:v>30.995195540441809</c:v>
                </c:pt>
                <c:pt idx="3">
                  <c:v>31.079943518430401</c:v>
                </c:pt>
                <c:pt idx="4">
                  <c:v>29.684849830498859</c:v>
                </c:pt>
                <c:pt idx="5">
                  <c:v>29.914678645282081</c:v>
                </c:pt>
                <c:pt idx="6">
                  <c:v>28.937617160853812</c:v>
                </c:pt>
                <c:pt idx="7">
                  <c:v>27.58853142071348</c:v>
                </c:pt>
                <c:pt idx="8">
                  <c:v>28.01088016473625</c:v>
                </c:pt>
                <c:pt idx="9">
                  <c:v>27.42913854256501</c:v>
                </c:pt>
                <c:pt idx="10">
                  <c:v>27.14888733081548</c:v>
                </c:pt>
                <c:pt idx="11">
                  <c:v>27.580870759999669</c:v>
                </c:pt>
                <c:pt idx="12">
                  <c:v>27.256365789216549</c:v>
                </c:pt>
                <c:pt idx="13">
                  <c:v>26.410852390960791</c:v>
                </c:pt>
                <c:pt idx="14">
                  <c:v>27.176133340138119</c:v>
                </c:pt>
                <c:pt idx="15">
                  <c:v>27.755568755984029</c:v>
                </c:pt>
                <c:pt idx="16">
                  <c:v>45.761196588370773</c:v>
                </c:pt>
                <c:pt idx="17">
                  <c:v>31.156386865510271</c:v>
                </c:pt>
                <c:pt idx="18">
                  <c:v>30.986833911004069</c:v>
                </c:pt>
                <c:pt idx="19">
                  <c:v>29.804252409052818</c:v>
                </c:pt>
                <c:pt idx="20">
                  <c:v>30.778153288902519</c:v>
                </c:pt>
                <c:pt idx="21">
                  <c:v>28.5905513503692</c:v>
                </c:pt>
                <c:pt idx="22">
                  <c:v>28.31926807503401</c:v>
                </c:pt>
                <c:pt idx="23">
                  <c:v>28.886452171185422</c:v>
                </c:pt>
                <c:pt idx="24">
                  <c:v>47.625708129695298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79-49C8-9160-FB17CA6C6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[1]All_Scenarios!$A$277:$A$301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[1]All_Scenarios!$B$277:$B$301</c:f>
              <c:numCache>
                <c:formatCode>General</c:formatCode>
                <c:ptCount val="25"/>
                <c:pt idx="0">
                  <c:v>52.131650615948899</c:v>
                </c:pt>
                <c:pt idx="1">
                  <c:v>31.619444439999999</c:v>
                </c:pt>
                <c:pt idx="2">
                  <c:v>32.177828586705431</c:v>
                </c:pt>
                <c:pt idx="3">
                  <c:v>32.650058152422787</c:v>
                </c:pt>
                <c:pt idx="4">
                  <c:v>32.986327809812387</c:v>
                </c:pt>
                <c:pt idx="5">
                  <c:v>54.385260302324873</c:v>
                </c:pt>
                <c:pt idx="6">
                  <c:v>34.948081723419158</c:v>
                </c:pt>
                <c:pt idx="7">
                  <c:v>34.665889910263509</c:v>
                </c:pt>
                <c:pt idx="8">
                  <c:v>34.142460412859883</c:v>
                </c:pt>
                <c:pt idx="9">
                  <c:v>35.233895598425804</c:v>
                </c:pt>
                <c:pt idx="10">
                  <c:v>36.606304528255372</c:v>
                </c:pt>
                <c:pt idx="11">
                  <c:v>36.014534006330962</c:v>
                </c:pt>
                <c:pt idx="12">
                  <c:v>36.117018895838257</c:v>
                </c:pt>
                <c:pt idx="13">
                  <c:v>35.207002575375192</c:v>
                </c:pt>
                <c:pt idx="14">
                  <c:v>34.677509422258233</c:v>
                </c:pt>
                <c:pt idx="15">
                  <c:v>33.842227632339593</c:v>
                </c:pt>
                <c:pt idx="16">
                  <c:v>55.796400545313922</c:v>
                </c:pt>
                <c:pt idx="17">
                  <c:v>38.809147833354011</c:v>
                </c:pt>
                <c:pt idx="18">
                  <c:v>39.650400983888026</c:v>
                </c:pt>
                <c:pt idx="19">
                  <c:v>40.247777180522917</c:v>
                </c:pt>
                <c:pt idx="20">
                  <c:v>39.188855142621257</c:v>
                </c:pt>
                <c:pt idx="21">
                  <c:v>39.897222397721642</c:v>
                </c:pt>
                <c:pt idx="22">
                  <c:v>39.866921235607407</c:v>
                </c:pt>
                <c:pt idx="23">
                  <c:v>39.998487553369678</c:v>
                </c:pt>
                <c:pt idx="24">
                  <c:v>41.965674124127453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5F-4733-A34A-AAF4DBB5C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[1]All_Scenarios!$A$302:$A$326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[1]All_Scenarios!$B$302:$B$326</c:f>
              <c:numCache>
                <c:formatCode>General</c:formatCode>
                <c:ptCount val="25"/>
                <c:pt idx="0">
                  <c:v>30.89460300720096</c:v>
                </c:pt>
                <c:pt idx="1">
                  <c:v>30.3576698529018</c:v>
                </c:pt>
                <c:pt idx="2">
                  <c:v>29.993910193919909</c:v>
                </c:pt>
                <c:pt idx="3">
                  <c:v>30.719606510926059</c:v>
                </c:pt>
                <c:pt idx="4">
                  <c:v>29.749962635804788</c:v>
                </c:pt>
                <c:pt idx="5">
                  <c:v>29.569257313684741</c:v>
                </c:pt>
                <c:pt idx="6">
                  <c:v>29.41321442746727</c:v>
                </c:pt>
                <c:pt idx="7">
                  <c:v>28.893546403069951</c:v>
                </c:pt>
                <c:pt idx="8">
                  <c:v>47.637404540702612</c:v>
                </c:pt>
                <c:pt idx="9">
                  <c:v>31.39958489671729</c:v>
                </c:pt>
                <c:pt idx="10">
                  <c:v>30.780340040994631</c:v>
                </c:pt>
                <c:pt idx="11">
                  <c:v>31.897271096216809</c:v>
                </c:pt>
                <c:pt idx="12">
                  <c:v>30.79035390155444</c:v>
                </c:pt>
                <c:pt idx="13">
                  <c:v>30.425901357921109</c:v>
                </c:pt>
                <c:pt idx="14">
                  <c:v>30.690750705302332</c:v>
                </c:pt>
                <c:pt idx="15">
                  <c:v>29.898334765018699</c:v>
                </c:pt>
                <c:pt idx="16">
                  <c:v>30.060955299370729</c:v>
                </c:pt>
                <c:pt idx="17">
                  <c:v>29.201785065985369</c:v>
                </c:pt>
                <c:pt idx="18">
                  <c:v>30.181597620644769</c:v>
                </c:pt>
                <c:pt idx="19">
                  <c:v>29.373830098306879</c:v>
                </c:pt>
                <c:pt idx="20">
                  <c:v>29.19677720916393</c:v>
                </c:pt>
                <c:pt idx="21">
                  <c:v>28.08581897163927</c:v>
                </c:pt>
                <c:pt idx="22">
                  <c:v>46.305687143574872</c:v>
                </c:pt>
                <c:pt idx="23">
                  <c:v>33.593249904777487</c:v>
                </c:pt>
                <c:pt idx="24">
                  <c:v>55.385905669951711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CC-43BC-912B-F2F3FCCAF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[1]All_Scenarios!$A$327:$A$351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[1]All_Scenarios!$B$327:$B$351</c:f>
              <c:numCache>
                <c:formatCode>General</c:formatCode>
                <c:ptCount val="25"/>
                <c:pt idx="0">
                  <c:v>32.206351671347413</c:v>
                </c:pt>
                <c:pt idx="1">
                  <c:v>30.931694194532732</c:v>
                </c:pt>
                <c:pt idx="2">
                  <c:v>29.24873248923851</c:v>
                </c:pt>
                <c:pt idx="3">
                  <c:v>48.22300739602543</c:v>
                </c:pt>
                <c:pt idx="4">
                  <c:v>30.18696082373328</c:v>
                </c:pt>
                <c:pt idx="5">
                  <c:v>31.070807346152439</c:v>
                </c:pt>
                <c:pt idx="6">
                  <c:v>31.896695527699588</c:v>
                </c:pt>
                <c:pt idx="7">
                  <c:v>30.238446918395379</c:v>
                </c:pt>
                <c:pt idx="8">
                  <c:v>30.643206206956648</c:v>
                </c:pt>
                <c:pt idx="9">
                  <c:v>29.780445983195719</c:v>
                </c:pt>
                <c:pt idx="10">
                  <c:v>28.760474801480651</c:v>
                </c:pt>
                <c:pt idx="11">
                  <c:v>28.641694176265801</c:v>
                </c:pt>
                <c:pt idx="12">
                  <c:v>29.131394841044042</c:v>
                </c:pt>
                <c:pt idx="13">
                  <c:v>28.932530665673799</c:v>
                </c:pt>
                <c:pt idx="14">
                  <c:v>27.386516296236241</c:v>
                </c:pt>
                <c:pt idx="15">
                  <c:v>27.466073044692081</c:v>
                </c:pt>
                <c:pt idx="16">
                  <c:v>29.017398303917361</c:v>
                </c:pt>
                <c:pt idx="17">
                  <c:v>28.50861390110488</c:v>
                </c:pt>
                <c:pt idx="18">
                  <c:v>47.002758136928968</c:v>
                </c:pt>
                <c:pt idx="19">
                  <c:v>33.673288235773107</c:v>
                </c:pt>
                <c:pt idx="20">
                  <c:v>34.830967620205342</c:v>
                </c:pt>
                <c:pt idx="21">
                  <c:v>34.007605306234517</c:v>
                </c:pt>
                <c:pt idx="22">
                  <c:v>32.94169943089215</c:v>
                </c:pt>
                <c:pt idx="23">
                  <c:v>54.311680544722194</c:v>
                </c:pt>
                <c:pt idx="24">
                  <c:v>36.820998019385989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A6-4553-91FB-610EB95EB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[1]All_Scenarios!$A$352:$A$376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[1]All_Scenarios!$B$352:$B$376</c:f>
              <c:numCache>
                <c:formatCode>General</c:formatCode>
                <c:ptCount val="25"/>
                <c:pt idx="0">
                  <c:v>31.801488448992689</c:v>
                </c:pt>
                <c:pt idx="1">
                  <c:v>49.957641831831388</c:v>
                </c:pt>
                <c:pt idx="2">
                  <c:v>30.300841457948149</c:v>
                </c:pt>
                <c:pt idx="3">
                  <c:v>28.807262271546271</c:v>
                </c:pt>
                <c:pt idx="4">
                  <c:v>29.567707844508089</c:v>
                </c:pt>
                <c:pt idx="5">
                  <c:v>29.062001174379031</c:v>
                </c:pt>
                <c:pt idx="6">
                  <c:v>29.38528941131899</c:v>
                </c:pt>
                <c:pt idx="7">
                  <c:v>29.070314439200239</c:v>
                </c:pt>
                <c:pt idx="8">
                  <c:v>29.458977163657782</c:v>
                </c:pt>
                <c:pt idx="9">
                  <c:v>48.569642262791923</c:v>
                </c:pt>
                <c:pt idx="10">
                  <c:v>36.032040421264277</c:v>
                </c:pt>
                <c:pt idx="11">
                  <c:v>34.995123641858982</c:v>
                </c:pt>
                <c:pt idx="12">
                  <c:v>57.697204719113827</c:v>
                </c:pt>
                <c:pt idx="13">
                  <c:v>40.948882413644469</c:v>
                </c:pt>
                <c:pt idx="14">
                  <c:v>39.754605716525553</c:v>
                </c:pt>
                <c:pt idx="15">
                  <c:v>40.057421078421861</c:v>
                </c:pt>
                <c:pt idx="16">
                  <c:v>37.895893370444647</c:v>
                </c:pt>
                <c:pt idx="17">
                  <c:v>39.95746037847946</c:v>
                </c:pt>
                <c:pt idx="18">
                  <c:v>39.566016936399642</c:v>
                </c:pt>
                <c:pt idx="19">
                  <c:v>40.099663749797479</c:v>
                </c:pt>
                <c:pt idx="20">
                  <c:v>39.291529802549498</c:v>
                </c:pt>
                <c:pt idx="21">
                  <c:v>37.715951172753087</c:v>
                </c:pt>
                <c:pt idx="22">
                  <c:v>38.169984833612737</c:v>
                </c:pt>
                <c:pt idx="23">
                  <c:v>37.493386107449268</c:v>
                </c:pt>
                <c:pt idx="24">
                  <c:v>35.8424116678259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B8-4E18-8C94-F67CC819A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[1]All_Scenarios!$A$377:$A$401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[1]All_Scenarios!$B$377:$B$401</c:f>
              <c:numCache>
                <c:formatCode>General</c:formatCode>
                <c:ptCount val="25"/>
                <c:pt idx="0">
                  <c:v>52.131650615948899</c:v>
                </c:pt>
                <c:pt idx="1">
                  <c:v>31.619444439999999</c:v>
                </c:pt>
                <c:pt idx="2">
                  <c:v>30.292553243951389</c:v>
                </c:pt>
                <c:pt idx="3">
                  <c:v>31.031438229419209</c:v>
                </c:pt>
                <c:pt idx="4">
                  <c:v>51.162192269260579</c:v>
                </c:pt>
                <c:pt idx="5">
                  <c:v>36.781021127580949</c:v>
                </c:pt>
                <c:pt idx="6">
                  <c:v>35.347583448272232</c:v>
                </c:pt>
                <c:pt idx="7">
                  <c:v>35.011239523066727</c:v>
                </c:pt>
                <c:pt idx="8">
                  <c:v>34.335452532613267</c:v>
                </c:pt>
                <c:pt idx="9">
                  <c:v>35.275214479905209</c:v>
                </c:pt>
                <c:pt idx="10">
                  <c:v>58.158996441528878</c:v>
                </c:pt>
                <c:pt idx="11">
                  <c:v>39.656160449912861</c:v>
                </c:pt>
                <c:pt idx="12">
                  <c:v>41.604470868832898</c:v>
                </c:pt>
                <c:pt idx="13">
                  <c:v>42.432763381901381</c:v>
                </c:pt>
                <c:pt idx="14">
                  <c:v>42.378009406038203</c:v>
                </c:pt>
                <c:pt idx="15">
                  <c:v>41.523839128220963</c:v>
                </c:pt>
                <c:pt idx="16">
                  <c:v>40.479076397238153</c:v>
                </c:pt>
                <c:pt idx="17">
                  <c:v>41.140181447143959</c:v>
                </c:pt>
                <c:pt idx="18">
                  <c:v>67.828692232369022</c:v>
                </c:pt>
                <c:pt idx="19">
                  <c:v>41.140181447143959</c:v>
                </c:pt>
                <c:pt idx="20">
                  <c:v>42.263566887308457</c:v>
                </c:pt>
                <c:pt idx="21">
                  <c:v>42.505493417804949</c:v>
                </c:pt>
                <c:pt idx="22">
                  <c:v>43.982604301211417</c:v>
                </c:pt>
                <c:pt idx="23">
                  <c:v>41.789068997630032</c:v>
                </c:pt>
                <c:pt idx="24">
                  <c:v>40.958825803488857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3F-44CD-B8CB-7670C549E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[1]All_Scenarios!$A$402:$A$426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[1]All_Scenarios!$B$402:$B$426</c:f>
              <c:numCache>
                <c:formatCode>General</c:formatCode>
                <c:ptCount val="25"/>
                <c:pt idx="0">
                  <c:v>30.560876302527891</c:v>
                </c:pt>
                <c:pt idx="1">
                  <c:v>30.299436434729671</c:v>
                </c:pt>
                <c:pt idx="2">
                  <c:v>29.23694099574065</c:v>
                </c:pt>
                <c:pt idx="3">
                  <c:v>28.98629775003338</c:v>
                </c:pt>
                <c:pt idx="4">
                  <c:v>27.726608906669671</c:v>
                </c:pt>
                <c:pt idx="5">
                  <c:v>27.220059312976989</c:v>
                </c:pt>
                <c:pt idx="6">
                  <c:v>27.89097952626976</c:v>
                </c:pt>
                <c:pt idx="7">
                  <c:v>26.808686683490969</c:v>
                </c:pt>
                <c:pt idx="8">
                  <c:v>25.434670930626901</c:v>
                </c:pt>
                <c:pt idx="9">
                  <c:v>41.934682976582799</c:v>
                </c:pt>
                <c:pt idx="10">
                  <c:v>31.879270389720329</c:v>
                </c:pt>
                <c:pt idx="11">
                  <c:v>32.538939238961127</c:v>
                </c:pt>
                <c:pt idx="12">
                  <c:v>53.647641249294267</c:v>
                </c:pt>
                <c:pt idx="13">
                  <c:v>35.740952693676341</c:v>
                </c:pt>
                <c:pt idx="14">
                  <c:v>37.091039571403527</c:v>
                </c:pt>
                <c:pt idx="15">
                  <c:v>36.940704952978223</c:v>
                </c:pt>
                <c:pt idx="16">
                  <c:v>35.514622836310672</c:v>
                </c:pt>
                <c:pt idx="17">
                  <c:v>33.610434260543776</c:v>
                </c:pt>
                <c:pt idx="18">
                  <c:v>33.393950516524121</c:v>
                </c:pt>
                <c:pt idx="19">
                  <c:v>55.057316529300849</c:v>
                </c:pt>
                <c:pt idx="20">
                  <c:v>40.937681103710247</c:v>
                </c:pt>
                <c:pt idx="21">
                  <c:v>39.644609365963419</c:v>
                </c:pt>
                <c:pt idx="22">
                  <c:v>65.362910730261405</c:v>
                </c:pt>
                <c:pt idx="23">
                  <c:v>39.644609365963419</c:v>
                </c:pt>
                <c:pt idx="24">
                  <c:v>39.612926791116813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E5-4ED7-96E1-4A474D3DC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[1]All_Scenarios!$A$427:$A$451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[1]All_Scenarios!$B$427:$B$451</c:f>
              <c:numCache>
                <c:formatCode>General</c:formatCode>
                <c:ptCount val="25"/>
                <c:pt idx="0">
                  <c:v>31.809162574098881</c:v>
                </c:pt>
                <c:pt idx="1">
                  <c:v>31.971405558403799</c:v>
                </c:pt>
                <c:pt idx="2">
                  <c:v>30.63546928542311</c:v>
                </c:pt>
                <c:pt idx="3">
                  <c:v>28.749663221022299</c:v>
                </c:pt>
                <c:pt idx="4">
                  <c:v>29.04126403742719</c:v>
                </c:pt>
                <c:pt idx="5">
                  <c:v>47.880949746524891</c:v>
                </c:pt>
                <c:pt idx="6">
                  <c:v>33.126741800707627</c:v>
                </c:pt>
                <c:pt idx="7">
                  <c:v>32.957758519542992</c:v>
                </c:pt>
                <c:pt idx="8">
                  <c:v>30.5335044807196</c:v>
                </c:pt>
                <c:pt idx="9">
                  <c:v>30.356560044932809</c:v>
                </c:pt>
                <c:pt idx="10">
                  <c:v>30.869395540197811</c:v>
                </c:pt>
                <c:pt idx="11">
                  <c:v>30.436412028068691</c:v>
                </c:pt>
                <c:pt idx="12">
                  <c:v>30.143796603586761</c:v>
                </c:pt>
                <c:pt idx="13">
                  <c:v>29.02781001690575</c:v>
                </c:pt>
                <c:pt idx="14">
                  <c:v>29.891817036351199</c:v>
                </c:pt>
                <c:pt idx="15">
                  <c:v>49.283274567708688</c:v>
                </c:pt>
                <c:pt idx="16">
                  <c:v>33.121219683015568</c:v>
                </c:pt>
                <c:pt idx="17">
                  <c:v>34.286820742644963</c:v>
                </c:pt>
                <c:pt idx="18">
                  <c:v>33.240134461371603</c:v>
                </c:pt>
                <c:pt idx="19">
                  <c:v>31.32666727168062</c:v>
                </c:pt>
                <c:pt idx="20">
                  <c:v>33.848057019670541</c:v>
                </c:pt>
                <c:pt idx="21">
                  <c:v>55.806011580201613</c:v>
                </c:pt>
                <c:pt idx="22">
                  <c:v>34.868669702733101</c:v>
                </c:pt>
                <c:pt idx="23">
                  <c:v>57.488717419913179</c:v>
                </c:pt>
                <c:pt idx="24">
                  <c:v>43.984164818076451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27-4D62-9264-207424917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[1]All_Scenarios!$A$452:$A$476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[1]All_Scenarios!$B$452:$B$476</c:f>
              <c:numCache>
                <c:formatCode>General</c:formatCode>
                <c:ptCount val="25"/>
                <c:pt idx="0">
                  <c:v>32.218352743694858</c:v>
                </c:pt>
                <c:pt idx="1">
                  <c:v>31.70493962948137</c:v>
                </c:pt>
                <c:pt idx="2">
                  <c:v>31.839030318123999</c:v>
                </c:pt>
                <c:pt idx="3">
                  <c:v>52.493686523957308</c:v>
                </c:pt>
                <c:pt idx="4">
                  <c:v>32.087929752813849</c:v>
                </c:pt>
                <c:pt idx="5">
                  <c:v>31.884372280160939</c:v>
                </c:pt>
                <c:pt idx="6">
                  <c:v>31.016158068008231</c:v>
                </c:pt>
                <c:pt idx="7">
                  <c:v>30.947730572754349</c:v>
                </c:pt>
                <c:pt idx="8">
                  <c:v>51.024181675196751</c:v>
                </c:pt>
                <c:pt idx="9">
                  <c:v>32.835180353727758</c:v>
                </c:pt>
                <c:pt idx="10">
                  <c:v>32.561085374339747</c:v>
                </c:pt>
                <c:pt idx="11">
                  <c:v>32.035839277180173</c:v>
                </c:pt>
                <c:pt idx="12">
                  <c:v>31.37157810249823</c:v>
                </c:pt>
                <c:pt idx="13">
                  <c:v>51.722988113019213</c:v>
                </c:pt>
                <c:pt idx="14">
                  <c:v>40.051001049801648</c:v>
                </c:pt>
                <c:pt idx="15">
                  <c:v>40.493147482663723</c:v>
                </c:pt>
                <c:pt idx="16">
                  <c:v>39.576130944911228</c:v>
                </c:pt>
                <c:pt idx="17">
                  <c:v>40.2811441917856</c:v>
                </c:pt>
                <c:pt idx="18">
                  <c:v>38.213618890933468</c:v>
                </c:pt>
                <c:pt idx="19">
                  <c:v>39.279708657687323</c:v>
                </c:pt>
                <c:pt idx="20">
                  <c:v>64.761291170833061</c:v>
                </c:pt>
                <c:pt idx="21">
                  <c:v>42.946887997202317</c:v>
                </c:pt>
                <c:pt idx="22">
                  <c:v>41.937531627511127</c:v>
                </c:pt>
                <c:pt idx="23">
                  <c:v>40.727713655431167</c:v>
                </c:pt>
                <c:pt idx="24">
                  <c:v>40.333104961042707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B9-4ABD-A49A-79EF71F35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[1]All_Scenarios!$A$477:$A$501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[1]All_Scenarios!$B$477:$B$501</c:f>
              <c:numCache>
                <c:formatCode>General</c:formatCode>
                <c:ptCount val="25"/>
                <c:pt idx="0">
                  <c:v>30.731294318016531</c:v>
                </c:pt>
                <c:pt idx="1">
                  <c:v>50.667338618259841</c:v>
                </c:pt>
                <c:pt idx="2">
                  <c:v>30.731294318016531</c:v>
                </c:pt>
                <c:pt idx="3">
                  <c:v>31.18611603436678</c:v>
                </c:pt>
                <c:pt idx="4">
                  <c:v>31.53464944392211</c:v>
                </c:pt>
                <c:pt idx="5">
                  <c:v>30.959534385946242</c:v>
                </c:pt>
                <c:pt idx="6">
                  <c:v>51.043642873081602</c:v>
                </c:pt>
                <c:pt idx="7">
                  <c:v>34.254446148482081</c:v>
                </c:pt>
                <c:pt idx="8">
                  <c:v>33.221355284699378</c:v>
                </c:pt>
                <c:pt idx="9">
                  <c:v>34.144115658948188</c:v>
                </c:pt>
                <c:pt idx="10">
                  <c:v>34.887634828761001</c:v>
                </c:pt>
                <c:pt idx="11">
                  <c:v>57.519985626596878</c:v>
                </c:pt>
                <c:pt idx="12">
                  <c:v>37.256454953018377</c:v>
                </c:pt>
                <c:pt idx="13">
                  <c:v>37.147997872756719</c:v>
                </c:pt>
                <c:pt idx="14">
                  <c:v>37.988623570385421</c:v>
                </c:pt>
                <c:pt idx="15">
                  <c:v>38.498554209795493</c:v>
                </c:pt>
                <c:pt idx="16">
                  <c:v>63.473385216891778</c:v>
                </c:pt>
                <c:pt idx="17">
                  <c:v>45.387370048151382</c:v>
                </c:pt>
                <c:pt idx="18">
                  <c:v>44.193734952884519</c:v>
                </c:pt>
                <c:pt idx="19">
                  <c:v>43.560379191697812</c:v>
                </c:pt>
                <c:pt idx="20">
                  <c:v>43.152983444400881</c:v>
                </c:pt>
                <c:pt idx="21">
                  <c:v>44.0425895464654</c:v>
                </c:pt>
                <c:pt idx="22">
                  <c:v>44.767980064792347</c:v>
                </c:pt>
                <c:pt idx="23">
                  <c:v>45.302343696357489</c:v>
                </c:pt>
                <c:pt idx="24">
                  <c:v>43.067588445898643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0F-4ABD-B9DD-AB035FEB1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[1]All_Scenarios!$A$502:$A$526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[1]All_Scenarios!$B$502:$B$526</c:f>
              <c:numCache>
                <c:formatCode>General</c:formatCode>
                <c:ptCount val="25"/>
                <c:pt idx="0">
                  <c:v>52.131650615948899</c:v>
                </c:pt>
                <c:pt idx="1">
                  <c:v>31.619444439999999</c:v>
                </c:pt>
                <c:pt idx="2">
                  <c:v>52.131650615948899</c:v>
                </c:pt>
                <c:pt idx="3">
                  <c:v>34.319309935306002</c:v>
                </c:pt>
                <c:pt idx="4">
                  <c:v>34.396314606147158</c:v>
                </c:pt>
                <c:pt idx="5">
                  <c:v>34.341049330110742</c:v>
                </c:pt>
                <c:pt idx="6">
                  <c:v>35.930758580605932</c:v>
                </c:pt>
                <c:pt idx="7">
                  <c:v>35.678443736655638</c:v>
                </c:pt>
                <c:pt idx="8">
                  <c:v>58.823809094101911</c:v>
                </c:pt>
                <c:pt idx="9">
                  <c:v>40.795874657820413</c:v>
                </c:pt>
                <c:pt idx="10">
                  <c:v>40.615081416548293</c:v>
                </c:pt>
                <c:pt idx="11">
                  <c:v>40.224338172511409</c:v>
                </c:pt>
                <c:pt idx="12">
                  <c:v>40.683672016193071</c:v>
                </c:pt>
                <c:pt idx="13">
                  <c:v>42.153030585723492</c:v>
                </c:pt>
                <c:pt idx="14">
                  <c:v>41.464249080376497</c:v>
                </c:pt>
                <c:pt idx="15">
                  <c:v>68.362989432424953</c:v>
                </c:pt>
                <c:pt idx="16">
                  <c:v>43.448729056488723</c:v>
                </c:pt>
                <c:pt idx="17">
                  <c:v>71.63484378031967</c:v>
                </c:pt>
                <c:pt idx="18">
                  <c:v>46.496322071338597</c:v>
                </c:pt>
                <c:pt idx="19">
                  <c:v>45.685259525367982</c:v>
                </c:pt>
                <c:pt idx="20">
                  <c:v>43.269789127982158</c:v>
                </c:pt>
                <c:pt idx="21">
                  <c:v>43.926712486663902</c:v>
                </c:pt>
                <c:pt idx="22">
                  <c:v>42.940392684837647</c:v>
                </c:pt>
                <c:pt idx="23">
                  <c:v>44.042836440074879</c:v>
                </c:pt>
                <c:pt idx="24">
                  <c:v>43.889911919732057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E6-4CC8-8769-DAC95451F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[1]All_Scenarios!$A$527:$A$551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[1]All_Scenarios!$B$527:$B$551</c:f>
              <c:numCache>
                <c:formatCode>General</c:formatCode>
                <c:ptCount val="25"/>
                <c:pt idx="0">
                  <c:v>30.308976121601571</c:v>
                </c:pt>
                <c:pt idx="1">
                  <c:v>30.05515680424595</c:v>
                </c:pt>
                <c:pt idx="2">
                  <c:v>30.023662602933211</c:v>
                </c:pt>
                <c:pt idx="3">
                  <c:v>49.500651157779963</c:v>
                </c:pt>
                <c:pt idx="4">
                  <c:v>30.023662602933211</c:v>
                </c:pt>
                <c:pt idx="5">
                  <c:v>49.500651157779963</c:v>
                </c:pt>
                <c:pt idx="6">
                  <c:v>35.663427283673251</c:v>
                </c:pt>
                <c:pt idx="7">
                  <c:v>35.060016281334953</c:v>
                </c:pt>
                <c:pt idx="8">
                  <c:v>34.427406066540641</c:v>
                </c:pt>
                <c:pt idx="9">
                  <c:v>33.798908313503283</c:v>
                </c:pt>
                <c:pt idx="10">
                  <c:v>55.724979062916262</c:v>
                </c:pt>
                <c:pt idx="11">
                  <c:v>40.923810372495922</c:v>
                </c:pt>
                <c:pt idx="12">
                  <c:v>40.880778309393861</c:v>
                </c:pt>
                <c:pt idx="13">
                  <c:v>40.30750699452409</c:v>
                </c:pt>
                <c:pt idx="14">
                  <c:v>42.449275025370838</c:v>
                </c:pt>
                <c:pt idx="15">
                  <c:v>44.489016556181781</c:v>
                </c:pt>
                <c:pt idx="16">
                  <c:v>44.073424487832668</c:v>
                </c:pt>
                <c:pt idx="17">
                  <c:v>42.213028622804103</c:v>
                </c:pt>
                <c:pt idx="18">
                  <c:v>42.205087184059451</c:v>
                </c:pt>
                <c:pt idx="19">
                  <c:v>41.670869856399392</c:v>
                </c:pt>
                <c:pt idx="20">
                  <c:v>68.703649500822479</c:v>
                </c:pt>
                <c:pt idx="21">
                  <c:v>44.308553342662847</c:v>
                </c:pt>
                <c:pt idx="22">
                  <c:v>72.724722211999989</c:v>
                </c:pt>
                <c:pt idx="23">
                  <c:v>44.109773740662362</c:v>
                </c:pt>
                <c:pt idx="24">
                  <c:v>43.973078678235581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37-4A40-B4FB-0B1A87DA4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[1]All_Scenarios!$A$552:$A$576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[1]All_Scenarios!$B$552:$B$576</c:f>
              <c:numCache>
                <c:formatCode>General</c:formatCode>
                <c:ptCount val="25"/>
                <c:pt idx="0">
                  <c:v>30.48994971306799</c:v>
                </c:pt>
                <c:pt idx="1">
                  <c:v>30.21961652425459</c:v>
                </c:pt>
                <c:pt idx="2">
                  <c:v>29.544518010294411</c:v>
                </c:pt>
                <c:pt idx="3">
                  <c:v>30.612295634375961</c:v>
                </c:pt>
                <c:pt idx="4">
                  <c:v>50.471142957356328</c:v>
                </c:pt>
                <c:pt idx="5">
                  <c:v>30.612295634375961</c:v>
                </c:pt>
                <c:pt idx="6">
                  <c:v>32.484678086222559</c:v>
                </c:pt>
                <c:pt idx="7">
                  <c:v>31.739941137495379</c:v>
                </c:pt>
                <c:pt idx="8">
                  <c:v>32.731920440698353</c:v>
                </c:pt>
                <c:pt idx="9">
                  <c:v>32.665419480325482</c:v>
                </c:pt>
                <c:pt idx="10">
                  <c:v>32.592967512664842</c:v>
                </c:pt>
                <c:pt idx="11">
                  <c:v>53.736718813368768</c:v>
                </c:pt>
                <c:pt idx="12">
                  <c:v>32.592967512664842</c:v>
                </c:pt>
                <c:pt idx="13">
                  <c:v>34.087797607760457</c:v>
                </c:pt>
                <c:pt idx="14">
                  <c:v>33.125868601086388</c:v>
                </c:pt>
                <c:pt idx="15">
                  <c:v>34.928232694064583</c:v>
                </c:pt>
                <c:pt idx="16">
                  <c:v>32.947493903539723</c:v>
                </c:pt>
                <c:pt idx="17">
                  <c:v>32.698844902385687</c:v>
                </c:pt>
                <c:pt idx="18">
                  <c:v>32.874407144893027</c:v>
                </c:pt>
                <c:pt idx="19">
                  <c:v>54.200734321441402</c:v>
                </c:pt>
                <c:pt idx="20">
                  <c:v>42.233314899045453</c:v>
                </c:pt>
                <c:pt idx="21">
                  <c:v>69.630964606232865</c:v>
                </c:pt>
                <c:pt idx="22">
                  <c:v>44.233056887771212</c:v>
                </c:pt>
                <c:pt idx="23">
                  <c:v>43.647200943626842</c:v>
                </c:pt>
                <c:pt idx="24">
                  <c:v>71.962068602280283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9B-4C21-9E2A-E2537F6C5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[1]All_Scenarios!$A$77:$A$101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[1]All_Scenarios!$C$77:$C$101</c:f>
              <c:numCache>
                <c:formatCode>General</c:formatCode>
                <c:ptCount val="25"/>
                <c:pt idx="0">
                  <c:v>31.33585929799116</c:v>
                </c:pt>
                <c:pt idx="1">
                  <c:v>32.789972692732618</c:v>
                </c:pt>
                <c:pt idx="2">
                  <c:v>32.195533995918566</c:v>
                </c:pt>
                <c:pt idx="3">
                  <c:v>31.902997363994139</c:v>
                </c:pt>
                <c:pt idx="4">
                  <c:v>30.2474845733983</c:v>
                </c:pt>
                <c:pt idx="5">
                  <c:v>31.819019031572459</c:v>
                </c:pt>
                <c:pt idx="6">
                  <c:v>31.557736901193969</c:v>
                </c:pt>
                <c:pt idx="7">
                  <c:v>31.710273040808872</c:v>
                </c:pt>
                <c:pt idx="8">
                  <c:v>31.723989847499048</c:v>
                </c:pt>
                <c:pt idx="9">
                  <c:v>30.963071176972459</c:v>
                </c:pt>
                <c:pt idx="10">
                  <c:v>30.29327162658225</c:v>
                </c:pt>
                <c:pt idx="11">
                  <c:v>30.13877714409033</c:v>
                </c:pt>
                <c:pt idx="12">
                  <c:v>30.848040225916609</c:v>
                </c:pt>
                <c:pt idx="13">
                  <c:v>32.74733722261665</c:v>
                </c:pt>
                <c:pt idx="14">
                  <c:v>32.193907226364537</c:v>
                </c:pt>
                <c:pt idx="15">
                  <c:v>32.056214420751502</c:v>
                </c:pt>
                <c:pt idx="16">
                  <c:v>52.851762573617187</c:v>
                </c:pt>
                <c:pt idx="17">
                  <c:v>39.729579884508539</c:v>
                </c:pt>
                <c:pt idx="18">
                  <c:v>38.062932048678412</c:v>
                </c:pt>
                <c:pt idx="19">
                  <c:v>38.481665716503137</c:v>
                </c:pt>
                <c:pt idx="20">
                  <c:v>38.717723429417447</c:v>
                </c:pt>
                <c:pt idx="21">
                  <c:v>39.382465923675987</c:v>
                </c:pt>
                <c:pt idx="22">
                  <c:v>38.139154850326037</c:v>
                </c:pt>
                <c:pt idx="23">
                  <c:v>38.0997299660241</c:v>
                </c:pt>
                <c:pt idx="24">
                  <c:v>39.516738354179857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79-4FCF-BB86-D88FB28BB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P90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[1]All_Scenarios!$A$77:$A$101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[1]All_Scenarios!$D$77:$D$101</c:f>
              <c:numCache>
                <c:formatCode>General</c:formatCode>
                <c:ptCount val="25"/>
                <c:pt idx="0">
                  <c:v>33.108079340312983</c:v>
                </c:pt>
                <c:pt idx="1">
                  <c:v>31.241591471913249</c:v>
                </c:pt>
                <c:pt idx="2">
                  <c:v>31.690725722348709</c:v>
                </c:pt>
                <c:pt idx="3">
                  <c:v>34.738603360125268</c:v>
                </c:pt>
                <c:pt idx="4">
                  <c:v>34.091350943608177</c:v>
                </c:pt>
                <c:pt idx="5">
                  <c:v>34.123750185042248</c:v>
                </c:pt>
                <c:pt idx="6">
                  <c:v>34.787102447638553</c:v>
                </c:pt>
                <c:pt idx="7">
                  <c:v>35.328415724647527</c:v>
                </c:pt>
                <c:pt idx="8">
                  <c:v>34.736924258111259</c:v>
                </c:pt>
                <c:pt idx="9">
                  <c:v>35.221647481025073</c:v>
                </c:pt>
                <c:pt idx="10">
                  <c:v>35.468422325660143</c:v>
                </c:pt>
                <c:pt idx="11">
                  <c:v>35.859053696408189</c:v>
                </c:pt>
                <c:pt idx="12">
                  <c:v>34.498027755812757</c:v>
                </c:pt>
                <c:pt idx="13">
                  <c:v>34.524099238387443</c:v>
                </c:pt>
                <c:pt idx="14">
                  <c:v>36.374331896338617</c:v>
                </c:pt>
                <c:pt idx="15">
                  <c:v>35.629420965903563</c:v>
                </c:pt>
                <c:pt idx="16">
                  <c:v>58.742984209214313</c:v>
                </c:pt>
                <c:pt idx="17">
                  <c:v>51.150188006311893</c:v>
                </c:pt>
                <c:pt idx="18">
                  <c:v>51.651804528214157</c:v>
                </c:pt>
                <c:pt idx="19">
                  <c:v>52.386770513779901</c:v>
                </c:pt>
                <c:pt idx="20">
                  <c:v>53.362360575217863</c:v>
                </c:pt>
                <c:pt idx="21">
                  <c:v>51.301274201078947</c:v>
                </c:pt>
                <c:pt idx="22">
                  <c:v>53.290838080210307</c:v>
                </c:pt>
                <c:pt idx="23">
                  <c:v>52.173520346326526</c:v>
                </c:pt>
                <c:pt idx="24">
                  <c:v>51.564992754797963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3C-4762-9921-3E3F6F92E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[1]All_Scenarios!$A$102:$A$126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[1]All_Scenarios!$C$102:$C$126</c:f>
              <c:numCache>
                <c:formatCode>General</c:formatCode>
                <c:ptCount val="25"/>
                <c:pt idx="0">
                  <c:v>31.17520724882543</c:v>
                </c:pt>
                <c:pt idx="1">
                  <c:v>30.948739131477399</c:v>
                </c:pt>
                <c:pt idx="2">
                  <c:v>32.339423893911402</c:v>
                </c:pt>
                <c:pt idx="3">
                  <c:v>32.539713128687929</c:v>
                </c:pt>
                <c:pt idx="4">
                  <c:v>32.82199741230886</c:v>
                </c:pt>
                <c:pt idx="5">
                  <c:v>32.475431071586407</c:v>
                </c:pt>
                <c:pt idx="6">
                  <c:v>31.445388411144901</c:v>
                </c:pt>
                <c:pt idx="7">
                  <c:v>31.35885175091548</c:v>
                </c:pt>
                <c:pt idx="8">
                  <c:v>32.135037846919673</c:v>
                </c:pt>
                <c:pt idx="9">
                  <c:v>33.699461645765489</c:v>
                </c:pt>
                <c:pt idx="10">
                  <c:v>33.109272340727998</c:v>
                </c:pt>
                <c:pt idx="11">
                  <c:v>32.334333696835877</c:v>
                </c:pt>
                <c:pt idx="12">
                  <c:v>30.644287298275941</c:v>
                </c:pt>
                <c:pt idx="13">
                  <c:v>31.25765094176738</c:v>
                </c:pt>
                <c:pt idx="14">
                  <c:v>31.450597580240061</c:v>
                </c:pt>
                <c:pt idx="15">
                  <c:v>32.867922266810353</c:v>
                </c:pt>
                <c:pt idx="16">
                  <c:v>32.344415967915843</c:v>
                </c:pt>
                <c:pt idx="17">
                  <c:v>32.01885139208796</c:v>
                </c:pt>
                <c:pt idx="18">
                  <c:v>32.483106510176597</c:v>
                </c:pt>
                <c:pt idx="19">
                  <c:v>31.312051867768769</c:v>
                </c:pt>
                <c:pt idx="20">
                  <c:v>32.403838293744052</c:v>
                </c:pt>
                <c:pt idx="21">
                  <c:v>53.424897447223167</c:v>
                </c:pt>
                <c:pt idx="22">
                  <c:v>39.045607232392783</c:v>
                </c:pt>
                <c:pt idx="23">
                  <c:v>38.492944257026963</c:v>
                </c:pt>
                <c:pt idx="24">
                  <c:v>38.321011848193862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8F-4D8A-B1DB-DCBE0B8B2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P90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[1]All_Scenarios!$A$102:$A$126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[1]All_Scenarios!$D$102:$D$126</c:f>
              <c:numCache>
                <c:formatCode>General</c:formatCode>
                <c:ptCount val="25"/>
                <c:pt idx="0">
                  <c:v>31.996856091765469</c:v>
                </c:pt>
                <c:pt idx="1">
                  <c:v>31.990574256344608</c:v>
                </c:pt>
                <c:pt idx="2">
                  <c:v>32.006872332647461</c:v>
                </c:pt>
                <c:pt idx="3">
                  <c:v>33.336334325272098</c:v>
                </c:pt>
                <c:pt idx="4">
                  <c:v>35.458545125599407</c:v>
                </c:pt>
                <c:pt idx="5">
                  <c:v>33.509396738878969</c:v>
                </c:pt>
                <c:pt idx="6">
                  <c:v>32.648351983561952</c:v>
                </c:pt>
                <c:pt idx="7">
                  <c:v>34.350133821760252</c:v>
                </c:pt>
                <c:pt idx="8">
                  <c:v>35.38613671299666</c:v>
                </c:pt>
                <c:pt idx="9">
                  <c:v>36.954335849480728</c:v>
                </c:pt>
                <c:pt idx="10">
                  <c:v>36.924942895694812</c:v>
                </c:pt>
                <c:pt idx="11">
                  <c:v>36.025405126261461</c:v>
                </c:pt>
                <c:pt idx="12">
                  <c:v>35.824799937389358</c:v>
                </c:pt>
                <c:pt idx="13">
                  <c:v>36.571101153403532</c:v>
                </c:pt>
                <c:pt idx="14">
                  <c:v>36.145820260261772</c:v>
                </c:pt>
                <c:pt idx="15">
                  <c:v>36.434336035065293</c:v>
                </c:pt>
                <c:pt idx="16">
                  <c:v>37.405034707310897</c:v>
                </c:pt>
                <c:pt idx="17">
                  <c:v>38.73778244597051</c:v>
                </c:pt>
                <c:pt idx="18">
                  <c:v>39.963941704383942</c:v>
                </c:pt>
                <c:pt idx="19">
                  <c:v>40.09523722544418</c:v>
                </c:pt>
                <c:pt idx="20">
                  <c:v>39.138175734397457</c:v>
                </c:pt>
                <c:pt idx="21">
                  <c:v>64.527942829700692</c:v>
                </c:pt>
                <c:pt idx="22">
                  <c:v>54.710590987458843</c:v>
                </c:pt>
                <c:pt idx="23">
                  <c:v>54.997498401878751</c:v>
                </c:pt>
                <c:pt idx="24">
                  <c:v>54.425592286148152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16-4A8A-9FF6-EFC55BFB6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61279"/>
        <c:axId val="1479661759"/>
      </c:scatterChart>
      <c:valAx>
        <c:axId val="14796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759"/>
        <c:crosses val="autoZero"/>
        <c:crossBetween val="midCat"/>
      </c:valAx>
      <c:valAx>
        <c:axId val="14796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IE" sz="1100"/>
              <a:t>Lithium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'[2]Mineral price change'!$B$12:$B$16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xVal>
          <c:yVal>
            <c:numRef>
              <c:f>'[2]Mineral price change'!$C$12:$C$16</c:f>
              <c:numCache>
                <c:formatCode>General</c:formatCode>
                <c:ptCount val="5"/>
                <c:pt idx="0">
                  <c:v>17772.602739726026</c:v>
                </c:pt>
                <c:pt idx="1">
                  <c:v>77390.426999999996</c:v>
                </c:pt>
                <c:pt idx="2">
                  <c:v>30404.863013698632</c:v>
                </c:pt>
                <c:pt idx="3">
                  <c:v>12607.049000000001</c:v>
                </c:pt>
                <c:pt idx="4">
                  <c:v>11168.77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D1-484B-8458-7DA78177D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5442175"/>
        <c:axId val="1915419135"/>
      </c:scatterChart>
      <c:valAx>
        <c:axId val="1915442175"/>
        <c:scaling>
          <c:orientation val="minMax"/>
          <c:max val="2025"/>
          <c:min val="202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E"/>
                  <a:t>Year</a:t>
                </a:r>
              </a:p>
            </c:rich>
          </c:tx>
          <c:layout>
            <c:manualLayout>
              <c:xMode val="edge"/>
              <c:yMode val="edge"/>
              <c:x val="0.52454666267982319"/>
              <c:y val="0.891089165515882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15419135"/>
        <c:crosses val="autoZero"/>
        <c:crossBetween val="midCat"/>
        <c:majorUnit val="1"/>
      </c:valAx>
      <c:valAx>
        <c:axId val="1915419135"/>
        <c:scaling>
          <c:orientation val="minMax"/>
          <c:max val="8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E"/>
                  <a:t>Price [€/ton]</a:t>
                </a:r>
              </a:p>
            </c:rich>
          </c:tx>
          <c:layout>
            <c:manualLayout>
              <c:xMode val="edge"/>
              <c:yMode val="edge"/>
              <c:x val="1.3888833516063657E-2"/>
              <c:y val="0.221036240723348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15442175"/>
        <c:crosses val="autoZero"/>
        <c:crossBetween val="midCat"/>
        <c:majorUnit val="2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IE" sz="1000"/>
              <a:t>Nickel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'[2]Mineral price change'!$B$26:$B$30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xVal>
          <c:yVal>
            <c:numRef>
              <c:f>'[2]Mineral price change'!$C$26:$C$30</c:f>
              <c:numCache>
                <c:formatCode>General</c:formatCode>
                <c:ptCount val="5"/>
                <c:pt idx="0">
                  <c:v>2405.1689999999999</c:v>
                </c:pt>
                <c:pt idx="1">
                  <c:v>4306.5519999999997</c:v>
                </c:pt>
                <c:pt idx="2">
                  <c:v>2655.6660000000002</c:v>
                </c:pt>
                <c:pt idx="3">
                  <c:v>2243.0720000000001</c:v>
                </c:pt>
                <c:pt idx="4">
                  <c:v>2022.0460000000003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06-4364-8DFC-98CD1A5DC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5442175"/>
        <c:axId val="1915419135"/>
      </c:scatterChart>
      <c:valAx>
        <c:axId val="1915442175"/>
        <c:scaling>
          <c:orientation val="minMax"/>
          <c:max val="2025"/>
          <c:min val="202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E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15419135"/>
        <c:crosses val="autoZero"/>
        <c:crossBetween val="midCat"/>
        <c:majorUnit val="1"/>
      </c:valAx>
      <c:valAx>
        <c:axId val="1915419135"/>
        <c:scaling>
          <c:orientation val="minMax"/>
          <c:max val="5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E"/>
                  <a:t>Price [€/ton]</a:t>
                </a:r>
              </a:p>
            </c:rich>
          </c:tx>
          <c:layout>
            <c:manualLayout>
              <c:xMode val="edge"/>
              <c:yMode val="edge"/>
              <c:x val="1.3888833516063657E-2"/>
              <c:y val="0.273841493806557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15442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IE" sz="1100"/>
              <a:t>Graphite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105551679457789"/>
          <c:y val="0.16930684269803656"/>
          <c:w val="0.68029469417588628"/>
          <c:h val="0.5502972634301274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'[2]Mineral price change'!$B$39:$B$43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xVal>
          <c:yVal>
            <c:numRef>
              <c:f>'[2]Mineral price change'!$C$39:$C$43</c:f>
              <c:numCache>
                <c:formatCode>General</c:formatCode>
                <c:ptCount val="5"/>
                <c:pt idx="0">
                  <c:v>1150.7</c:v>
                </c:pt>
                <c:pt idx="1">
                  <c:v>1668.5150000000001</c:v>
                </c:pt>
                <c:pt idx="2">
                  <c:v>1573.12254688181</c:v>
                </c:pt>
                <c:pt idx="3">
                  <c:v>846.25817706062003</c:v>
                </c:pt>
                <c:pt idx="4">
                  <c:v>685.35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81-4212-AE42-B90B489A2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5442175"/>
        <c:axId val="1915419135"/>
      </c:scatterChart>
      <c:valAx>
        <c:axId val="1915442175"/>
        <c:scaling>
          <c:orientation val="minMax"/>
          <c:max val="2025"/>
          <c:min val="202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E"/>
                  <a:t>Year</a:t>
                </a:r>
              </a:p>
            </c:rich>
          </c:tx>
          <c:layout>
            <c:manualLayout>
              <c:xMode val="edge"/>
              <c:yMode val="edge"/>
              <c:x val="0.51398750789062764"/>
              <c:y val="0.864686538974278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15419135"/>
        <c:crosses val="autoZero"/>
        <c:crossBetween val="midCat"/>
        <c:majorUnit val="1"/>
      </c:valAx>
      <c:valAx>
        <c:axId val="19154191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IE"/>
                  <a:t>Price [€/ton]</a:t>
                </a:r>
              </a:p>
            </c:rich>
          </c:tx>
          <c:layout>
            <c:manualLayout>
              <c:xMode val="edge"/>
              <c:yMode val="edge"/>
              <c:x val="2.6547061364164921E-2"/>
              <c:y val="0.267240837171156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15442175"/>
        <c:crosses val="autoZero"/>
        <c:crossBetween val="midCat"/>
        <c:majorUnit val="3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P10</a:t>
            </a:r>
          </a:p>
        </c:rich>
      </c:tx>
      <c:layout>
        <c:manualLayout>
          <c:xMode val="edge"/>
          <c:yMode val="edge"/>
          <c:x val="0.43502114830316618"/>
          <c:y val="3.10679611650485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05124184161412"/>
          <c:y val="0.18710679611650488"/>
          <c:w val="0.72707358284281787"/>
          <c:h val="0.6327124837550646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[3]Sheet1!$A$602:$A$626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[3]Sheet1!$B$602:$B$626</c:f>
              <c:numCache>
                <c:formatCode>General</c:formatCode>
                <c:ptCount val="25"/>
                <c:pt idx="0">
                  <c:v>702.69971785141729</c:v>
                </c:pt>
                <c:pt idx="1">
                  <c:v>738.72790280878223</c:v>
                </c:pt>
                <c:pt idx="2">
                  <c:v>425.84276001902668</c:v>
                </c:pt>
                <c:pt idx="3">
                  <c:v>436.62302081336378</c:v>
                </c:pt>
                <c:pt idx="4">
                  <c:v>447.6761852089943</c:v>
                </c:pt>
                <c:pt idx="5">
                  <c:v>436.62302081336378</c:v>
                </c:pt>
                <c:pt idx="6">
                  <c:v>447.6761852089943</c:v>
                </c:pt>
                <c:pt idx="7">
                  <c:v>470.62903404609551</c:v>
                </c:pt>
                <c:pt idx="8">
                  <c:v>308.18362030116822</c:v>
                </c:pt>
                <c:pt idx="9">
                  <c:v>315.98532579274712</c:v>
                </c:pt>
                <c:pt idx="10">
                  <c:v>323.98453239914141</c:v>
                </c:pt>
                <c:pt idx="11">
                  <c:v>315.98532579274712</c:v>
                </c:pt>
                <c:pt idx="12">
                  <c:v>358.72624950996573</c:v>
                </c:pt>
                <c:pt idx="13">
                  <c:v>284.75348192498149</c:v>
                </c:pt>
                <c:pt idx="14">
                  <c:v>299.35310514016572</c:v>
                </c:pt>
                <c:pt idx="15">
                  <c:v>194.2598172067722</c:v>
                </c:pt>
                <c:pt idx="16">
                  <c:v>199.17752789241521</c:v>
                </c:pt>
                <c:pt idx="17">
                  <c:v>204.21973101676949</c:v>
                </c:pt>
                <c:pt idx="18">
                  <c:v>205.6074265908274</c:v>
                </c:pt>
                <c:pt idx="19">
                  <c:v>209.92372832183051</c:v>
                </c:pt>
                <c:pt idx="20">
                  <c:v>215.23797280523499</c:v>
                </c:pt>
                <c:pt idx="21">
                  <c:v>220.6867480282333</c:v>
                </c:pt>
                <c:pt idx="22">
                  <c:v>226.27345965271229</c:v>
                </c:pt>
                <c:pt idx="23">
                  <c:v>237.8747480099029</c:v>
                </c:pt>
                <c:pt idx="24">
                  <c:v>134.5232456081271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82-4A22-9D93-A7BA49F3B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439056"/>
        <c:axId val="984453936"/>
      </c:scatterChart>
      <c:valAx>
        <c:axId val="984439056"/>
        <c:scaling>
          <c:orientation val="minMax"/>
          <c:max val="2050"/>
          <c:min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453936"/>
        <c:crosses val="autoZero"/>
        <c:crossBetween val="midCat"/>
        <c:majorUnit val="5"/>
      </c:valAx>
      <c:valAx>
        <c:axId val="98445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439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P10</a:t>
            </a:r>
          </a:p>
        </c:rich>
      </c:tx>
      <c:layout>
        <c:manualLayout>
          <c:xMode val="edge"/>
          <c:yMode val="edge"/>
          <c:x val="0.43502114830316618"/>
          <c:y val="3.10679611650485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05124184161412"/>
          <c:y val="0.18710679611650488"/>
          <c:w val="0.72707358284281787"/>
          <c:h val="0.6327124837550646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[3]Sheet1!$A$602:$A$626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[3]Sheet1!$C$602:$C$626</c:f>
              <c:numCache>
                <c:formatCode>General</c:formatCode>
                <c:ptCount val="25"/>
                <c:pt idx="0">
                  <c:v>702.69971785141729</c:v>
                </c:pt>
                <c:pt idx="1">
                  <c:v>738.72790280878223</c:v>
                </c:pt>
                <c:pt idx="2">
                  <c:v>581.32612480442981</c:v>
                </c:pt>
                <c:pt idx="3">
                  <c:v>596.04246571785313</c:v>
                </c:pt>
                <c:pt idx="4">
                  <c:v>611.13135257517831</c:v>
                </c:pt>
                <c:pt idx="5">
                  <c:v>626.60221642187616</c:v>
                </c:pt>
                <c:pt idx="6">
                  <c:v>642.46472705147016</c:v>
                </c:pt>
                <c:pt idx="7">
                  <c:v>713.2090194940962</c:v>
                </c:pt>
                <c:pt idx="8">
                  <c:v>475.93584695603778</c:v>
                </c:pt>
                <c:pt idx="9">
                  <c:v>487.98422028362609</c:v>
                </c:pt>
                <c:pt idx="10">
                  <c:v>500.33759963412552</c:v>
                </c:pt>
                <c:pt idx="11">
                  <c:v>513.00370627176687</c:v>
                </c:pt>
                <c:pt idx="12">
                  <c:v>539.30596873728416</c:v>
                </c:pt>
                <c:pt idx="13">
                  <c:v>452.14766017325542</c:v>
                </c:pt>
                <c:pt idx="14">
                  <c:v>560.93951694329257</c:v>
                </c:pt>
                <c:pt idx="15">
                  <c:v>383.18519789574867</c:v>
                </c:pt>
                <c:pt idx="16">
                  <c:v>392.88557736365669</c:v>
                </c:pt>
                <c:pt idx="17">
                  <c:v>402.83152310692748</c:v>
                </c:pt>
                <c:pt idx="18">
                  <c:v>413.0292516654186</c:v>
                </c:pt>
                <c:pt idx="19">
                  <c:v>402.83152310692748</c:v>
                </c:pt>
                <c:pt idx="20">
                  <c:v>413.0292516654186</c:v>
                </c:pt>
                <c:pt idx="21">
                  <c:v>423.48513695144328</c:v>
                </c:pt>
                <c:pt idx="22">
                  <c:v>434.2057142336734</c:v>
                </c:pt>
                <c:pt idx="23">
                  <c:v>456.46791725516852</c:v>
                </c:pt>
                <c:pt idx="24">
                  <c:v>302.53896637889068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EE-41C1-A954-65DCBAEB0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439056"/>
        <c:axId val="984453936"/>
      </c:scatterChart>
      <c:valAx>
        <c:axId val="984439056"/>
        <c:scaling>
          <c:orientation val="minMax"/>
          <c:max val="2050"/>
          <c:min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453936"/>
        <c:crosses val="autoZero"/>
        <c:crossBetween val="midCat"/>
        <c:majorUnit val="5"/>
      </c:valAx>
      <c:valAx>
        <c:axId val="98445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439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P10</a:t>
            </a:r>
          </a:p>
        </c:rich>
      </c:tx>
      <c:layout>
        <c:manualLayout>
          <c:xMode val="edge"/>
          <c:yMode val="edge"/>
          <c:x val="0.43502114830316618"/>
          <c:y val="3.10679611650485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05124184161412"/>
          <c:y val="0.18710679611650488"/>
          <c:w val="0.72707358284281787"/>
          <c:h val="0.6327124837550646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[3]Sheet1!$A$602:$A$626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[3]Sheet1!$D$602:$D$626</c:f>
              <c:numCache>
                <c:formatCode>General</c:formatCode>
                <c:ptCount val="25"/>
                <c:pt idx="0">
                  <c:v>702.69971785141729</c:v>
                </c:pt>
                <c:pt idx="1">
                  <c:v>862.15846699379745</c:v>
                </c:pt>
                <c:pt idx="2">
                  <c:v>738.12112539693078</c:v>
                </c:pt>
                <c:pt idx="3">
                  <c:v>756.80675064798118</c:v>
                </c:pt>
                <c:pt idx="4">
                  <c:v>775.96540475433619</c:v>
                </c:pt>
                <c:pt idx="5">
                  <c:v>767.87720597577299</c:v>
                </c:pt>
                <c:pt idx="6">
                  <c:v>787.31610999301142</c:v>
                </c:pt>
                <c:pt idx="7">
                  <c:v>1129.0196378566029</c:v>
                </c:pt>
                <c:pt idx="8">
                  <c:v>773.7535535777223</c:v>
                </c:pt>
                <c:pt idx="9">
                  <c:v>754.64951027149812</c:v>
                </c:pt>
                <c:pt idx="10">
                  <c:v>773.7535535777223</c:v>
                </c:pt>
                <c:pt idx="11">
                  <c:v>793.34121804274741</c:v>
                </c:pt>
                <c:pt idx="12">
                  <c:v>1158.8350272100779</c:v>
                </c:pt>
                <c:pt idx="13">
                  <c:v>815.20381944661779</c:v>
                </c:pt>
                <c:pt idx="14">
                  <c:v>857.00021303956828</c:v>
                </c:pt>
                <c:pt idx="15">
                  <c:v>740.82360891856547</c:v>
                </c:pt>
                <c:pt idx="16">
                  <c:v>759.57764786568134</c:v>
                </c:pt>
                <c:pt idx="17">
                  <c:v>778.80644756906327</c:v>
                </c:pt>
                <c:pt idx="18">
                  <c:v>798.52202665447635</c:v>
                </c:pt>
                <c:pt idx="19">
                  <c:v>778.80644756906315</c:v>
                </c:pt>
                <c:pt idx="20">
                  <c:v>798.52202665447624</c:v>
                </c:pt>
                <c:pt idx="21">
                  <c:v>818.73670800064554</c:v>
                </c:pt>
                <c:pt idx="22">
                  <c:v>798.52202665447624</c:v>
                </c:pt>
                <c:pt idx="23">
                  <c:v>839.46312644145598</c:v>
                </c:pt>
                <c:pt idx="24">
                  <c:v>703.95315415155267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44-48CC-B7B7-670D3DDBC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439056"/>
        <c:axId val="984453936"/>
      </c:scatterChart>
      <c:valAx>
        <c:axId val="984439056"/>
        <c:scaling>
          <c:orientation val="minMax"/>
          <c:max val="2050"/>
          <c:min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453936"/>
        <c:crosses val="autoZero"/>
        <c:crossBetween val="midCat"/>
        <c:majorUnit val="5"/>
      </c:valAx>
      <c:valAx>
        <c:axId val="98445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439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58887676052607"/>
          <c:y val="0.19178761061946903"/>
          <c:w val="0.73809349201470942"/>
          <c:h val="0.6439768657236429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[3]Sheet1!$B$1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[3]Sheet1!$A$2:$A$26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[3]Sheet1!$B$2:$B$26</c:f>
              <c:numCache>
                <c:formatCode>General</c:formatCode>
                <c:ptCount val="25"/>
                <c:pt idx="0">
                  <c:v>720.48864590130813</c:v>
                </c:pt>
                <c:pt idx="1">
                  <c:v>433.12038683897123</c:v>
                </c:pt>
                <c:pt idx="2">
                  <c:v>444.084881633387</c:v>
                </c:pt>
                <c:pt idx="3">
                  <c:v>433.12038683897123</c:v>
                </c:pt>
                <c:pt idx="4">
                  <c:v>422.42660638559443</c:v>
                </c:pt>
                <c:pt idx="5">
                  <c:v>433.12038683897123</c:v>
                </c:pt>
                <c:pt idx="6">
                  <c:v>444.084881633387</c:v>
                </c:pt>
                <c:pt idx="7">
                  <c:v>455.32694393501288</c:v>
                </c:pt>
                <c:pt idx="8">
                  <c:v>466.85360039874757</c:v>
                </c:pt>
                <c:pt idx="9">
                  <c:v>478.67205556010549</c:v>
                </c:pt>
                <c:pt idx="10">
                  <c:v>490.78969633828569</c:v>
                </c:pt>
                <c:pt idx="11">
                  <c:v>503.21409665323722</c:v>
                </c:pt>
                <c:pt idx="12">
                  <c:v>498.38006067327677</c:v>
                </c:pt>
                <c:pt idx="13">
                  <c:v>510.99661197619298</c:v>
                </c:pt>
                <c:pt idx="14">
                  <c:v>523.93255279594507</c:v>
                </c:pt>
                <c:pt idx="15">
                  <c:v>510.99661197619292</c:v>
                </c:pt>
                <c:pt idx="16">
                  <c:v>523.93255279594507</c:v>
                </c:pt>
                <c:pt idx="17">
                  <c:v>537.19596851664608</c:v>
                </c:pt>
                <c:pt idx="18">
                  <c:v>550.79514920488225</c:v>
                </c:pt>
                <c:pt idx="19">
                  <c:v>564.73859479127464</c:v>
                </c:pt>
                <c:pt idx="20">
                  <c:v>579.03502038321233</c:v>
                </c:pt>
                <c:pt idx="21">
                  <c:v>564.73859479127464</c:v>
                </c:pt>
                <c:pt idx="22">
                  <c:v>579.03502038321233</c:v>
                </c:pt>
                <c:pt idx="23">
                  <c:v>593.69336171207851</c:v>
                </c:pt>
                <c:pt idx="24">
                  <c:v>608.72278071837309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D8-42B3-9E51-11034D3D2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740832"/>
        <c:axId val="962752832"/>
      </c:scatterChart>
      <c:valAx>
        <c:axId val="962740832"/>
        <c:scaling>
          <c:orientation val="minMax"/>
          <c:max val="2050"/>
          <c:min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752832"/>
        <c:crosses val="autoZero"/>
        <c:crossBetween val="midCat"/>
        <c:majorUnit val="5"/>
      </c:valAx>
      <c:valAx>
        <c:axId val="96275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740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58887676052607"/>
          <c:y val="0.19178761061946903"/>
          <c:w val="0.73809349201470942"/>
          <c:h val="0.6439768657236429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[3]Sheet1!$C$1</c:f>
              <c:strCache>
                <c:ptCount val="1"/>
                <c:pt idx="0">
                  <c:v>P50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[3]Sheet1!$A$2:$A$26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[3]Sheet1!$C$2:$C$26</c:f>
              <c:numCache>
                <c:formatCode>General</c:formatCode>
                <c:ptCount val="25"/>
                <c:pt idx="0">
                  <c:v>720.48864590130813</c:v>
                </c:pt>
                <c:pt idx="1">
                  <c:v>546.3288706151792</c:v>
                </c:pt>
                <c:pt idx="2">
                  <c:v>560.15925182077751</c:v>
                </c:pt>
                <c:pt idx="3">
                  <c:v>574.33975079349443</c:v>
                </c:pt>
                <c:pt idx="4">
                  <c:v>588.87923080680218</c:v>
                </c:pt>
                <c:pt idx="5">
                  <c:v>603.78677950900931</c:v>
                </c:pt>
                <c:pt idx="6">
                  <c:v>619.07171460333666</c:v>
                </c:pt>
                <c:pt idx="7">
                  <c:v>634.743589671785</c:v>
                </c:pt>
                <c:pt idx="8">
                  <c:v>650.81220014643486</c:v>
                </c:pt>
                <c:pt idx="9">
                  <c:v>667.28758943191053</c:v>
                </c:pt>
                <c:pt idx="10">
                  <c:v>684.18005518283496</c:v>
                </c:pt>
                <c:pt idx="11">
                  <c:v>691.29331957176169</c:v>
                </c:pt>
                <c:pt idx="12">
                  <c:v>674.22522669730893</c:v>
                </c:pt>
                <c:pt idx="13">
                  <c:v>691.29331957176169</c:v>
                </c:pt>
                <c:pt idx="14">
                  <c:v>695.79964358682912</c:v>
                </c:pt>
                <c:pt idx="15">
                  <c:v>713.41389542508432</c:v>
                </c:pt>
                <c:pt idx="16">
                  <c:v>731.47405417157256</c:v>
                </c:pt>
                <c:pt idx="17">
                  <c:v>749.99140801341855</c:v>
                </c:pt>
                <c:pt idx="18">
                  <c:v>768.97753089956439</c:v>
                </c:pt>
                <c:pt idx="19">
                  <c:v>788.44428977486461</c:v>
                </c:pt>
                <c:pt idx="20">
                  <c:v>808.40385199731304</c:v>
                </c:pt>
                <c:pt idx="21">
                  <c:v>788.44428977486461</c:v>
                </c:pt>
                <c:pt idx="22">
                  <c:v>808.40385199731304</c:v>
                </c:pt>
                <c:pt idx="23">
                  <c:v>828.86869294303756</c:v>
                </c:pt>
                <c:pt idx="24">
                  <c:v>849.85160380381637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95-4C22-993B-A1C2F646C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740832"/>
        <c:axId val="962752832"/>
      </c:scatterChart>
      <c:valAx>
        <c:axId val="962740832"/>
        <c:scaling>
          <c:orientation val="minMax"/>
          <c:max val="2050"/>
          <c:min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752832"/>
        <c:crosses val="autoZero"/>
        <c:crossBetween val="midCat"/>
        <c:majorUnit val="5"/>
      </c:valAx>
      <c:valAx>
        <c:axId val="96275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740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58887676052607"/>
          <c:y val="0.19178761061946903"/>
          <c:w val="0.73809349201470942"/>
          <c:h val="0.6439768657236429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[3]Sheet1!$D$1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[3]Sheet1!$A$2:$A$26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[3]Sheet1!$D$2:$D$26</c:f>
              <c:numCache>
                <c:formatCode>General</c:formatCode>
                <c:ptCount val="25"/>
                <c:pt idx="0">
                  <c:v>928.86507755393563</c:v>
                </c:pt>
                <c:pt idx="1">
                  <c:v>739.86711873032561</c:v>
                </c:pt>
                <c:pt idx="2">
                  <c:v>758.59694401304569</c:v>
                </c:pt>
                <c:pt idx="3">
                  <c:v>777.80091708019938</c:v>
                </c:pt>
                <c:pt idx="4">
                  <c:v>797.49104104009598</c:v>
                </c:pt>
                <c:pt idx="5">
                  <c:v>777.80091708019938</c:v>
                </c:pt>
                <c:pt idx="6">
                  <c:v>797.49104104009598</c:v>
                </c:pt>
                <c:pt idx="7">
                  <c:v>817.67962286117825</c:v>
                </c:pt>
                <c:pt idx="8">
                  <c:v>838.37928106427853</c:v>
                </c:pt>
                <c:pt idx="9">
                  <c:v>859.60295360960481</c:v>
                </c:pt>
                <c:pt idx="10">
                  <c:v>881.36390598338699</c:v>
                </c:pt>
                <c:pt idx="11">
                  <c:v>903.6757394892378</c:v>
                </c:pt>
                <c:pt idx="12">
                  <c:v>926.55239974941026</c:v>
                </c:pt>
                <c:pt idx="13">
                  <c:v>950.00818542126535</c:v>
                </c:pt>
                <c:pt idx="14">
                  <c:v>974.05775713439868</c:v>
                </c:pt>
                <c:pt idx="15">
                  <c:v>998.7161466540108</c:v>
                </c:pt>
                <c:pt idx="16">
                  <c:v>1023.99876627625</c:v>
                </c:pt>
                <c:pt idx="17">
                  <c:v>1049.9214184614</c:v>
                </c:pt>
                <c:pt idx="18">
                  <c:v>1023.99876627625</c:v>
                </c:pt>
                <c:pt idx="19">
                  <c:v>1049.9214184614</c:v>
                </c:pt>
                <c:pt idx="20">
                  <c:v>1076.50030571093</c:v>
                </c:pt>
                <c:pt idx="21">
                  <c:v>1083.709265090954</c:v>
                </c:pt>
                <c:pt idx="22">
                  <c:v>1111.143495750171</c:v>
                </c:pt>
                <c:pt idx="23">
                  <c:v>1139.2722272650219</c:v>
                </c:pt>
                <c:pt idx="24">
                  <c:v>1151.489585329175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4A-4FAE-9A6B-FDEF521F1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740832"/>
        <c:axId val="962752832"/>
      </c:scatterChart>
      <c:valAx>
        <c:axId val="962740832"/>
        <c:scaling>
          <c:orientation val="minMax"/>
          <c:max val="2050"/>
          <c:min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752832"/>
        <c:crosses val="autoZero"/>
        <c:crossBetween val="midCat"/>
        <c:majorUnit val="5"/>
      </c:valAx>
      <c:valAx>
        <c:axId val="96275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740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[4]Sheet1!$B$1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[4]Sheet1!$A$2:$A$26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[4]Sheet1!$B$2:$B$26</c:f>
              <c:numCache>
                <c:formatCode>General</c:formatCode>
                <c:ptCount val="25"/>
                <c:pt idx="0">
                  <c:v>13113.972686119319</c:v>
                </c:pt>
                <c:pt idx="1">
                  <c:v>7086.8888038809027</c:v>
                </c:pt>
                <c:pt idx="2">
                  <c:v>6911.9128958676583</c:v>
                </c:pt>
                <c:pt idx="3">
                  <c:v>7086.8888038809018</c:v>
                </c:pt>
                <c:pt idx="4">
                  <c:v>7266.2942480943721</c:v>
                </c:pt>
                <c:pt idx="5">
                  <c:v>7086.8888038809009</c:v>
                </c:pt>
                <c:pt idx="6">
                  <c:v>6911.9128958676574</c:v>
                </c:pt>
                <c:pt idx="7">
                  <c:v>6741.2571584161806</c:v>
                </c:pt>
                <c:pt idx="8">
                  <c:v>6574.8149261352537</c:v>
                </c:pt>
                <c:pt idx="9">
                  <c:v>6741.2571584161806</c:v>
                </c:pt>
                <c:pt idx="10">
                  <c:v>6911.9128958676556</c:v>
                </c:pt>
                <c:pt idx="11">
                  <c:v>6741.2571584161806</c:v>
                </c:pt>
                <c:pt idx="12">
                  <c:v>6574.8149261352528</c:v>
                </c:pt>
                <c:pt idx="13">
                  <c:v>6741.2571584161806</c:v>
                </c:pt>
                <c:pt idx="14">
                  <c:v>6911.9128958676547</c:v>
                </c:pt>
                <c:pt idx="15">
                  <c:v>6741.2571584161797</c:v>
                </c:pt>
                <c:pt idx="16">
                  <c:v>6574.8149261352519</c:v>
                </c:pt>
                <c:pt idx="17">
                  <c:v>6412.4821672115404</c:v>
                </c:pt>
                <c:pt idx="18">
                  <c:v>6574.814926135251</c:v>
                </c:pt>
                <c:pt idx="19">
                  <c:v>6630.7550868669086</c:v>
                </c:pt>
                <c:pt idx="20">
                  <c:v>6798.6134510589154</c:v>
                </c:pt>
                <c:pt idx="21">
                  <c:v>6630.7550868669086</c:v>
                </c:pt>
                <c:pt idx="22">
                  <c:v>6467.0411604535839</c:v>
                </c:pt>
                <c:pt idx="23">
                  <c:v>6630.7550868669086</c:v>
                </c:pt>
                <c:pt idx="24">
                  <c:v>6798.6134510589154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E1-436D-ADA0-A33A30F7C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700032"/>
        <c:axId val="962682752"/>
      </c:scatterChart>
      <c:valAx>
        <c:axId val="962700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682752"/>
        <c:crosses val="autoZero"/>
        <c:crossBetween val="midCat"/>
      </c:valAx>
      <c:valAx>
        <c:axId val="96268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700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[4]Sheet1!$C$1</c:f>
              <c:strCache>
                <c:ptCount val="1"/>
                <c:pt idx="0">
                  <c:v>P50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[4]Sheet1!$A$2:$A$26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[4]Sheet1!$C$2:$C$26</c:f>
              <c:numCache>
                <c:formatCode>General</c:formatCode>
                <c:ptCount val="25"/>
                <c:pt idx="0">
                  <c:v>48338.935581351827</c:v>
                </c:pt>
                <c:pt idx="1">
                  <c:v>26750.060571390051</c:v>
                </c:pt>
                <c:pt idx="2">
                  <c:v>27427.241578790559</c:v>
                </c:pt>
                <c:pt idx="3">
                  <c:v>26750.060571390051</c:v>
                </c:pt>
                <c:pt idx="4">
                  <c:v>27427.241578790559</c:v>
                </c:pt>
                <c:pt idx="5">
                  <c:v>26750.060571390051</c:v>
                </c:pt>
                <c:pt idx="6">
                  <c:v>26089.599222634999</c:v>
                </c:pt>
                <c:pt idx="7">
                  <c:v>25445.444722682591</c:v>
                </c:pt>
                <c:pt idx="8">
                  <c:v>26089.599222634999</c:v>
                </c:pt>
                <c:pt idx="9">
                  <c:v>26750.06057139004</c:v>
                </c:pt>
                <c:pt idx="10">
                  <c:v>26089.599222634992</c:v>
                </c:pt>
                <c:pt idx="11">
                  <c:v>25445.444722682591</c:v>
                </c:pt>
                <c:pt idx="12">
                  <c:v>24817.194454001361</c:v>
                </c:pt>
                <c:pt idx="13">
                  <c:v>25445.444722682591</c:v>
                </c:pt>
                <c:pt idx="14">
                  <c:v>24817.194454001361</c:v>
                </c:pt>
                <c:pt idx="15">
                  <c:v>24204.455739722089</c:v>
                </c:pt>
                <c:pt idx="16">
                  <c:v>23606.84559820202</c:v>
                </c:pt>
                <c:pt idx="17">
                  <c:v>24204.455739722089</c:v>
                </c:pt>
                <c:pt idx="18">
                  <c:v>23606.84559820202</c:v>
                </c:pt>
                <c:pt idx="19">
                  <c:v>23023.990503648849</c:v>
                </c:pt>
                <c:pt idx="20">
                  <c:v>22455.526152654918</c:v>
                </c:pt>
                <c:pt idx="21">
                  <c:v>23023.990503648849</c:v>
                </c:pt>
                <c:pt idx="22">
                  <c:v>23606.84559820202</c:v>
                </c:pt>
                <c:pt idx="23">
                  <c:v>24204.455739722089</c:v>
                </c:pt>
                <c:pt idx="24">
                  <c:v>23606.84559820202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4F-44C2-9A22-DAEC324A3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700032"/>
        <c:axId val="962682752"/>
      </c:scatterChart>
      <c:valAx>
        <c:axId val="962700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682752"/>
        <c:crosses val="autoZero"/>
        <c:crossBetween val="midCat"/>
      </c:valAx>
      <c:valAx>
        <c:axId val="96268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700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[4]Sheet1!$D$1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[4]Sheet1!$A$2:$A$26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[4]Sheet1!$D$2:$D$26</c:f>
              <c:numCache>
                <c:formatCode>General</c:formatCode>
                <c:ptCount val="25"/>
                <c:pt idx="0">
                  <c:v>111687.7</c:v>
                </c:pt>
                <c:pt idx="1">
                  <c:v>66468.60330757768</c:v>
                </c:pt>
                <c:pt idx="2">
                  <c:v>64827.487644559733</c:v>
                </c:pt>
                <c:pt idx="3">
                  <c:v>66468.60330757768</c:v>
                </c:pt>
                <c:pt idx="4">
                  <c:v>64827.487644559733</c:v>
                </c:pt>
                <c:pt idx="5">
                  <c:v>63226.891271633373</c:v>
                </c:pt>
                <c:pt idx="6">
                  <c:v>64827.487644559733</c:v>
                </c:pt>
                <c:pt idx="7">
                  <c:v>66468.60330757768</c:v>
                </c:pt>
                <c:pt idx="8">
                  <c:v>64827.487644559733</c:v>
                </c:pt>
                <c:pt idx="9">
                  <c:v>63226.891271633373</c:v>
                </c:pt>
                <c:pt idx="10">
                  <c:v>61665.813763961691</c:v>
                </c:pt>
                <c:pt idx="11">
                  <c:v>60143.27939728502</c:v>
                </c:pt>
                <c:pt idx="12">
                  <c:v>61665.813763961691</c:v>
                </c:pt>
                <c:pt idx="13">
                  <c:v>63226.891271633373</c:v>
                </c:pt>
                <c:pt idx="14">
                  <c:v>61665.813763961691</c:v>
                </c:pt>
                <c:pt idx="15">
                  <c:v>63226.891271633373</c:v>
                </c:pt>
                <c:pt idx="16">
                  <c:v>61665.813763961691</c:v>
                </c:pt>
                <c:pt idx="17">
                  <c:v>63226.891271633373</c:v>
                </c:pt>
                <c:pt idx="18">
                  <c:v>61665.813763961691</c:v>
                </c:pt>
                <c:pt idx="19">
                  <c:v>63226.891271633373</c:v>
                </c:pt>
                <c:pt idx="20">
                  <c:v>61665.813763961691</c:v>
                </c:pt>
                <c:pt idx="21">
                  <c:v>60143.27939728502</c:v>
                </c:pt>
                <c:pt idx="22">
                  <c:v>58658.336538061492</c:v>
                </c:pt>
                <c:pt idx="23">
                  <c:v>60143.27939728502</c:v>
                </c:pt>
                <c:pt idx="24">
                  <c:v>58658.336538061492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B9-4BBC-A128-7202763DA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700032"/>
        <c:axId val="962682752"/>
      </c:scatterChart>
      <c:valAx>
        <c:axId val="962700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682752"/>
        <c:crosses val="autoZero"/>
        <c:crossBetween val="midCat"/>
      </c:valAx>
      <c:valAx>
        <c:axId val="96268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700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[4]Sheet1!$B$1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[4]Sheet1!$A$27:$A$51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[4]Sheet1!$B$27:$B$51</c:f>
              <c:numCache>
                <c:formatCode>General</c:formatCode>
                <c:ptCount val="25"/>
                <c:pt idx="0">
                  <c:v>10893.012086164679</c:v>
                </c:pt>
                <c:pt idx="1">
                  <c:v>10624.06265948084</c:v>
                </c:pt>
                <c:pt idx="2">
                  <c:v>10361.753617801751</c:v>
                </c:pt>
                <c:pt idx="3">
                  <c:v>10624.06265948084</c:v>
                </c:pt>
                <c:pt idx="4">
                  <c:v>10361.753617801751</c:v>
                </c:pt>
                <c:pt idx="5">
                  <c:v>13897.807924808771</c:v>
                </c:pt>
                <c:pt idx="6">
                  <c:v>7748.5603039309262</c:v>
                </c:pt>
                <c:pt idx="7">
                  <c:v>7557.247668373102</c:v>
                </c:pt>
                <c:pt idx="8">
                  <c:v>7370.6585586172914</c:v>
                </c:pt>
                <c:pt idx="9">
                  <c:v>7557.2476683731011</c:v>
                </c:pt>
                <c:pt idx="10">
                  <c:v>7370.6585586172914</c:v>
                </c:pt>
                <c:pt idx="11">
                  <c:v>7188.6763503959073</c:v>
                </c:pt>
                <c:pt idx="12">
                  <c:v>7011.1872989047879</c:v>
                </c:pt>
                <c:pt idx="13">
                  <c:v>6838.0804677089918</c:v>
                </c:pt>
                <c:pt idx="14">
                  <c:v>7011.1872989047879</c:v>
                </c:pt>
                <c:pt idx="15">
                  <c:v>7120.317632648992</c:v>
                </c:pt>
                <c:pt idx="16">
                  <c:v>7300.5693316917168</c:v>
                </c:pt>
                <c:pt idx="17">
                  <c:v>7485.3841242204417</c:v>
                </c:pt>
                <c:pt idx="18">
                  <c:v>7300.5693316917168</c:v>
                </c:pt>
                <c:pt idx="19">
                  <c:v>7120.3176326489911</c:v>
                </c:pt>
                <c:pt idx="20">
                  <c:v>6944.5163639126731</c:v>
                </c:pt>
                <c:pt idx="21">
                  <c:v>7120.3176326489911</c:v>
                </c:pt>
                <c:pt idx="22">
                  <c:v>6944.5163639126731</c:v>
                </c:pt>
                <c:pt idx="23">
                  <c:v>6773.0556439669854</c:v>
                </c:pt>
                <c:pt idx="24">
                  <c:v>6836.0335706670439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8F-4325-8999-EE0660C1F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700032"/>
        <c:axId val="962682752"/>
      </c:scatterChart>
      <c:valAx>
        <c:axId val="962700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682752"/>
        <c:crosses val="autoZero"/>
        <c:crossBetween val="midCat"/>
      </c:valAx>
      <c:valAx>
        <c:axId val="96268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700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[4]Sheet1!$C$1</c:f>
              <c:strCache>
                <c:ptCount val="1"/>
                <c:pt idx="0">
                  <c:v>P50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[4]Sheet1!$A$27:$A$51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[4]Sheet1!$C$27:$C$51</c:f>
              <c:numCache>
                <c:formatCode>General</c:formatCode>
                <c:ptCount val="25"/>
                <c:pt idx="0">
                  <c:v>10893.012086164679</c:v>
                </c:pt>
                <c:pt idx="1">
                  <c:v>10624.06265948084</c:v>
                </c:pt>
                <c:pt idx="2">
                  <c:v>10893.012086164679</c:v>
                </c:pt>
                <c:pt idx="3">
                  <c:v>11168.77</c:v>
                </c:pt>
                <c:pt idx="4">
                  <c:v>10893.012086164679</c:v>
                </c:pt>
                <c:pt idx="5">
                  <c:v>49510.158776292548</c:v>
                </c:pt>
                <c:pt idx="6">
                  <c:v>24500.290179560539</c:v>
                </c:pt>
                <c:pt idx="7">
                  <c:v>25120.517978339591</c:v>
                </c:pt>
                <c:pt idx="8">
                  <c:v>25756.446918597339</c:v>
                </c:pt>
                <c:pt idx="9">
                  <c:v>26408.47447662269</c:v>
                </c:pt>
                <c:pt idx="10">
                  <c:v>25756.446918597339</c:v>
                </c:pt>
                <c:pt idx="11">
                  <c:v>25120.517978339591</c:v>
                </c:pt>
                <c:pt idx="12">
                  <c:v>25756.446918597339</c:v>
                </c:pt>
                <c:pt idx="13">
                  <c:v>26408.47447662269</c:v>
                </c:pt>
                <c:pt idx="14">
                  <c:v>25756.446918597339</c:v>
                </c:pt>
                <c:pt idx="15">
                  <c:v>26408.47447662269</c:v>
                </c:pt>
                <c:pt idx="16">
                  <c:v>25756.446918597339</c:v>
                </c:pt>
                <c:pt idx="17">
                  <c:v>26408.47447662269</c:v>
                </c:pt>
                <c:pt idx="18">
                  <c:v>25756.446918597339</c:v>
                </c:pt>
                <c:pt idx="19">
                  <c:v>25120.517978339591</c:v>
                </c:pt>
                <c:pt idx="20">
                  <c:v>25756.446918597339</c:v>
                </c:pt>
                <c:pt idx="21">
                  <c:v>26408.47447662269</c:v>
                </c:pt>
                <c:pt idx="22">
                  <c:v>25756.446918597339</c:v>
                </c:pt>
                <c:pt idx="23">
                  <c:v>25120.517978339591</c:v>
                </c:pt>
                <c:pt idx="24">
                  <c:v>24500.290179560539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90-41E7-91E7-A83929628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700032"/>
        <c:axId val="962682752"/>
      </c:scatterChart>
      <c:valAx>
        <c:axId val="962700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682752"/>
        <c:crosses val="autoZero"/>
        <c:crossBetween val="midCat"/>
      </c:valAx>
      <c:valAx>
        <c:axId val="96268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700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[4]Sheet1!$D$1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[4]Sheet1!$A$27:$A$51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[4]Sheet1!$D$27:$D$51</c:f>
              <c:numCache>
                <c:formatCode>General</c:formatCode>
                <c:ptCount val="25"/>
                <c:pt idx="0">
                  <c:v>11451.508758659629</c:v>
                </c:pt>
                <c:pt idx="1">
                  <c:v>11168.77</c:v>
                </c:pt>
                <c:pt idx="2">
                  <c:v>11451.508758659629</c:v>
                </c:pt>
                <c:pt idx="3">
                  <c:v>11168.77</c:v>
                </c:pt>
                <c:pt idx="4">
                  <c:v>10893.012086164679</c:v>
                </c:pt>
                <c:pt idx="5">
                  <c:v>111687.7</c:v>
                </c:pt>
                <c:pt idx="6">
                  <c:v>69437.40626738251</c:v>
                </c:pt>
                <c:pt idx="7">
                  <c:v>67722.990598116434</c:v>
                </c:pt>
                <c:pt idx="8">
                  <c:v>66050.904002544543</c:v>
                </c:pt>
                <c:pt idx="9">
                  <c:v>64420.101372113561</c:v>
                </c:pt>
                <c:pt idx="10">
                  <c:v>64066.312277951329</c:v>
                </c:pt>
                <c:pt idx="11">
                  <c:v>65688.15869482336</c:v>
                </c:pt>
                <c:pt idx="12">
                  <c:v>67351.062349210624</c:v>
                </c:pt>
                <c:pt idx="13">
                  <c:v>65688.15869482336</c:v>
                </c:pt>
                <c:pt idx="14">
                  <c:v>67351.062349210624</c:v>
                </c:pt>
                <c:pt idx="15">
                  <c:v>65688.15869482336</c:v>
                </c:pt>
                <c:pt idx="16">
                  <c:v>67351.062349210624</c:v>
                </c:pt>
                <c:pt idx="17">
                  <c:v>69056.062610029214</c:v>
                </c:pt>
                <c:pt idx="18">
                  <c:v>67351.062349210624</c:v>
                </c:pt>
                <c:pt idx="19">
                  <c:v>65688.15869482336</c:v>
                </c:pt>
                <c:pt idx="20">
                  <c:v>67351.062349210624</c:v>
                </c:pt>
                <c:pt idx="21">
                  <c:v>66262.656701384636</c:v>
                </c:pt>
                <c:pt idx="22">
                  <c:v>64626.625878191051</c:v>
                </c:pt>
                <c:pt idx="23">
                  <c:v>66262.656701384636</c:v>
                </c:pt>
                <c:pt idx="24">
                  <c:v>64626.625878191051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C0-419E-93F0-5658D04F9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700032"/>
        <c:axId val="962682752"/>
      </c:scatterChart>
      <c:valAx>
        <c:axId val="962700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682752"/>
        <c:crosses val="autoZero"/>
        <c:crossBetween val="midCat"/>
      </c:valAx>
      <c:valAx>
        <c:axId val="96268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700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[4]Sheet1!$A$602:$A$626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[4]Sheet1!$B$602:$B$626</c:f>
              <c:numCache>
                <c:formatCode>General</c:formatCode>
                <c:ptCount val="25"/>
                <c:pt idx="0">
                  <c:v>10893.012086164679</c:v>
                </c:pt>
                <c:pt idx="1">
                  <c:v>19879.092097637498</c:v>
                </c:pt>
                <c:pt idx="2">
                  <c:v>8417.3186149721041</c:v>
                </c:pt>
                <c:pt idx="3">
                  <c:v>8209.4942778828899</c:v>
                </c:pt>
                <c:pt idx="4">
                  <c:v>8006.8011419590612</c:v>
                </c:pt>
                <c:pt idx="5">
                  <c:v>8209.4942778828899</c:v>
                </c:pt>
                <c:pt idx="6">
                  <c:v>8006.8011419590612</c:v>
                </c:pt>
                <c:pt idx="7">
                  <c:v>13990.504839856831</c:v>
                </c:pt>
                <c:pt idx="8">
                  <c:v>13713.474282919409</c:v>
                </c:pt>
                <c:pt idx="9">
                  <c:v>14060.63253720017</c:v>
                </c:pt>
                <c:pt idx="10">
                  <c:v>14416.579144529091</c:v>
                </c:pt>
                <c:pt idx="11">
                  <c:v>14060.632537200159</c:v>
                </c:pt>
                <c:pt idx="12">
                  <c:v>34257.991357414867</c:v>
                </c:pt>
                <c:pt idx="13">
                  <c:v>14397.988182075331</c:v>
                </c:pt>
                <c:pt idx="14">
                  <c:v>25947.551238961561</c:v>
                </c:pt>
                <c:pt idx="15">
                  <c:v>19582.35299200907</c:v>
                </c:pt>
                <c:pt idx="16">
                  <c:v>20078.08261815369</c:v>
                </c:pt>
                <c:pt idx="17">
                  <c:v>20586.361699531692</c:v>
                </c:pt>
                <c:pt idx="18">
                  <c:v>20078.08261815369</c:v>
                </c:pt>
                <c:pt idx="19">
                  <c:v>20586.361699531692</c:v>
                </c:pt>
                <c:pt idx="20">
                  <c:v>20078.08261815369</c:v>
                </c:pt>
                <c:pt idx="21">
                  <c:v>20586.361699531692</c:v>
                </c:pt>
                <c:pt idx="22">
                  <c:v>20078.08261815369</c:v>
                </c:pt>
                <c:pt idx="23">
                  <c:v>35226.237815718952</c:v>
                </c:pt>
                <c:pt idx="24">
                  <c:v>34528.711572555971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FF-4853-AEAA-063EE58B6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742272"/>
        <c:axId val="962764352"/>
      </c:scatterChart>
      <c:valAx>
        <c:axId val="962742272"/>
        <c:scaling>
          <c:orientation val="minMax"/>
          <c:max val="2050"/>
          <c:min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764352"/>
        <c:crosses val="autoZero"/>
        <c:crossBetween val="midCat"/>
      </c:valAx>
      <c:valAx>
        <c:axId val="96276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74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[4]Sheet1!$A$602:$A$626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[4]Sheet1!$C$602:$C$626</c:f>
              <c:numCache>
                <c:formatCode>General</c:formatCode>
                <c:ptCount val="25"/>
                <c:pt idx="0">
                  <c:v>11451.508758659629</c:v>
                </c:pt>
                <c:pt idx="1">
                  <c:v>33171.279845831079</c:v>
                </c:pt>
                <c:pt idx="2">
                  <c:v>32514.444496770731</c:v>
                </c:pt>
                <c:pt idx="3">
                  <c:v>31711.660001795561</c:v>
                </c:pt>
                <c:pt idx="4">
                  <c:v>30928.696326623631</c:v>
                </c:pt>
                <c:pt idx="5">
                  <c:v>31711.660001795561</c:v>
                </c:pt>
                <c:pt idx="6">
                  <c:v>32514.444496770731</c:v>
                </c:pt>
                <c:pt idx="7">
                  <c:v>111687.7</c:v>
                </c:pt>
                <c:pt idx="8">
                  <c:v>46775.699896769504</c:v>
                </c:pt>
                <c:pt idx="9">
                  <c:v>45620.803751381951</c:v>
                </c:pt>
                <c:pt idx="10">
                  <c:v>45370.258618878623</c:v>
                </c:pt>
                <c:pt idx="11">
                  <c:v>46518.812184040027</c:v>
                </c:pt>
                <c:pt idx="12">
                  <c:v>111687.7</c:v>
                </c:pt>
                <c:pt idx="13">
                  <c:v>47016.974344156377</c:v>
                </c:pt>
                <c:pt idx="14">
                  <c:v>111687.7</c:v>
                </c:pt>
                <c:pt idx="15">
                  <c:v>45918.257956429166</c:v>
                </c:pt>
                <c:pt idx="16">
                  <c:v>47080.684190867993</c:v>
                </c:pt>
                <c:pt idx="17">
                  <c:v>48272.537385532392</c:v>
                </c:pt>
                <c:pt idx="18">
                  <c:v>47080.684190867993</c:v>
                </c:pt>
                <c:pt idx="19">
                  <c:v>45918.257956429166</c:v>
                </c:pt>
                <c:pt idx="20">
                  <c:v>47080.684190867993</c:v>
                </c:pt>
                <c:pt idx="21">
                  <c:v>46319.851610215257</c:v>
                </c:pt>
                <c:pt idx="22">
                  <c:v>45176.210399124473</c:v>
                </c:pt>
                <c:pt idx="23">
                  <c:v>111687.7</c:v>
                </c:pt>
                <c:pt idx="24">
                  <c:v>44750.583035572687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62-47C0-A667-BF9536399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742272"/>
        <c:axId val="962764352"/>
      </c:scatterChart>
      <c:valAx>
        <c:axId val="962742272"/>
        <c:scaling>
          <c:orientation val="minMax"/>
          <c:max val="2050"/>
          <c:min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764352"/>
        <c:crosses val="autoZero"/>
        <c:crossBetween val="midCat"/>
      </c:valAx>
      <c:valAx>
        <c:axId val="96276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74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P90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[4]Sheet1!$A$602:$A$626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[4]Sheet1!$D$602:$D$626</c:f>
              <c:numCache>
                <c:formatCode>General</c:formatCode>
                <c:ptCount val="25"/>
                <c:pt idx="0">
                  <c:v>10893.012086164679</c:v>
                </c:pt>
                <c:pt idx="1">
                  <c:v>111687.7</c:v>
                </c:pt>
                <c:pt idx="2">
                  <c:v>47722.540593365549</c:v>
                </c:pt>
                <c:pt idx="3">
                  <c:v>46544.266867883889</c:v>
                </c:pt>
                <c:pt idx="4">
                  <c:v>45395.084824339072</c:v>
                </c:pt>
                <c:pt idx="5">
                  <c:v>46544.266867883889</c:v>
                </c:pt>
                <c:pt idx="6">
                  <c:v>45395.084824339072</c:v>
                </c:pt>
                <c:pt idx="7">
                  <c:v>111687.7</c:v>
                </c:pt>
                <c:pt idx="8">
                  <c:v>80975.28385620167</c:v>
                </c:pt>
                <c:pt idx="9">
                  <c:v>83025.182926521258</c:v>
                </c:pt>
                <c:pt idx="10">
                  <c:v>80975.28385620167</c:v>
                </c:pt>
                <c:pt idx="11">
                  <c:v>83025.182926521258</c:v>
                </c:pt>
                <c:pt idx="12">
                  <c:v>111687.7</c:v>
                </c:pt>
                <c:pt idx="13">
                  <c:v>77281.041423443588</c:v>
                </c:pt>
                <c:pt idx="14">
                  <c:v>111687.7</c:v>
                </c:pt>
                <c:pt idx="15">
                  <c:v>90688.850360673474</c:v>
                </c:pt>
                <c:pt idx="16">
                  <c:v>92984.649537775811</c:v>
                </c:pt>
                <c:pt idx="17">
                  <c:v>90688.850360673459</c:v>
                </c:pt>
                <c:pt idx="18">
                  <c:v>88449.734667219047</c:v>
                </c:pt>
                <c:pt idx="19">
                  <c:v>86265.902937214763</c:v>
                </c:pt>
                <c:pt idx="20">
                  <c:v>88449.734667219032</c:v>
                </c:pt>
                <c:pt idx="21">
                  <c:v>90688.85036067343</c:v>
                </c:pt>
                <c:pt idx="22">
                  <c:v>92984.649537775767</c:v>
                </c:pt>
                <c:pt idx="23">
                  <c:v>111687.7</c:v>
                </c:pt>
                <c:pt idx="24">
                  <c:v>70916.776677988921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7A-4106-914E-E55A7FD16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742272"/>
        <c:axId val="962764352"/>
      </c:scatterChart>
      <c:valAx>
        <c:axId val="962742272"/>
        <c:scaling>
          <c:orientation val="minMax"/>
          <c:max val="2050"/>
          <c:min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764352"/>
        <c:crosses val="autoZero"/>
        <c:crossBetween val="midCat"/>
      </c:valAx>
      <c:valAx>
        <c:axId val="96276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74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[5]Sheet1!$B$1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[5]Sheet1!$A$2:$A$26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[5]Sheet1!$B$2:$B$26</c:f>
              <c:numCache>
                <c:formatCode>General</c:formatCode>
                <c:ptCount val="25"/>
                <c:pt idx="0">
                  <c:v>2125.718515342754</c:v>
                </c:pt>
                <c:pt idx="1">
                  <c:v>1730.9740419591451</c:v>
                </c:pt>
                <c:pt idx="2">
                  <c:v>1688.2361405865011</c:v>
                </c:pt>
                <c:pt idx="3">
                  <c:v>1646.553441758472</c:v>
                </c:pt>
                <c:pt idx="4">
                  <c:v>1688.2361405865011</c:v>
                </c:pt>
                <c:pt idx="5">
                  <c:v>1646.553441758472</c:v>
                </c:pt>
                <c:pt idx="6">
                  <c:v>1688.2361405865011</c:v>
                </c:pt>
                <c:pt idx="7">
                  <c:v>1646.553441758472</c:v>
                </c:pt>
                <c:pt idx="8">
                  <c:v>1605.8998924314039</c:v>
                </c:pt>
                <c:pt idx="9">
                  <c:v>1566.250082813581</c:v>
                </c:pt>
                <c:pt idx="10">
                  <c:v>1605.8998924314039</c:v>
                </c:pt>
                <c:pt idx="11">
                  <c:v>1646.553441758472</c:v>
                </c:pt>
                <c:pt idx="12">
                  <c:v>1605.8998924314039</c:v>
                </c:pt>
                <c:pt idx="13">
                  <c:v>1646.553441758472</c:v>
                </c:pt>
                <c:pt idx="14">
                  <c:v>1605.8998924314039</c:v>
                </c:pt>
                <c:pt idx="15">
                  <c:v>1646.553441758472</c:v>
                </c:pt>
                <c:pt idx="16">
                  <c:v>1605.8998924314039</c:v>
                </c:pt>
                <c:pt idx="17">
                  <c:v>1646.553441758472</c:v>
                </c:pt>
                <c:pt idx="18">
                  <c:v>1605.8998924314039</c:v>
                </c:pt>
                <c:pt idx="19">
                  <c:v>1566.250082813581</c:v>
                </c:pt>
                <c:pt idx="20">
                  <c:v>1527.579230483283</c:v>
                </c:pt>
                <c:pt idx="21">
                  <c:v>1566.250082813581</c:v>
                </c:pt>
                <c:pt idx="22">
                  <c:v>1605.8998924314039</c:v>
                </c:pt>
                <c:pt idx="23">
                  <c:v>1646.553441758472</c:v>
                </c:pt>
                <c:pt idx="24">
                  <c:v>1605.8998924314039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38-4BD4-AC12-3840EC686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656352"/>
        <c:axId val="962669792"/>
      </c:scatterChart>
      <c:valAx>
        <c:axId val="962656352"/>
        <c:scaling>
          <c:orientation val="minMax"/>
          <c:max val="2050"/>
          <c:min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669792"/>
        <c:crosses val="autoZero"/>
        <c:crossBetween val="midCat"/>
        <c:majorUnit val="5"/>
      </c:valAx>
      <c:valAx>
        <c:axId val="96266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656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[5]Sheet1!$C$1</c:f>
              <c:strCache>
                <c:ptCount val="1"/>
                <c:pt idx="0">
                  <c:v>P50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[5]Sheet1!$A$2:$A$26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[5]Sheet1!$C$2:$C$26</c:f>
              <c:numCache>
                <c:formatCode>General</c:formatCode>
                <c:ptCount val="25"/>
                <c:pt idx="0">
                  <c:v>3400.1990139697491</c:v>
                </c:pt>
                <c:pt idx="1">
                  <c:v>2650.6259286801719</c:v>
                </c:pt>
                <c:pt idx="2">
                  <c:v>2717.726843529887</c:v>
                </c:pt>
                <c:pt idx="3">
                  <c:v>2650.6259286801719</c:v>
                </c:pt>
                <c:pt idx="4">
                  <c:v>2717.726843529887</c:v>
                </c:pt>
                <c:pt idx="5">
                  <c:v>2650.6259286801719</c:v>
                </c:pt>
                <c:pt idx="6">
                  <c:v>2717.726843529887</c:v>
                </c:pt>
                <c:pt idx="7">
                  <c:v>2650.6259286801719</c:v>
                </c:pt>
                <c:pt idx="8">
                  <c:v>2717.726843529887</c:v>
                </c:pt>
                <c:pt idx="9">
                  <c:v>2650.6259286801719</c:v>
                </c:pt>
                <c:pt idx="10">
                  <c:v>2717.726843529887</c:v>
                </c:pt>
                <c:pt idx="11">
                  <c:v>2650.6259286801719</c:v>
                </c:pt>
                <c:pt idx="12">
                  <c:v>2717.726843529887</c:v>
                </c:pt>
                <c:pt idx="13">
                  <c:v>2650.6259286801719</c:v>
                </c:pt>
                <c:pt idx="14">
                  <c:v>2717.726843529887</c:v>
                </c:pt>
                <c:pt idx="15">
                  <c:v>2786.5264261263219</c:v>
                </c:pt>
                <c:pt idx="16">
                  <c:v>2717.726843529887</c:v>
                </c:pt>
                <c:pt idx="17">
                  <c:v>2650.6259286801719</c:v>
                </c:pt>
                <c:pt idx="18">
                  <c:v>2717.726843529887</c:v>
                </c:pt>
                <c:pt idx="19">
                  <c:v>2650.6259286801719</c:v>
                </c:pt>
                <c:pt idx="20">
                  <c:v>2585.181741321077</c:v>
                </c:pt>
                <c:pt idx="21">
                  <c:v>2521.3533767051108</c:v>
                </c:pt>
                <c:pt idx="22">
                  <c:v>2585.181741321077</c:v>
                </c:pt>
                <c:pt idx="23">
                  <c:v>2650.6259286801719</c:v>
                </c:pt>
                <c:pt idx="24">
                  <c:v>2586.7239949395348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6A-4B44-876F-DBF48C961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656352"/>
        <c:axId val="962669792"/>
      </c:scatterChart>
      <c:valAx>
        <c:axId val="962656352"/>
        <c:scaling>
          <c:orientation val="minMax"/>
          <c:max val="2050"/>
          <c:min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669792"/>
        <c:crosses val="autoZero"/>
        <c:crossBetween val="midCat"/>
        <c:majorUnit val="5"/>
      </c:valAx>
      <c:valAx>
        <c:axId val="96266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656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[5]Sheet1!$D$1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[5]Sheet1!$A$2:$A$26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[5]Sheet1!$D$2:$D$26</c:f>
              <c:numCache>
                <c:formatCode>General</c:formatCode>
                <c:ptCount val="25"/>
                <c:pt idx="0">
                  <c:v>6155.4785628832924</c:v>
                </c:pt>
                <c:pt idx="1">
                  <c:v>4845.3595407422763</c:v>
                </c:pt>
                <c:pt idx="2">
                  <c:v>4725.7271874269918</c:v>
                </c:pt>
                <c:pt idx="3">
                  <c:v>4609.0485674393194</c:v>
                </c:pt>
                <c:pt idx="4">
                  <c:v>4495.2507528435553</c:v>
                </c:pt>
                <c:pt idx="5">
                  <c:v>4609.0485674393194</c:v>
                </c:pt>
                <c:pt idx="6">
                  <c:v>4725.7271874269918</c:v>
                </c:pt>
                <c:pt idx="7">
                  <c:v>4609.0485674393194</c:v>
                </c:pt>
                <c:pt idx="8">
                  <c:v>4495.2507528435553</c:v>
                </c:pt>
                <c:pt idx="9">
                  <c:v>4609.0485674393194</c:v>
                </c:pt>
                <c:pt idx="10">
                  <c:v>4725.7271874269918</c:v>
                </c:pt>
                <c:pt idx="11">
                  <c:v>4845.3595407422763</c:v>
                </c:pt>
                <c:pt idx="12">
                  <c:v>4725.7271874269918</c:v>
                </c:pt>
                <c:pt idx="13">
                  <c:v>4609.0485674393194</c:v>
                </c:pt>
                <c:pt idx="14">
                  <c:v>4495.2507528435553</c:v>
                </c:pt>
                <c:pt idx="15">
                  <c:v>4609.0485674393194</c:v>
                </c:pt>
                <c:pt idx="16">
                  <c:v>4495.2507528435553</c:v>
                </c:pt>
                <c:pt idx="17">
                  <c:v>4406.5286234598852</c:v>
                </c:pt>
                <c:pt idx="18">
                  <c:v>4297.7310440969904</c:v>
                </c:pt>
                <c:pt idx="19">
                  <c:v>4406.5286234598852</c:v>
                </c:pt>
                <c:pt idx="20">
                  <c:v>4518.0804266571176</c:v>
                </c:pt>
                <c:pt idx="21">
                  <c:v>4632.4561771970057</c:v>
                </c:pt>
                <c:pt idx="22">
                  <c:v>4749.7273636468826</c:v>
                </c:pt>
                <c:pt idx="23">
                  <c:v>4869.9672843157814</c:v>
                </c:pt>
                <c:pt idx="24">
                  <c:v>4749.7273636468826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05-4EC6-A11C-8F2C97676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656352"/>
        <c:axId val="962669792"/>
      </c:scatterChart>
      <c:valAx>
        <c:axId val="962656352"/>
        <c:scaling>
          <c:orientation val="minMax"/>
          <c:max val="2050"/>
          <c:min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669792"/>
        <c:crosses val="autoZero"/>
        <c:crossBetween val="midCat"/>
        <c:majorUnit val="5"/>
      </c:valAx>
      <c:valAx>
        <c:axId val="96266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656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P10</a:t>
            </a:r>
          </a:p>
        </c:rich>
      </c:tx>
      <c:layout>
        <c:manualLayout>
          <c:xMode val="edge"/>
          <c:yMode val="edge"/>
          <c:x val="0.42154483908395568"/>
          <c:y val="1.391304347826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935126671397834"/>
          <c:y val="0.17453913043478264"/>
          <c:w val="0.69551282484539223"/>
          <c:h val="0.6640816158849709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[5]Sheet1!$A$602:$A$626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[5]Sheet1!$B$602:$B$626</c:f>
              <c:numCache>
                <c:formatCode>General</c:formatCode>
                <c:ptCount val="25"/>
                <c:pt idx="0">
                  <c:v>1972.121506377242</c:v>
                </c:pt>
                <c:pt idx="1">
                  <c:v>2813.3751943339539</c:v>
                </c:pt>
                <c:pt idx="2">
                  <c:v>2045.7318256171279</c:v>
                </c:pt>
                <c:pt idx="3">
                  <c:v>2097.5197733432851</c:v>
                </c:pt>
                <c:pt idx="4">
                  <c:v>2045.731825617127</c:v>
                </c:pt>
                <c:pt idx="5">
                  <c:v>1995.2225268762011</c:v>
                </c:pt>
                <c:pt idx="6">
                  <c:v>1945.9603071645749</c:v>
                </c:pt>
                <c:pt idx="7">
                  <c:v>2765.5148680972561</c:v>
                </c:pt>
                <c:pt idx="8">
                  <c:v>2466.7103972775099</c:v>
                </c:pt>
                <c:pt idx="9">
                  <c:v>2405.8071005681022</c:v>
                </c:pt>
                <c:pt idx="10">
                  <c:v>2346.4075116122131</c:v>
                </c:pt>
                <c:pt idx="11">
                  <c:v>2405.8071005681009</c:v>
                </c:pt>
                <c:pt idx="12">
                  <c:v>2725.4155425286699</c:v>
                </c:pt>
                <c:pt idx="13">
                  <c:v>1983.3900255347501</c:v>
                </c:pt>
                <c:pt idx="14">
                  <c:v>3973.5574803268491</c:v>
                </c:pt>
                <c:pt idx="15">
                  <c:v>2672.7005891762092</c:v>
                </c:pt>
                <c:pt idx="16">
                  <c:v>2740.3603267169169</c:v>
                </c:pt>
                <c:pt idx="17">
                  <c:v>2672.7005891762092</c:v>
                </c:pt>
                <c:pt idx="18">
                  <c:v>2740.3603267169169</c:v>
                </c:pt>
                <c:pt idx="19">
                  <c:v>2672.7005891762092</c:v>
                </c:pt>
                <c:pt idx="20">
                  <c:v>2606.711376507521</c:v>
                </c:pt>
                <c:pt idx="21">
                  <c:v>2542.351443304804</c:v>
                </c:pt>
                <c:pt idx="22">
                  <c:v>2479.5805625147132</c:v>
                </c:pt>
                <c:pt idx="23">
                  <c:v>4220.1638636733487</c:v>
                </c:pt>
                <c:pt idx="24">
                  <c:v>3627.001740594852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DB-4ACC-8BC8-395EB1900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469296"/>
        <c:axId val="984463536"/>
      </c:scatterChart>
      <c:valAx>
        <c:axId val="984469296"/>
        <c:scaling>
          <c:orientation val="minMax"/>
          <c:max val="2050"/>
          <c:min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463536"/>
        <c:crosses val="autoZero"/>
        <c:crossBetween val="midCat"/>
        <c:majorUnit val="5"/>
      </c:valAx>
      <c:valAx>
        <c:axId val="98446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469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P50</a:t>
            </a:r>
          </a:p>
        </c:rich>
      </c:tx>
      <c:layout>
        <c:manualLayout>
          <c:xMode val="edge"/>
          <c:yMode val="edge"/>
          <c:x val="0.42154483908395568"/>
          <c:y val="1.391304347826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935126671397834"/>
          <c:y val="0.17453913043478264"/>
          <c:w val="0.69551282484539223"/>
          <c:h val="0.6640816158849709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[5]Sheet1!$A$602:$A$626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[5]Sheet1!$C$602:$C$626</c:f>
              <c:numCache>
                <c:formatCode>General</c:formatCode>
                <c:ptCount val="25"/>
                <c:pt idx="0">
                  <c:v>2073.234338195939</c:v>
                </c:pt>
                <c:pt idx="1">
                  <c:v>3210.7043434473831</c:v>
                </c:pt>
                <c:pt idx="2">
                  <c:v>2380.205940197849</c:v>
                </c:pt>
                <c:pt idx="3">
                  <c:v>2321.4384461436789</c:v>
                </c:pt>
                <c:pt idx="4">
                  <c:v>2264.121926687581</c:v>
                </c:pt>
                <c:pt idx="5">
                  <c:v>2208.2205571390841</c:v>
                </c:pt>
                <c:pt idx="6">
                  <c:v>2264.121926687581</c:v>
                </c:pt>
                <c:pt idx="7">
                  <c:v>5654.1966952084713</c:v>
                </c:pt>
                <c:pt idx="8">
                  <c:v>3771.796234388522</c:v>
                </c:pt>
                <c:pt idx="9">
                  <c:v>3678.6702535502659</c:v>
                </c:pt>
                <c:pt idx="10">
                  <c:v>3587.8435613713541</c:v>
                </c:pt>
                <c:pt idx="11">
                  <c:v>3499.2593882125138</c:v>
                </c:pt>
                <c:pt idx="12">
                  <c:v>6211.782012060874</c:v>
                </c:pt>
                <c:pt idx="13">
                  <c:v>3692.139440225943</c:v>
                </c:pt>
                <c:pt idx="14">
                  <c:v>9396.3957969842468</c:v>
                </c:pt>
                <c:pt idx="15">
                  <c:v>8176.3434826243056</c:v>
                </c:pt>
                <c:pt idx="16">
                  <c:v>8383.3286033360691</c:v>
                </c:pt>
                <c:pt idx="17">
                  <c:v>8176.3434826243056</c:v>
                </c:pt>
                <c:pt idx="18">
                  <c:v>7974.4688427517431</c:v>
                </c:pt>
                <c:pt idx="19">
                  <c:v>8176.3434826243056</c:v>
                </c:pt>
                <c:pt idx="20">
                  <c:v>7974.4688427517431</c:v>
                </c:pt>
                <c:pt idx="21">
                  <c:v>7777.5785054968819</c:v>
                </c:pt>
                <c:pt idx="22">
                  <c:v>7974.4688427517431</c:v>
                </c:pt>
                <c:pt idx="23">
                  <c:v>12229.656187564069</c:v>
                </c:pt>
                <c:pt idx="24">
                  <c:v>9332.0493994659118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8C-454F-A917-97C28B7EF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469296"/>
        <c:axId val="984463536"/>
      </c:scatterChart>
      <c:valAx>
        <c:axId val="984469296"/>
        <c:scaling>
          <c:orientation val="minMax"/>
          <c:max val="2050"/>
          <c:min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463536"/>
        <c:crosses val="autoZero"/>
        <c:crossBetween val="midCat"/>
        <c:majorUnit val="5"/>
      </c:valAx>
      <c:valAx>
        <c:axId val="98446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469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P90</a:t>
            </a:r>
          </a:p>
        </c:rich>
      </c:tx>
      <c:layout>
        <c:manualLayout>
          <c:xMode val="edge"/>
          <c:yMode val="edge"/>
          <c:x val="0.42154483908395568"/>
          <c:y val="1.391304347826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935126671397834"/>
          <c:y val="0.17453913043478264"/>
          <c:w val="0.69551282484539223"/>
          <c:h val="0.6640816158849709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[5]Sheet1!$A$602:$A$626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[5]Sheet1!$D$602:$D$626</c:f>
              <c:numCache>
                <c:formatCode>General</c:formatCode>
                <c:ptCount val="25"/>
                <c:pt idx="0">
                  <c:v>2066.852311324873</c:v>
                </c:pt>
                <c:pt idx="1">
                  <c:v>4536.2661442048602</c:v>
                </c:pt>
                <c:pt idx="2">
                  <c:v>4037.4360194294782</c:v>
                </c:pt>
                <c:pt idx="3">
                  <c:v>4139.6441988710058</c:v>
                </c:pt>
                <c:pt idx="4">
                  <c:v>4037.4360194294782</c:v>
                </c:pt>
                <c:pt idx="5">
                  <c:v>4139.6441988710058</c:v>
                </c:pt>
                <c:pt idx="6">
                  <c:v>4037.4360194294782</c:v>
                </c:pt>
                <c:pt idx="7">
                  <c:v>10829.74513868511</c:v>
                </c:pt>
                <c:pt idx="8">
                  <c:v>7171.0829238242804</c:v>
                </c:pt>
                <c:pt idx="9">
                  <c:v>6994.0282555829372</c:v>
                </c:pt>
                <c:pt idx="10">
                  <c:v>7171.0829238242804</c:v>
                </c:pt>
                <c:pt idx="11">
                  <c:v>6994.0282555829372</c:v>
                </c:pt>
                <c:pt idx="12">
                  <c:v>16049.11872346802</c:v>
                </c:pt>
                <c:pt idx="13">
                  <c:v>11781.176198005</c:v>
                </c:pt>
                <c:pt idx="14">
                  <c:v>20220.46</c:v>
                </c:pt>
                <c:pt idx="15">
                  <c:v>16134.187246172</c:v>
                </c:pt>
                <c:pt idx="16">
                  <c:v>15735.832743712661</c:v>
                </c:pt>
                <c:pt idx="17">
                  <c:v>15347.313648962951</c:v>
                </c:pt>
                <c:pt idx="18">
                  <c:v>15735.832743712661</c:v>
                </c:pt>
                <c:pt idx="19">
                  <c:v>16134.187246172</c:v>
                </c:pt>
                <c:pt idx="20">
                  <c:v>15735.832743712661</c:v>
                </c:pt>
                <c:pt idx="21">
                  <c:v>16134.187246172</c:v>
                </c:pt>
                <c:pt idx="22">
                  <c:v>15735.832743712661</c:v>
                </c:pt>
                <c:pt idx="23">
                  <c:v>20220.46</c:v>
                </c:pt>
                <c:pt idx="24">
                  <c:v>15268.89314809477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99-4360-A6BC-C2A1A31FB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469296"/>
        <c:axId val="984463536"/>
      </c:scatterChart>
      <c:valAx>
        <c:axId val="984469296"/>
        <c:scaling>
          <c:orientation val="minMax"/>
          <c:max val="2050"/>
          <c:min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463536"/>
        <c:crosses val="autoZero"/>
        <c:crossBetween val="midCat"/>
        <c:majorUnit val="5"/>
      </c:valAx>
      <c:valAx>
        <c:axId val="98446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469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7.xml"/><Relationship Id="rId18" Type="http://schemas.openxmlformats.org/officeDocument/2006/relationships/chart" Target="../charts/chart22.xml"/><Relationship Id="rId26" Type="http://schemas.openxmlformats.org/officeDocument/2006/relationships/chart" Target="../charts/chart30.xml"/><Relationship Id="rId39" Type="http://schemas.openxmlformats.org/officeDocument/2006/relationships/chart" Target="../charts/chart43.xml"/><Relationship Id="rId21" Type="http://schemas.openxmlformats.org/officeDocument/2006/relationships/chart" Target="../charts/chart25.xml"/><Relationship Id="rId34" Type="http://schemas.openxmlformats.org/officeDocument/2006/relationships/chart" Target="../charts/chart38.xml"/><Relationship Id="rId7" Type="http://schemas.openxmlformats.org/officeDocument/2006/relationships/chart" Target="../charts/chart11.xml"/><Relationship Id="rId12" Type="http://schemas.openxmlformats.org/officeDocument/2006/relationships/chart" Target="../charts/chart16.xml"/><Relationship Id="rId17" Type="http://schemas.openxmlformats.org/officeDocument/2006/relationships/chart" Target="../charts/chart21.xml"/><Relationship Id="rId25" Type="http://schemas.openxmlformats.org/officeDocument/2006/relationships/chart" Target="../charts/chart29.xml"/><Relationship Id="rId33" Type="http://schemas.openxmlformats.org/officeDocument/2006/relationships/chart" Target="../charts/chart37.xml"/><Relationship Id="rId38" Type="http://schemas.openxmlformats.org/officeDocument/2006/relationships/chart" Target="../charts/chart42.xml"/><Relationship Id="rId2" Type="http://schemas.openxmlformats.org/officeDocument/2006/relationships/chart" Target="../charts/chart6.xml"/><Relationship Id="rId16" Type="http://schemas.openxmlformats.org/officeDocument/2006/relationships/chart" Target="../charts/chart20.xml"/><Relationship Id="rId20" Type="http://schemas.openxmlformats.org/officeDocument/2006/relationships/chart" Target="../charts/chart24.xml"/><Relationship Id="rId29" Type="http://schemas.openxmlformats.org/officeDocument/2006/relationships/chart" Target="../charts/chart33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11" Type="http://schemas.openxmlformats.org/officeDocument/2006/relationships/chart" Target="../charts/chart15.xml"/><Relationship Id="rId24" Type="http://schemas.openxmlformats.org/officeDocument/2006/relationships/chart" Target="../charts/chart28.xml"/><Relationship Id="rId32" Type="http://schemas.openxmlformats.org/officeDocument/2006/relationships/chart" Target="../charts/chart36.xml"/><Relationship Id="rId37" Type="http://schemas.openxmlformats.org/officeDocument/2006/relationships/chart" Target="../charts/chart41.xml"/><Relationship Id="rId5" Type="http://schemas.openxmlformats.org/officeDocument/2006/relationships/chart" Target="../charts/chart9.xml"/><Relationship Id="rId15" Type="http://schemas.openxmlformats.org/officeDocument/2006/relationships/chart" Target="../charts/chart19.xml"/><Relationship Id="rId23" Type="http://schemas.openxmlformats.org/officeDocument/2006/relationships/chart" Target="../charts/chart27.xml"/><Relationship Id="rId28" Type="http://schemas.openxmlformats.org/officeDocument/2006/relationships/chart" Target="../charts/chart32.xml"/><Relationship Id="rId36" Type="http://schemas.openxmlformats.org/officeDocument/2006/relationships/chart" Target="../charts/chart40.xml"/><Relationship Id="rId10" Type="http://schemas.openxmlformats.org/officeDocument/2006/relationships/chart" Target="../charts/chart14.xml"/><Relationship Id="rId19" Type="http://schemas.openxmlformats.org/officeDocument/2006/relationships/chart" Target="../charts/chart23.xml"/><Relationship Id="rId31" Type="http://schemas.openxmlformats.org/officeDocument/2006/relationships/chart" Target="../charts/chart35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Relationship Id="rId14" Type="http://schemas.openxmlformats.org/officeDocument/2006/relationships/chart" Target="../charts/chart18.xml"/><Relationship Id="rId22" Type="http://schemas.openxmlformats.org/officeDocument/2006/relationships/chart" Target="../charts/chart26.xml"/><Relationship Id="rId27" Type="http://schemas.openxmlformats.org/officeDocument/2006/relationships/chart" Target="../charts/chart31.xml"/><Relationship Id="rId30" Type="http://schemas.openxmlformats.org/officeDocument/2006/relationships/chart" Target="../charts/chart34.xml"/><Relationship Id="rId35" Type="http://schemas.openxmlformats.org/officeDocument/2006/relationships/chart" Target="../charts/chart39.xml"/><Relationship Id="rId8" Type="http://schemas.openxmlformats.org/officeDocument/2006/relationships/chart" Target="../charts/chart12.xml"/><Relationship Id="rId3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.xml"/><Relationship Id="rId2" Type="http://schemas.openxmlformats.org/officeDocument/2006/relationships/chart" Target="../charts/chart45.xml"/><Relationship Id="rId1" Type="http://schemas.openxmlformats.org/officeDocument/2006/relationships/chart" Target="../charts/chart4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.xml"/><Relationship Id="rId2" Type="http://schemas.openxmlformats.org/officeDocument/2006/relationships/chart" Target="../charts/chart48.xml"/><Relationship Id="rId1" Type="http://schemas.openxmlformats.org/officeDocument/2006/relationships/chart" Target="../charts/chart47.xml"/><Relationship Id="rId6" Type="http://schemas.openxmlformats.org/officeDocument/2006/relationships/chart" Target="../charts/chart52.xml"/><Relationship Id="rId5" Type="http://schemas.openxmlformats.org/officeDocument/2006/relationships/chart" Target="../charts/chart51.xml"/><Relationship Id="rId4" Type="http://schemas.openxmlformats.org/officeDocument/2006/relationships/chart" Target="../charts/chart50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0.xml"/><Relationship Id="rId3" Type="http://schemas.openxmlformats.org/officeDocument/2006/relationships/chart" Target="../charts/chart55.xml"/><Relationship Id="rId7" Type="http://schemas.openxmlformats.org/officeDocument/2006/relationships/chart" Target="../charts/chart59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Relationship Id="rId6" Type="http://schemas.openxmlformats.org/officeDocument/2006/relationships/chart" Target="../charts/chart58.xml"/><Relationship Id="rId5" Type="http://schemas.openxmlformats.org/officeDocument/2006/relationships/chart" Target="../charts/chart57.xml"/><Relationship Id="rId4" Type="http://schemas.openxmlformats.org/officeDocument/2006/relationships/chart" Target="../charts/chart56.xml"/><Relationship Id="rId9" Type="http://schemas.openxmlformats.org/officeDocument/2006/relationships/chart" Target="../charts/chart61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4.xml"/><Relationship Id="rId2" Type="http://schemas.openxmlformats.org/officeDocument/2006/relationships/chart" Target="../charts/chart63.xml"/><Relationship Id="rId1" Type="http://schemas.openxmlformats.org/officeDocument/2006/relationships/chart" Target="../charts/chart62.xml"/><Relationship Id="rId6" Type="http://schemas.openxmlformats.org/officeDocument/2006/relationships/chart" Target="../charts/chart67.xml"/><Relationship Id="rId5" Type="http://schemas.openxmlformats.org/officeDocument/2006/relationships/chart" Target="../charts/chart66.xml"/><Relationship Id="rId4" Type="http://schemas.openxmlformats.org/officeDocument/2006/relationships/chart" Target="../charts/chart6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425450</xdr:colOff>
      <xdr:row>3</xdr:row>
      <xdr:rowOff>30162</xdr:rowOff>
    </xdr:from>
    <xdr:to>
      <xdr:col>20</xdr:col>
      <xdr:colOff>120650</xdr:colOff>
      <xdr:row>18</xdr:row>
      <xdr:rowOff>58737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2F75E8-3357-4EE5-991D-6234AB147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198437</xdr:colOff>
      <xdr:row>5</xdr:row>
      <xdr:rowOff>160337</xdr:rowOff>
    </xdr:from>
    <xdr:to>
      <xdr:col>11</xdr:col>
      <xdr:colOff>503237</xdr:colOff>
      <xdr:row>21</xdr:row>
      <xdr:rowOff>11112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A11057-6C66-98C4-70C6-C945FF51C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457200</xdr:colOff>
      <xdr:row>3</xdr:row>
      <xdr:rowOff>163512</xdr:rowOff>
    </xdr:from>
    <xdr:to>
      <xdr:col>27</xdr:col>
      <xdr:colOff>152400</xdr:colOff>
      <xdr:row>19</xdr:row>
      <xdr:rowOff>7937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30E3BE-DC47-9DB3-4AA2-2252D4EEA2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396875</xdr:colOff>
      <xdr:row>3</xdr:row>
      <xdr:rowOff>68262</xdr:rowOff>
    </xdr:from>
    <xdr:to>
      <xdr:col>19</xdr:col>
      <xdr:colOff>92075</xdr:colOff>
      <xdr:row>18</xdr:row>
      <xdr:rowOff>96837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255A5A-7A02-4346-9D75-B011B05EE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601</xdr:row>
      <xdr:rowOff>46037</xdr:rowOff>
    </xdr:from>
    <xdr:to>
      <xdr:col>11</xdr:col>
      <xdr:colOff>561975</xdr:colOff>
      <xdr:row>616</xdr:row>
      <xdr:rowOff>77787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D9C28D-C677-46BB-8F22-0676746675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34925</xdr:colOff>
      <xdr:row>601</xdr:row>
      <xdr:rowOff>38100</xdr:rowOff>
    </xdr:from>
    <xdr:to>
      <xdr:col>16</xdr:col>
      <xdr:colOff>549275</xdr:colOff>
      <xdr:row>616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69F0B4-A176-4A18-A2E4-F8F4CCC20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53975</xdr:colOff>
      <xdr:row>601</xdr:row>
      <xdr:rowOff>44450</xdr:rowOff>
    </xdr:from>
    <xdr:to>
      <xdr:col>21</xdr:col>
      <xdr:colOff>568325</xdr:colOff>
      <xdr:row>616</xdr:row>
      <xdr:rowOff>73025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725F50-BB9E-4066-871D-2E47817B8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38100</xdr:colOff>
      <xdr:row>576</xdr:row>
      <xdr:rowOff>26987</xdr:rowOff>
    </xdr:from>
    <xdr:to>
      <xdr:col>11</xdr:col>
      <xdr:colOff>552450</xdr:colOff>
      <xdr:row>591</xdr:row>
      <xdr:rowOff>58737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E6E07B-6579-4298-B4D6-276FF5976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600075</xdr:colOff>
      <xdr:row>576</xdr:row>
      <xdr:rowOff>0</xdr:rowOff>
    </xdr:from>
    <xdr:to>
      <xdr:col>16</xdr:col>
      <xdr:colOff>504825</xdr:colOff>
      <xdr:row>591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2BD37A-B043-427E-A504-C06BC207C0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9525</xdr:colOff>
      <xdr:row>576</xdr:row>
      <xdr:rowOff>9525</xdr:rowOff>
    </xdr:from>
    <xdr:to>
      <xdr:col>21</xdr:col>
      <xdr:colOff>523875</xdr:colOff>
      <xdr:row>591</xdr:row>
      <xdr:rowOff>34925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4098DA7-53BE-490A-99C2-8623B7E64C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47625</xdr:colOff>
      <xdr:row>1</xdr:row>
      <xdr:rowOff>58737</xdr:rowOff>
    </xdr:from>
    <xdr:to>
      <xdr:col>11</xdr:col>
      <xdr:colOff>561975</xdr:colOff>
      <xdr:row>16</xdr:row>
      <xdr:rowOff>87312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CA042A7-803A-45C3-A6F2-E19E93D7E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38100</xdr:colOff>
      <xdr:row>1</xdr:row>
      <xdr:rowOff>47625</xdr:rowOff>
    </xdr:from>
    <xdr:to>
      <xdr:col>16</xdr:col>
      <xdr:colOff>552450</xdr:colOff>
      <xdr:row>16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E3455BB-409F-4ADD-9A3F-1B4A78335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38100</xdr:colOff>
      <xdr:row>1</xdr:row>
      <xdr:rowOff>47625</xdr:rowOff>
    </xdr:from>
    <xdr:to>
      <xdr:col>21</xdr:col>
      <xdr:colOff>552450</xdr:colOff>
      <xdr:row>16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9513105-77D3-45E8-8842-F2604D6BA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0</xdr:colOff>
      <xdr:row>26</xdr:row>
      <xdr:rowOff>14287</xdr:rowOff>
    </xdr:from>
    <xdr:to>
      <xdr:col>11</xdr:col>
      <xdr:colOff>514350</xdr:colOff>
      <xdr:row>41</xdr:row>
      <xdr:rowOff>39687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F9B0677-657E-4973-AEFF-EF880463C4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603250</xdr:colOff>
      <xdr:row>26</xdr:row>
      <xdr:rowOff>0</xdr:rowOff>
    </xdr:from>
    <xdr:to>
      <xdr:col>16</xdr:col>
      <xdr:colOff>508000</xdr:colOff>
      <xdr:row>41</xdr:row>
      <xdr:rowOff>31750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29BB71C-3FDA-4191-8848-BF4F644C9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603250</xdr:colOff>
      <xdr:row>26</xdr:row>
      <xdr:rowOff>0</xdr:rowOff>
    </xdr:from>
    <xdr:to>
      <xdr:col>21</xdr:col>
      <xdr:colOff>508000</xdr:colOff>
      <xdr:row>41</xdr:row>
      <xdr:rowOff>31750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F677D1A-4962-41BD-96A8-16ADF64DAC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0</xdr:colOff>
      <xdr:row>51</xdr:row>
      <xdr:rowOff>11112</xdr:rowOff>
    </xdr:from>
    <xdr:to>
      <xdr:col>11</xdr:col>
      <xdr:colOff>514350</xdr:colOff>
      <xdr:row>66</xdr:row>
      <xdr:rowOff>39687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A897393-155A-4561-B460-104A57A21D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600075</xdr:colOff>
      <xdr:row>51</xdr:row>
      <xdr:rowOff>0</xdr:rowOff>
    </xdr:from>
    <xdr:to>
      <xdr:col>16</xdr:col>
      <xdr:colOff>504825</xdr:colOff>
      <xdr:row>66</xdr:row>
      <xdr:rowOff>28575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ED3A985-B6F1-4979-8997-68C463B93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600075</xdr:colOff>
      <xdr:row>51</xdr:row>
      <xdr:rowOff>0</xdr:rowOff>
    </xdr:from>
    <xdr:to>
      <xdr:col>21</xdr:col>
      <xdr:colOff>504825</xdr:colOff>
      <xdr:row>66</xdr:row>
      <xdr:rowOff>28575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D98AD00-3FD9-482A-8240-7B61FABCA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38100</xdr:colOff>
      <xdr:row>76</xdr:row>
      <xdr:rowOff>28575</xdr:rowOff>
    </xdr:from>
    <xdr:to>
      <xdr:col>11</xdr:col>
      <xdr:colOff>552450</xdr:colOff>
      <xdr:row>91</xdr:row>
      <xdr:rowOff>57150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9AD575C-74DE-4151-9E7F-F25BB994C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</xdr:col>
      <xdr:colOff>47625</xdr:colOff>
      <xdr:row>251</xdr:row>
      <xdr:rowOff>28575</xdr:rowOff>
    </xdr:from>
    <xdr:to>
      <xdr:col>11</xdr:col>
      <xdr:colOff>561975</xdr:colOff>
      <xdr:row>266</xdr:row>
      <xdr:rowOff>57150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FAFF7CB-81B0-405B-88A4-B3AEB06F12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</xdr:col>
      <xdr:colOff>47625</xdr:colOff>
      <xdr:row>101</xdr:row>
      <xdr:rowOff>38100</xdr:rowOff>
    </xdr:from>
    <xdr:to>
      <xdr:col>11</xdr:col>
      <xdr:colOff>561975</xdr:colOff>
      <xdr:row>116</xdr:row>
      <xdr:rowOff>66675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4DB279E-E676-4C74-8E44-5A69DED43C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</xdr:col>
      <xdr:colOff>0</xdr:colOff>
      <xdr:row>125</xdr:row>
      <xdr:rowOff>0</xdr:rowOff>
    </xdr:from>
    <xdr:to>
      <xdr:col>11</xdr:col>
      <xdr:colOff>514350</xdr:colOff>
      <xdr:row>140</xdr:row>
      <xdr:rowOff>28575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55FE6F6F-77FC-4F98-B6DC-B0792921F0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</xdr:col>
      <xdr:colOff>0</xdr:colOff>
      <xdr:row>151</xdr:row>
      <xdr:rowOff>0</xdr:rowOff>
    </xdr:from>
    <xdr:to>
      <xdr:col>11</xdr:col>
      <xdr:colOff>514350</xdr:colOff>
      <xdr:row>166</xdr:row>
      <xdr:rowOff>25400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0920D8E-AEFB-451D-BD76-B51F2E2CE4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</xdr:col>
      <xdr:colOff>0</xdr:colOff>
      <xdr:row>176</xdr:row>
      <xdr:rowOff>0</xdr:rowOff>
    </xdr:from>
    <xdr:to>
      <xdr:col>11</xdr:col>
      <xdr:colOff>514350</xdr:colOff>
      <xdr:row>191</xdr:row>
      <xdr:rowOff>28575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D2442717-F95E-4AF7-A229-4D6C038871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</xdr:col>
      <xdr:colOff>19050</xdr:colOff>
      <xdr:row>201</xdr:row>
      <xdr:rowOff>28575</xdr:rowOff>
    </xdr:from>
    <xdr:to>
      <xdr:col>11</xdr:col>
      <xdr:colOff>533400</xdr:colOff>
      <xdr:row>216</xdr:row>
      <xdr:rowOff>57150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C299DDAD-04BD-4385-96E8-CAB119B43B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</xdr:col>
      <xdr:colOff>57150</xdr:colOff>
      <xdr:row>226</xdr:row>
      <xdr:rowOff>47625</xdr:rowOff>
    </xdr:from>
    <xdr:to>
      <xdr:col>11</xdr:col>
      <xdr:colOff>571500</xdr:colOff>
      <xdr:row>241</xdr:row>
      <xdr:rowOff>76200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2E821498-58C2-47B1-A7C1-1A9371ED8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</xdr:col>
      <xdr:colOff>47625</xdr:colOff>
      <xdr:row>276</xdr:row>
      <xdr:rowOff>47625</xdr:rowOff>
    </xdr:from>
    <xdr:to>
      <xdr:col>11</xdr:col>
      <xdr:colOff>561975</xdr:colOff>
      <xdr:row>291</xdr:row>
      <xdr:rowOff>76200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C0A7A507-3566-4502-AB98-4BA2D39C44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7</xdr:col>
      <xdr:colOff>28575</xdr:colOff>
      <xdr:row>301</xdr:row>
      <xdr:rowOff>47625</xdr:rowOff>
    </xdr:from>
    <xdr:to>
      <xdr:col>11</xdr:col>
      <xdr:colOff>542925</xdr:colOff>
      <xdr:row>316</xdr:row>
      <xdr:rowOff>76200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F94A3160-50A1-4A8D-AD51-27495B77EF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7</xdr:col>
      <xdr:colOff>38100</xdr:colOff>
      <xdr:row>326</xdr:row>
      <xdr:rowOff>57150</xdr:rowOff>
    </xdr:from>
    <xdr:to>
      <xdr:col>11</xdr:col>
      <xdr:colOff>552450</xdr:colOff>
      <xdr:row>341</xdr:row>
      <xdr:rowOff>85725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452AE7A7-46D4-4117-BC17-0FEADBE64B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</xdr:col>
      <xdr:colOff>28575</xdr:colOff>
      <xdr:row>351</xdr:row>
      <xdr:rowOff>38100</xdr:rowOff>
    </xdr:from>
    <xdr:to>
      <xdr:col>11</xdr:col>
      <xdr:colOff>542925</xdr:colOff>
      <xdr:row>366</xdr:row>
      <xdr:rowOff>66675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E85DC2C2-F54D-4A49-966B-8E7B213A8C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7</xdr:col>
      <xdr:colOff>38100</xdr:colOff>
      <xdr:row>375</xdr:row>
      <xdr:rowOff>38100</xdr:rowOff>
    </xdr:from>
    <xdr:to>
      <xdr:col>11</xdr:col>
      <xdr:colOff>552450</xdr:colOff>
      <xdr:row>390</xdr:row>
      <xdr:rowOff>66675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F1C417BE-EFA1-4430-849C-F0D94576B1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7</xdr:col>
      <xdr:colOff>47625</xdr:colOff>
      <xdr:row>401</xdr:row>
      <xdr:rowOff>57150</xdr:rowOff>
    </xdr:from>
    <xdr:to>
      <xdr:col>11</xdr:col>
      <xdr:colOff>561975</xdr:colOff>
      <xdr:row>416</xdr:row>
      <xdr:rowOff>85725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5016C8E4-2D3B-4381-8056-365C006AC4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</xdr:col>
      <xdr:colOff>38100</xdr:colOff>
      <xdr:row>426</xdr:row>
      <xdr:rowOff>38100</xdr:rowOff>
    </xdr:from>
    <xdr:to>
      <xdr:col>11</xdr:col>
      <xdr:colOff>552450</xdr:colOff>
      <xdr:row>441</xdr:row>
      <xdr:rowOff>66675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5A4EC724-FF98-453D-AE5B-B84A70FA2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7</xdr:col>
      <xdr:colOff>28575</xdr:colOff>
      <xdr:row>451</xdr:row>
      <xdr:rowOff>28575</xdr:rowOff>
    </xdr:from>
    <xdr:to>
      <xdr:col>11</xdr:col>
      <xdr:colOff>542925</xdr:colOff>
      <xdr:row>466</xdr:row>
      <xdr:rowOff>57150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7C1209B9-EC1A-493D-A715-B5E630460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7</xdr:col>
      <xdr:colOff>28575</xdr:colOff>
      <xdr:row>475</xdr:row>
      <xdr:rowOff>28575</xdr:rowOff>
    </xdr:from>
    <xdr:to>
      <xdr:col>11</xdr:col>
      <xdr:colOff>542925</xdr:colOff>
      <xdr:row>490</xdr:row>
      <xdr:rowOff>57150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2886EC40-3275-46E7-8ACF-D6374C9CE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</xdr:col>
      <xdr:colOff>28575</xdr:colOff>
      <xdr:row>501</xdr:row>
      <xdr:rowOff>38100</xdr:rowOff>
    </xdr:from>
    <xdr:to>
      <xdr:col>11</xdr:col>
      <xdr:colOff>542925</xdr:colOff>
      <xdr:row>516</xdr:row>
      <xdr:rowOff>66675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90D957B5-51C5-490B-B49E-2311FB06FF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7</xdr:col>
      <xdr:colOff>38100</xdr:colOff>
      <xdr:row>526</xdr:row>
      <xdr:rowOff>38100</xdr:rowOff>
    </xdr:from>
    <xdr:to>
      <xdr:col>11</xdr:col>
      <xdr:colOff>552450</xdr:colOff>
      <xdr:row>541</xdr:row>
      <xdr:rowOff>66675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5911C367-623E-40C9-8207-29A3C9DE4D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7</xdr:col>
      <xdr:colOff>57150</xdr:colOff>
      <xdr:row>551</xdr:row>
      <xdr:rowOff>28575</xdr:rowOff>
    </xdr:from>
    <xdr:to>
      <xdr:col>11</xdr:col>
      <xdr:colOff>571500</xdr:colOff>
      <xdr:row>566</xdr:row>
      <xdr:rowOff>57150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1D624073-E7FD-4CD1-8D3A-E23044B6D5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12</xdr:col>
      <xdr:colOff>47625</xdr:colOff>
      <xdr:row>76</xdr:row>
      <xdr:rowOff>28575</xdr:rowOff>
    </xdr:from>
    <xdr:to>
      <xdr:col>16</xdr:col>
      <xdr:colOff>561975</xdr:colOff>
      <xdr:row>91</xdr:row>
      <xdr:rowOff>57150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DC0505F7-1C28-4DFC-B3E5-9BF52E071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17</xdr:col>
      <xdr:colOff>28575</xdr:colOff>
      <xdr:row>76</xdr:row>
      <xdr:rowOff>47625</xdr:rowOff>
    </xdr:from>
    <xdr:to>
      <xdr:col>21</xdr:col>
      <xdr:colOff>542925</xdr:colOff>
      <xdr:row>91</xdr:row>
      <xdr:rowOff>76200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E259A632-3116-4BDC-BA9F-799106F977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38100</xdr:colOff>
      <xdr:row>101</xdr:row>
      <xdr:rowOff>47625</xdr:rowOff>
    </xdr:from>
    <xdr:to>
      <xdr:col>16</xdr:col>
      <xdr:colOff>552450</xdr:colOff>
      <xdr:row>116</xdr:row>
      <xdr:rowOff>76200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20874122-B42F-4CEB-BCCD-0711A1BDEE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17</xdr:col>
      <xdr:colOff>38100</xdr:colOff>
      <xdr:row>101</xdr:row>
      <xdr:rowOff>38100</xdr:rowOff>
    </xdr:from>
    <xdr:to>
      <xdr:col>21</xdr:col>
      <xdr:colOff>552450</xdr:colOff>
      <xdr:row>116</xdr:row>
      <xdr:rowOff>66675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8E8E26D5-A2FB-4029-803D-329BFA670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</xdr:colOff>
      <xdr:row>8</xdr:row>
      <xdr:rowOff>50799</xdr:rowOff>
    </xdr:from>
    <xdr:to>
      <xdr:col>10</xdr:col>
      <xdr:colOff>6350</xdr:colOff>
      <xdr:row>18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B2B4E9-950F-47BD-8DE7-10119B3DFA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66675</xdr:colOff>
      <xdr:row>22</xdr:row>
      <xdr:rowOff>57150</xdr:rowOff>
    </xdr:from>
    <xdr:to>
      <xdr:col>10</xdr:col>
      <xdr:colOff>28575</xdr:colOff>
      <xdr:row>32</xdr:row>
      <xdr:rowOff>171451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20CE8C-B42A-48D7-A556-647056AA00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73025</xdr:colOff>
      <xdr:row>35</xdr:row>
      <xdr:rowOff>57150</xdr:rowOff>
    </xdr:from>
    <xdr:to>
      <xdr:col>10</xdr:col>
      <xdr:colOff>34925</xdr:colOff>
      <xdr:row>45</xdr:row>
      <xdr:rowOff>171451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30BCE50-447A-4910-B437-F7B1B9DF7A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98425</xdr:colOff>
      <xdr:row>601</xdr:row>
      <xdr:rowOff>79375</xdr:rowOff>
    </xdr:from>
    <xdr:to>
      <xdr:col>10</xdr:col>
      <xdr:colOff>533400</xdr:colOff>
      <xdr:row>610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0757F3-A916-4915-A6B0-CB041B0B1B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69850</xdr:colOff>
      <xdr:row>601</xdr:row>
      <xdr:rowOff>50800</xdr:rowOff>
    </xdr:from>
    <xdr:to>
      <xdr:col>14</xdr:col>
      <xdr:colOff>504825</xdr:colOff>
      <xdr:row>610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C3D5C5-F761-40F0-97C2-61C6791407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31750</xdr:colOff>
      <xdr:row>601</xdr:row>
      <xdr:rowOff>63500</xdr:rowOff>
    </xdr:from>
    <xdr:to>
      <xdr:col>18</xdr:col>
      <xdr:colOff>466725</xdr:colOff>
      <xdr:row>610</xdr:row>
      <xdr:rowOff>41275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EA6C57-C748-4522-954C-1F5873A7C1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41275</xdr:colOff>
      <xdr:row>1</xdr:row>
      <xdr:rowOff>28575</xdr:rowOff>
    </xdr:from>
    <xdr:to>
      <xdr:col>10</xdr:col>
      <xdr:colOff>571500</xdr:colOff>
      <xdr:row>10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AD9F2F-641A-4AB8-9137-FC97F000B6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44450</xdr:colOff>
      <xdr:row>1</xdr:row>
      <xdr:rowOff>44450</xdr:rowOff>
    </xdr:from>
    <xdr:to>
      <xdr:col>14</xdr:col>
      <xdr:colOff>574675</xdr:colOff>
      <xdr:row>10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82D1789-66CE-4B53-A837-238BD3351D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50800</xdr:colOff>
      <xdr:row>1</xdr:row>
      <xdr:rowOff>50800</xdr:rowOff>
    </xdr:from>
    <xdr:to>
      <xdr:col>18</xdr:col>
      <xdr:colOff>581025</xdr:colOff>
      <xdr:row>11</xdr:row>
      <xdr:rowOff>3175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9C9BB9B-2FBA-408E-89B3-90E9C8F6B5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1</xdr:row>
      <xdr:rowOff>53975</xdr:rowOff>
    </xdr:from>
    <xdr:to>
      <xdr:col>10</xdr:col>
      <xdr:colOff>558800</xdr:colOff>
      <xdr:row>16</xdr:row>
      <xdr:rowOff>34925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49234E-EB2A-489B-88BC-E539C0837A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63500</xdr:colOff>
      <xdr:row>1</xdr:row>
      <xdr:rowOff>50800</xdr:rowOff>
    </xdr:from>
    <xdr:to>
      <xdr:col>14</xdr:col>
      <xdr:colOff>517525</xdr:colOff>
      <xdr:row>16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BC2377-F4AB-4336-B0AC-5909462C01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38100</xdr:colOff>
      <xdr:row>1</xdr:row>
      <xdr:rowOff>38100</xdr:rowOff>
    </xdr:from>
    <xdr:to>
      <xdr:col>18</xdr:col>
      <xdr:colOff>492125</xdr:colOff>
      <xdr:row>16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52159E-045C-4FBE-92A5-80D655423F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82176</xdr:colOff>
      <xdr:row>25</xdr:row>
      <xdr:rowOff>90581</xdr:rowOff>
    </xdr:from>
    <xdr:to>
      <xdr:col>10</xdr:col>
      <xdr:colOff>536201</xdr:colOff>
      <xdr:row>40</xdr:row>
      <xdr:rowOff>71531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D99E4F-3288-4F7B-9582-4D17641CB0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55843</xdr:colOff>
      <xdr:row>25</xdr:row>
      <xdr:rowOff>109817</xdr:rowOff>
    </xdr:from>
    <xdr:to>
      <xdr:col>14</xdr:col>
      <xdr:colOff>509868</xdr:colOff>
      <xdr:row>40</xdr:row>
      <xdr:rowOff>90767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EAB84B-4694-4A8C-8675-B853586574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30442</xdr:colOff>
      <xdr:row>25</xdr:row>
      <xdr:rowOff>112058</xdr:rowOff>
    </xdr:from>
    <xdr:to>
      <xdr:col>18</xdr:col>
      <xdr:colOff>484467</xdr:colOff>
      <xdr:row>40</xdr:row>
      <xdr:rowOff>93008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C8D61EF-D866-47A5-AF86-1DA02436BD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112059</xdr:colOff>
      <xdr:row>600</xdr:row>
      <xdr:rowOff>36605</xdr:rowOff>
    </xdr:from>
    <xdr:to>
      <xdr:col>11</xdr:col>
      <xdr:colOff>537882</xdr:colOff>
      <xdr:row>614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D4F8C38-496B-469E-9200-FA3A8358AF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44824</xdr:colOff>
      <xdr:row>600</xdr:row>
      <xdr:rowOff>44823</xdr:rowOff>
    </xdr:from>
    <xdr:to>
      <xdr:col>16</xdr:col>
      <xdr:colOff>470647</xdr:colOff>
      <xdr:row>614</xdr:row>
      <xdr:rowOff>173318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685DD68-4F85-490F-B1C7-3035FA0911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52294</xdr:colOff>
      <xdr:row>600</xdr:row>
      <xdr:rowOff>67235</xdr:rowOff>
    </xdr:from>
    <xdr:to>
      <xdr:col>21</xdr:col>
      <xdr:colOff>478117</xdr:colOff>
      <xdr:row>615</xdr:row>
      <xdr:rowOff>8965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152FF10-AA45-4113-8E46-E4AC4B7D5E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1</xdr:row>
      <xdr:rowOff>22225</xdr:rowOff>
    </xdr:from>
    <xdr:to>
      <xdr:col>10</xdr:col>
      <xdr:colOff>444500</xdr:colOff>
      <xdr:row>11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77B4EE-0BC2-4E5A-BD12-6DBE64266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57150</xdr:colOff>
      <xdr:row>1</xdr:row>
      <xdr:rowOff>25400</xdr:rowOff>
    </xdr:from>
    <xdr:to>
      <xdr:col>14</xdr:col>
      <xdr:colOff>454025</xdr:colOff>
      <xdr:row>11</xdr:row>
      <xdr:rowOff>168275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786D23-AE37-4B2A-9510-73B5E6D99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44450</xdr:colOff>
      <xdr:row>1</xdr:row>
      <xdr:rowOff>31750</xdr:rowOff>
    </xdr:from>
    <xdr:to>
      <xdr:col>18</xdr:col>
      <xdr:colOff>441325</xdr:colOff>
      <xdr:row>11</xdr:row>
      <xdr:rowOff>174625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B8DDE4-0923-473D-8CA7-A6D7F25AB0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28575</xdr:colOff>
      <xdr:row>601</xdr:row>
      <xdr:rowOff>22225</xdr:rowOff>
    </xdr:from>
    <xdr:to>
      <xdr:col>10</xdr:col>
      <xdr:colOff>419100</xdr:colOff>
      <xdr:row>611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038B9A-75B5-44DF-814D-F60D6AE12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457200</xdr:colOff>
      <xdr:row>601</xdr:row>
      <xdr:rowOff>25400</xdr:rowOff>
    </xdr:from>
    <xdr:to>
      <xdr:col>14</xdr:col>
      <xdr:colOff>238125</xdr:colOff>
      <xdr:row>611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2DB2E0-F2CE-442C-9C4C-F050209E29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260350</xdr:colOff>
      <xdr:row>601</xdr:row>
      <xdr:rowOff>19050</xdr:rowOff>
    </xdr:from>
    <xdr:to>
      <xdr:col>18</xdr:col>
      <xdr:colOff>41275</xdr:colOff>
      <xdr:row>611</xdr:row>
      <xdr:rowOff>3175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DC4C0C9-6962-4948-BC78-76154CC546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ccireland-my.sharepoint.com/personal/frostami_ucc_ie/Documents/Desktop/Shield/Supp/Generated%20scenarios/1.%20Price%20Spike_Energy%20commodities/electricity_price_P10_P50_P90_median_capped_sorted.xlsx" TargetMode="External"/><Relationship Id="rId1" Type="http://schemas.openxmlformats.org/officeDocument/2006/relationships/externalLinkPath" Target="https://uccireland-my.sharepoint.com/personal/frostami_ucc_ie/Documents/Desktop/Shield/Supp/Generated%20scenarios/1.%20Price%20Spike_Energy%20commodities/electricity_price_P10_P50_P90_median_capped_sorte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ccireland-my.sharepoint.com/personal/frostami_ucc_ie/Documents/Desktop/Shield/Supp/Supplementary_Mineral%20price.xlsx" TargetMode="External"/><Relationship Id="rId1" Type="http://schemas.openxmlformats.org/officeDocument/2006/relationships/externalLinkPath" Target="https://uccireland-my.sharepoint.com/personal/frostami_ucc_ie/Documents/Desktop/Shield/Supp/Supplementary_Mineral%20pric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ccireland-my.sharepoint.com/personal/frostami_ucc_ie/Documents/Desktop/Shield/Supp/Generated%20scenarios/2.%20Battery%20price%20impact/Graphite_price_scenarios.xlsx" TargetMode="External"/><Relationship Id="rId1" Type="http://schemas.openxmlformats.org/officeDocument/2006/relationships/externalLinkPath" Target="https://uccireland-my.sharepoint.com/personal/frostami_ucc_ie/Documents/Desktop/Shield/Supp/Generated%20scenarios/2.%20Battery%20price%20impact/Graphite_price_scenario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ccireland-my.sharepoint.com/personal/frostami_ucc_ie/Documents/Desktop/Shield/Supp/Generated%20scenarios/2.%20Battery%20price%20impact/lithium_price_scenarios%20(1).xlsx" TargetMode="External"/><Relationship Id="rId1" Type="http://schemas.openxmlformats.org/officeDocument/2006/relationships/externalLinkPath" Target="https://uccireland-my.sharepoint.com/personal/frostami_ucc_ie/Documents/Desktop/Shield/Supp/Generated%20scenarios/2.%20Battery%20price%20impact/lithium_price_scenarios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ccireland-my.sharepoint.com/personal/frostami_ucc_ie/Documents/Desktop/Shield/Supp/Generated%20scenarios/2.%20Battery%20price%20impact/Nickel_price_scenarios.xlsx" TargetMode="External"/><Relationship Id="rId1" Type="http://schemas.openxmlformats.org/officeDocument/2006/relationships/externalLinkPath" Target="https://uccireland-my.sharepoint.com/personal/frostami_ucc_ie/Documents/Desktop/Shield/Supp/Generated%20scenarios/2.%20Battery%20price%20impact/Nickel_price_scenario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ccireland-my.sharepoint.com/personal/frostami_ucc_ie/Documents/Desktop/Shield/Supp/Supplementary_Demandsupply.xlsx" TargetMode="External"/><Relationship Id="rId1" Type="http://schemas.openxmlformats.org/officeDocument/2006/relationships/externalLinkPath" Target="https://uccireland-my.sharepoint.com/personal/frostami_ucc_ie/Documents/Desktop/Shield/Supp/Supplementary_Demandsupp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_Scenarios"/>
      <sheetName val="Sheet1"/>
      <sheetName val="1_Spikes"/>
      <sheetName val="2_Spikes"/>
      <sheetName val="3_Spikes"/>
      <sheetName val="4_Spikes"/>
      <sheetName val="5_Spikes"/>
    </sheetNames>
    <sheetDataSet>
      <sheetData sheetId="0">
        <row r="2">
          <cell r="A2">
            <v>2026</v>
          </cell>
          <cell r="B2">
            <v>52.131650615948899</v>
          </cell>
          <cell r="C2">
            <v>52.131650615948899</v>
          </cell>
          <cell r="D2">
            <v>52.131650615948899</v>
          </cell>
        </row>
        <row r="3">
          <cell r="A3">
            <v>2027</v>
          </cell>
          <cell r="B3">
            <v>31.619444439999999</v>
          </cell>
          <cell r="C3">
            <v>36.923091881504043</v>
          </cell>
          <cell r="D3">
            <v>48.552430782892962</v>
          </cell>
        </row>
        <row r="4">
          <cell r="A4">
            <v>2028</v>
          </cell>
          <cell r="B4">
            <v>31.480434527314671</v>
          </cell>
          <cell r="C4">
            <v>38.582234796613392</v>
          </cell>
          <cell r="D4">
            <v>48.826716100147387</v>
          </cell>
        </row>
        <row r="5">
          <cell r="A5">
            <v>2029</v>
          </cell>
          <cell r="B5">
            <v>31.123851808288361</v>
          </cell>
          <cell r="C5">
            <v>38.821187918002693</v>
          </cell>
          <cell r="D5">
            <v>51.79514124389776</v>
          </cell>
        </row>
        <row r="6">
          <cell r="A6">
            <v>2030</v>
          </cell>
          <cell r="B6">
            <v>30.81184063037162</v>
          </cell>
          <cell r="C6">
            <v>39.157964434052722</v>
          </cell>
          <cell r="D6">
            <v>50.938008839589948</v>
          </cell>
        </row>
        <row r="7">
          <cell r="A7">
            <v>2031</v>
          </cell>
          <cell r="B7">
            <v>30.695883664951239</v>
          </cell>
          <cell r="C7">
            <v>38.744496835674333</v>
          </cell>
          <cell r="D7">
            <v>50.567892871418593</v>
          </cell>
        </row>
        <row r="8">
          <cell r="A8">
            <v>2032</v>
          </cell>
          <cell r="B8">
            <v>31.520636342617571</v>
          </cell>
          <cell r="C8">
            <v>37.515614468874809</v>
          </cell>
          <cell r="D8">
            <v>49.992286394598928</v>
          </cell>
        </row>
        <row r="9">
          <cell r="A9">
            <v>2033</v>
          </cell>
          <cell r="B9">
            <v>30.062128617295659</v>
          </cell>
          <cell r="C9">
            <v>37.412372748971592</v>
          </cell>
          <cell r="D9">
            <v>51.402272874051157</v>
          </cell>
        </row>
        <row r="10">
          <cell r="A10">
            <v>2034</v>
          </cell>
          <cell r="B10">
            <v>29.85209661960662</v>
          </cell>
          <cell r="C10">
            <v>38.338394013300253</v>
          </cell>
          <cell r="D10">
            <v>51.170231673328679</v>
          </cell>
        </row>
        <row r="11">
          <cell r="A11">
            <v>2035</v>
          </cell>
          <cell r="B11">
            <v>30.852190974139919</v>
          </cell>
          <cell r="C11">
            <v>40.204814594151827</v>
          </cell>
          <cell r="D11">
            <v>51.314267334871737</v>
          </cell>
        </row>
        <row r="12">
          <cell r="A12">
            <v>2036</v>
          </cell>
          <cell r="B12">
            <v>30.27512812820914</v>
          </cell>
          <cell r="C12">
            <v>39.500694990286732</v>
          </cell>
          <cell r="D12">
            <v>50.065142501041407</v>
          </cell>
        </row>
        <row r="13">
          <cell r="A13">
            <v>2037</v>
          </cell>
          <cell r="B13">
            <v>29.778023430589499</v>
          </cell>
          <cell r="C13">
            <v>38.576161986554283</v>
          </cell>
          <cell r="D13">
            <v>50.746628674692431</v>
          </cell>
        </row>
        <row r="14">
          <cell r="A14">
            <v>2038</v>
          </cell>
          <cell r="B14">
            <v>30.703403448043971</v>
          </cell>
          <cell r="C14">
            <v>36.559868586266241</v>
          </cell>
          <cell r="D14">
            <v>52.697429135932737</v>
          </cell>
        </row>
        <row r="15">
          <cell r="A15">
            <v>2039</v>
          </cell>
          <cell r="B15">
            <v>30.356660431932742</v>
          </cell>
          <cell r="C15">
            <v>37.291636108981713</v>
          </cell>
          <cell r="D15">
            <v>51.062722729627232</v>
          </cell>
        </row>
        <row r="16">
          <cell r="A16">
            <v>2040</v>
          </cell>
          <cell r="B16">
            <v>29.89227235407499</v>
          </cell>
          <cell r="C16">
            <v>37.521829217343537</v>
          </cell>
          <cell r="D16">
            <v>50.658398728432147</v>
          </cell>
        </row>
        <row r="17">
          <cell r="A17">
            <v>2041</v>
          </cell>
          <cell r="B17">
            <v>29.682461482440939</v>
          </cell>
          <cell r="C17">
            <v>39.212754634558117</v>
          </cell>
          <cell r="D17">
            <v>51.046792315662401</v>
          </cell>
        </row>
        <row r="18">
          <cell r="A18">
            <v>2042</v>
          </cell>
          <cell r="B18">
            <v>29.607983278143571</v>
          </cell>
          <cell r="C18">
            <v>38.588190541897937</v>
          </cell>
          <cell r="D18">
            <v>52.223198598593548</v>
          </cell>
        </row>
        <row r="19">
          <cell r="A19">
            <v>2043</v>
          </cell>
          <cell r="B19">
            <v>30.802862814019591</v>
          </cell>
          <cell r="C19">
            <v>38.199778894638627</v>
          </cell>
          <cell r="D19">
            <v>50.670243498553518</v>
          </cell>
        </row>
        <row r="20">
          <cell r="A20">
            <v>2044</v>
          </cell>
          <cell r="B20">
            <v>30.765536623834642</v>
          </cell>
          <cell r="C20">
            <v>38.75365394295072</v>
          </cell>
          <cell r="D20">
            <v>51.27310619442688</v>
          </cell>
        </row>
        <row r="21">
          <cell r="A21">
            <v>2045</v>
          </cell>
          <cell r="B21">
            <v>30.346139499939259</v>
          </cell>
          <cell r="C21">
            <v>37.356538604060908</v>
          </cell>
          <cell r="D21">
            <v>53.936776674091753</v>
          </cell>
        </row>
        <row r="22">
          <cell r="A22">
            <v>2046</v>
          </cell>
          <cell r="B22">
            <v>30.688754142081049</v>
          </cell>
          <cell r="C22">
            <v>38.659083769148538</v>
          </cell>
          <cell r="D22">
            <v>53.8952437312347</v>
          </cell>
        </row>
        <row r="23">
          <cell r="A23">
            <v>2047</v>
          </cell>
          <cell r="B23">
            <v>29.439186705477461</v>
          </cell>
          <cell r="C23">
            <v>39.226672834314321</v>
          </cell>
          <cell r="D23">
            <v>55.032550866068448</v>
          </cell>
        </row>
        <row r="24">
          <cell r="A24">
            <v>2048</v>
          </cell>
          <cell r="B24">
            <v>29.641877374811539</v>
          </cell>
          <cell r="C24">
            <v>39.114105722336546</v>
          </cell>
          <cell r="D24">
            <v>53.483168579589602</v>
          </cell>
        </row>
        <row r="25">
          <cell r="A25">
            <v>2049</v>
          </cell>
          <cell r="B25">
            <v>30.168109645173221</v>
          </cell>
          <cell r="C25">
            <v>38.560473199256052</v>
          </cell>
          <cell r="D25">
            <v>53.406950457438022</v>
          </cell>
        </row>
        <row r="26">
          <cell r="A26">
            <v>2050</v>
          </cell>
          <cell r="B26">
            <v>30.54881797450728</v>
          </cell>
          <cell r="C26">
            <v>38.388239165958318</v>
          </cell>
          <cell r="D26">
            <v>53.932144284965943</v>
          </cell>
        </row>
        <row r="27">
          <cell r="A27">
            <v>2026</v>
          </cell>
          <cell r="B27">
            <v>30.99057804982187</v>
          </cell>
          <cell r="C27">
            <v>30.36490174226876</v>
          </cell>
          <cell r="D27">
            <v>32.783359022615663</v>
          </cell>
        </row>
        <row r="28">
          <cell r="A28">
            <v>2027</v>
          </cell>
          <cell r="B28">
            <v>29.441300426505961</v>
          </cell>
          <cell r="C28">
            <v>30.438147445697219</v>
          </cell>
          <cell r="D28">
            <v>33.654165623735253</v>
          </cell>
        </row>
        <row r="29">
          <cell r="A29">
            <v>2028</v>
          </cell>
          <cell r="B29">
            <v>29.934648536755521</v>
          </cell>
          <cell r="C29">
            <v>29.97678290098267</v>
          </cell>
          <cell r="D29">
            <v>32.939563421606209</v>
          </cell>
        </row>
        <row r="30">
          <cell r="A30">
            <v>2029</v>
          </cell>
          <cell r="B30">
            <v>29.961898742838901</v>
          </cell>
          <cell r="C30">
            <v>30.640068858609791</v>
          </cell>
          <cell r="D30">
            <v>34.044208894550529</v>
          </cell>
        </row>
        <row r="31">
          <cell r="A31">
            <v>2030</v>
          </cell>
          <cell r="B31">
            <v>28.814727182185742</v>
          </cell>
          <cell r="C31">
            <v>31.888781394982789</v>
          </cell>
          <cell r="D31">
            <v>34.956615514833487</v>
          </cell>
        </row>
        <row r="32">
          <cell r="A32">
            <v>2031</v>
          </cell>
          <cell r="B32">
            <v>47.507453614690803</v>
          </cell>
          <cell r="C32">
            <v>52.575712182614623</v>
          </cell>
          <cell r="D32">
            <v>57.633715550992093</v>
          </cell>
        </row>
        <row r="33">
          <cell r="A33">
            <v>2032</v>
          </cell>
          <cell r="B33">
            <v>32.244275992497158</v>
          </cell>
          <cell r="C33">
            <v>37.450107109774223</v>
          </cell>
          <cell r="D33">
            <v>48.758363756733488</v>
          </cell>
        </row>
        <row r="34">
          <cell r="A34">
            <v>2033</v>
          </cell>
          <cell r="B34">
            <v>32.644955900997047</v>
          </cell>
          <cell r="C34">
            <v>37.224037847034623</v>
          </cell>
          <cell r="D34">
            <v>50.225107824442702</v>
          </cell>
        </row>
        <row r="35">
          <cell r="A35">
            <v>2034</v>
          </cell>
          <cell r="B35">
            <v>31.341027047856411</v>
          </cell>
          <cell r="C35">
            <v>36.537156205643768</v>
          </cell>
          <cell r="D35">
            <v>48.396781924628293</v>
          </cell>
        </row>
        <row r="36">
          <cell r="A36">
            <v>2035</v>
          </cell>
          <cell r="B36">
            <v>32.388442848446623</v>
          </cell>
          <cell r="C36">
            <v>38.17950416903011</v>
          </cell>
          <cell r="D36">
            <v>50.637268021705417</v>
          </cell>
        </row>
        <row r="37">
          <cell r="A37">
            <v>2036</v>
          </cell>
          <cell r="B37">
            <v>32.020682509461977</v>
          </cell>
          <cell r="C37">
            <v>38.539050341302669</v>
          </cell>
          <cell r="D37">
            <v>51.249683035773828</v>
          </cell>
        </row>
        <row r="38">
          <cell r="A38">
            <v>2037</v>
          </cell>
          <cell r="B38">
            <v>31.506477685483912</v>
          </cell>
          <cell r="C38">
            <v>38.148812423073387</v>
          </cell>
          <cell r="D38">
            <v>51.062989755515517</v>
          </cell>
        </row>
        <row r="39">
          <cell r="A39">
            <v>2038</v>
          </cell>
          <cell r="B39">
            <v>30.683209222594311</v>
          </cell>
          <cell r="C39">
            <v>37.259410367935907</v>
          </cell>
          <cell r="D39">
            <v>51.72805507722051</v>
          </cell>
        </row>
        <row r="40">
          <cell r="A40">
            <v>2039</v>
          </cell>
          <cell r="B40">
            <v>29.441948793884318</v>
          </cell>
          <cell r="C40">
            <v>37.650920425622132</v>
          </cell>
          <cell r="D40">
            <v>51.637736665271021</v>
          </cell>
        </row>
        <row r="41">
          <cell r="A41">
            <v>2040</v>
          </cell>
          <cell r="B41">
            <v>30.109054058076261</v>
          </cell>
          <cell r="C41">
            <v>39.253421397947712</v>
          </cell>
          <cell r="D41">
            <v>53.054706749003557</v>
          </cell>
        </row>
        <row r="42">
          <cell r="A42">
            <v>2041</v>
          </cell>
          <cell r="B42">
            <v>30.543594127395199</v>
          </cell>
          <cell r="C42">
            <v>39.129322648635721</v>
          </cell>
          <cell r="D42">
            <v>51.344960472073261</v>
          </cell>
        </row>
        <row r="43">
          <cell r="A43">
            <v>2042</v>
          </cell>
          <cell r="B43">
            <v>30.79778242737547</v>
          </cell>
          <cell r="C43">
            <v>38.446815442161821</v>
          </cell>
          <cell r="D43">
            <v>52.497071276592557</v>
          </cell>
        </row>
        <row r="44">
          <cell r="A44">
            <v>2043</v>
          </cell>
          <cell r="B44">
            <v>29.150298607374939</v>
          </cell>
          <cell r="C44">
            <v>37.876348108209143</v>
          </cell>
          <cell r="D44">
            <v>52.934050399054918</v>
          </cell>
        </row>
        <row r="45">
          <cell r="A45">
            <v>2044</v>
          </cell>
          <cell r="B45">
            <v>30.747818421466722</v>
          </cell>
          <cell r="C45">
            <v>38.123550800245368</v>
          </cell>
          <cell r="D45">
            <v>53.788962942999191</v>
          </cell>
        </row>
        <row r="46">
          <cell r="A46">
            <v>2045</v>
          </cell>
          <cell r="B46">
            <v>30.55939572681902</v>
          </cell>
          <cell r="C46">
            <v>38.270570789721113</v>
          </cell>
          <cell r="D46">
            <v>49.611698391204349</v>
          </cell>
        </row>
        <row r="47">
          <cell r="A47">
            <v>2046</v>
          </cell>
          <cell r="B47">
            <v>29.681343526866339</v>
          </cell>
          <cell r="C47">
            <v>38.742016694391609</v>
          </cell>
          <cell r="D47">
            <v>51.214399846046888</v>
          </cell>
        </row>
        <row r="48">
          <cell r="A48">
            <v>2047</v>
          </cell>
          <cell r="B48">
            <v>30.380970508412641</v>
          </cell>
          <cell r="C48">
            <v>37.965371904812613</v>
          </cell>
          <cell r="D48">
            <v>51.253309337585243</v>
          </cell>
        </row>
        <row r="49">
          <cell r="A49">
            <v>2048</v>
          </cell>
          <cell r="B49">
            <v>29.65828726251544</v>
          </cell>
          <cell r="C49">
            <v>37.816800293620837</v>
          </cell>
          <cell r="D49">
            <v>51.801855059957113</v>
          </cell>
        </row>
        <row r="50">
          <cell r="A50">
            <v>2049</v>
          </cell>
          <cell r="B50">
            <v>29.07942093528105</v>
          </cell>
          <cell r="C50">
            <v>38.323725706471407</v>
          </cell>
          <cell r="D50">
            <v>53.517018021365537</v>
          </cell>
        </row>
        <row r="51">
          <cell r="A51">
            <v>2050</v>
          </cell>
          <cell r="B51">
            <v>27.911616040619428</v>
          </cell>
          <cell r="C51">
            <v>39.336880421413348</v>
          </cell>
          <cell r="D51">
            <v>56.426513699737782</v>
          </cell>
        </row>
        <row r="52">
          <cell r="A52">
            <v>2026</v>
          </cell>
          <cell r="B52">
            <v>30.849946489682559</v>
          </cell>
          <cell r="C52">
            <v>32.430417068058937</v>
          </cell>
          <cell r="D52">
            <v>31.289745472857259</v>
          </cell>
        </row>
        <row r="53">
          <cell r="A53">
            <v>2027</v>
          </cell>
          <cell r="B53">
            <v>30.81060222035229</v>
          </cell>
          <cell r="C53">
            <v>32.78759523871026</v>
          </cell>
          <cell r="D53">
            <v>32.098585677669959</v>
          </cell>
        </row>
        <row r="54">
          <cell r="A54">
            <v>2028</v>
          </cell>
          <cell r="B54">
            <v>29.793173630620188</v>
          </cell>
          <cell r="C54">
            <v>32.171726332481413</v>
          </cell>
          <cell r="D54">
            <v>33.219510026872641</v>
          </cell>
        </row>
        <row r="55">
          <cell r="A55">
            <v>2029</v>
          </cell>
          <cell r="B55">
            <v>29.772213180206279</v>
          </cell>
          <cell r="C55">
            <v>31.339754258620719</v>
          </cell>
          <cell r="D55">
            <v>35.048430109686507</v>
          </cell>
        </row>
        <row r="56">
          <cell r="A56">
            <v>2030</v>
          </cell>
          <cell r="B56">
            <v>28.926898255118441</v>
          </cell>
          <cell r="C56">
            <v>29.847170776136341</v>
          </cell>
          <cell r="D56">
            <v>35.304221717151883</v>
          </cell>
        </row>
        <row r="57">
          <cell r="A57">
            <v>2031</v>
          </cell>
          <cell r="B57">
            <v>29.106733589215079</v>
          </cell>
          <cell r="C57">
            <v>33.072672757601552</v>
          </cell>
          <cell r="D57">
            <v>35.046357607529167</v>
          </cell>
        </row>
        <row r="58">
          <cell r="A58">
            <v>2032</v>
          </cell>
          <cell r="B58">
            <v>28.040406659125331</v>
          </cell>
          <cell r="C58">
            <v>32.566299581648693</v>
          </cell>
          <cell r="D58">
            <v>34.369660084345298</v>
          </cell>
        </row>
        <row r="59">
          <cell r="A59">
            <v>2033</v>
          </cell>
          <cell r="B59">
            <v>28.640591422629289</v>
          </cell>
          <cell r="C59">
            <v>32.18077392808226</v>
          </cell>
          <cell r="D59">
            <v>34.024864531062939</v>
          </cell>
        </row>
        <row r="60">
          <cell r="A60">
            <v>2034</v>
          </cell>
          <cell r="B60">
            <v>28.54769105988683</v>
          </cell>
          <cell r="C60">
            <v>31.922725952284448</v>
          </cell>
          <cell r="D60">
            <v>34.777315173368947</v>
          </cell>
        </row>
        <row r="61">
          <cell r="A61">
            <v>2035</v>
          </cell>
          <cell r="B61">
            <v>28.01187193707656</v>
          </cell>
          <cell r="C61">
            <v>30.745370893360921</v>
          </cell>
          <cell r="D61">
            <v>35.69687225367003</v>
          </cell>
        </row>
        <row r="62">
          <cell r="A62">
            <v>2036</v>
          </cell>
          <cell r="B62">
            <v>28.53223311066251</v>
          </cell>
          <cell r="C62">
            <v>32.331007797934923</v>
          </cell>
          <cell r="D62">
            <v>36.339629724622789</v>
          </cell>
        </row>
        <row r="63">
          <cell r="A63">
            <v>2037</v>
          </cell>
          <cell r="B63">
            <v>28.995368194579989</v>
          </cell>
          <cell r="C63">
            <v>32.633325961418379</v>
          </cell>
          <cell r="D63">
            <v>35.757460427213722</v>
          </cell>
        </row>
        <row r="64">
          <cell r="A64">
            <v>2038</v>
          </cell>
          <cell r="B64">
            <v>47.805280294185998</v>
          </cell>
          <cell r="C64">
            <v>53.803258646281193</v>
          </cell>
          <cell r="D64">
            <v>58.954085592565363</v>
          </cell>
        </row>
        <row r="65">
          <cell r="A65">
            <v>2039</v>
          </cell>
          <cell r="B65">
            <v>30.556856570112181</v>
          </cell>
          <cell r="C65">
            <v>38.414438225451043</v>
          </cell>
          <cell r="D65">
            <v>55.898124813754208</v>
          </cell>
        </row>
        <row r="66">
          <cell r="A66">
            <v>2040</v>
          </cell>
          <cell r="B66">
            <v>30.031116153654459</v>
          </cell>
          <cell r="C66">
            <v>37.299438854144157</v>
          </cell>
          <cell r="D66">
            <v>54.436293614997368</v>
          </cell>
        </row>
        <row r="67">
          <cell r="A67">
            <v>2041</v>
          </cell>
          <cell r="B67">
            <v>31.208971272750951</v>
          </cell>
          <cell r="C67">
            <v>37.42593042727713</v>
          </cell>
          <cell r="D67">
            <v>52.981155979537128</v>
          </cell>
        </row>
        <row r="68">
          <cell r="A68">
            <v>2042</v>
          </cell>
          <cell r="B68">
            <v>29.344129022626198</v>
          </cell>
          <cell r="C68">
            <v>39.635513077666317</v>
          </cell>
          <cell r="D68">
            <v>53.451687336149639</v>
          </cell>
        </row>
        <row r="69">
          <cell r="A69">
            <v>2043</v>
          </cell>
          <cell r="B69">
            <v>29.01401524783099</v>
          </cell>
          <cell r="C69">
            <v>38.258946111464461</v>
          </cell>
          <cell r="D69">
            <v>54.185441676940407</v>
          </cell>
        </row>
        <row r="70">
          <cell r="A70">
            <v>2044</v>
          </cell>
          <cell r="B70">
            <v>29.895490231702141</v>
          </cell>
          <cell r="C70">
            <v>39.497513122926968</v>
          </cell>
          <cell r="D70">
            <v>51.344092930722873</v>
          </cell>
        </row>
        <row r="71">
          <cell r="A71">
            <v>2045</v>
          </cell>
          <cell r="B71">
            <v>29.840994866669451</v>
          </cell>
          <cell r="C71">
            <v>38.197773136930337</v>
          </cell>
          <cell r="D71">
            <v>50.014168594185413</v>
          </cell>
        </row>
        <row r="72">
          <cell r="A72">
            <v>2046</v>
          </cell>
          <cell r="B72">
            <v>28.708938784563831</v>
          </cell>
          <cell r="C72">
            <v>39.455950065285187</v>
          </cell>
          <cell r="D72">
            <v>53.192221112484887</v>
          </cell>
        </row>
        <row r="73">
          <cell r="A73">
            <v>2047</v>
          </cell>
          <cell r="B73">
            <v>29.17278372287273</v>
          </cell>
          <cell r="C73">
            <v>40.045491706082338</v>
          </cell>
          <cell r="D73">
            <v>54.064360678836273</v>
          </cell>
        </row>
        <row r="74">
          <cell r="A74">
            <v>2048</v>
          </cell>
          <cell r="B74">
            <v>29.52654819287751</v>
          </cell>
          <cell r="C74">
            <v>38.742827986609868</v>
          </cell>
          <cell r="D74">
            <v>52.518072111072421</v>
          </cell>
        </row>
        <row r="75">
          <cell r="A75">
            <v>2049</v>
          </cell>
          <cell r="B75">
            <v>30.41371905835183</v>
          </cell>
          <cell r="C75">
            <v>37.292763915727832</v>
          </cell>
          <cell r="D75">
            <v>53.78511063751688</v>
          </cell>
        </row>
        <row r="76">
          <cell r="A76">
            <v>2050</v>
          </cell>
          <cell r="B76">
            <v>30.67446353502616</v>
          </cell>
          <cell r="C76">
            <v>38.267145598176931</v>
          </cell>
          <cell r="D76">
            <v>55.982606321696558</v>
          </cell>
        </row>
        <row r="77">
          <cell r="A77">
            <v>2026</v>
          </cell>
          <cell r="B77">
            <v>30.849946489682559</v>
          </cell>
          <cell r="C77">
            <v>31.33585929799116</v>
          </cell>
          <cell r="D77">
            <v>33.108079340312983</v>
          </cell>
        </row>
        <row r="78">
          <cell r="A78">
            <v>2027</v>
          </cell>
          <cell r="B78">
            <v>30.81060222035229</v>
          </cell>
          <cell r="C78">
            <v>32.789972692732618</v>
          </cell>
          <cell r="D78">
            <v>31.241591471913249</v>
          </cell>
        </row>
        <row r="79">
          <cell r="A79">
            <v>2028</v>
          </cell>
          <cell r="B79">
            <v>29.793173630620188</v>
          </cell>
          <cell r="C79">
            <v>32.195533995918566</v>
          </cell>
          <cell r="D79">
            <v>31.690725722348709</v>
          </cell>
        </row>
        <row r="80">
          <cell r="A80">
            <v>2029</v>
          </cell>
          <cell r="B80">
            <v>29.772213180206279</v>
          </cell>
          <cell r="C80">
            <v>31.902997363994139</v>
          </cell>
          <cell r="D80">
            <v>34.738603360125268</v>
          </cell>
        </row>
        <row r="81">
          <cell r="A81">
            <v>2030</v>
          </cell>
          <cell r="B81">
            <v>28.926898255118441</v>
          </cell>
          <cell r="C81">
            <v>30.2474845733983</v>
          </cell>
          <cell r="D81">
            <v>34.091350943608177</v>
          </cell>
        </row>
        <row r="82">
          <cell r="A82">
            <v>2031</v>
          </cell>
          <cell r="B82">
            <v>29.106733589215079</v>
          </cell>
          <cell r="C82">
            <v>31.819019031572459</v>
          </cell>
          <cell r="D82">
            <v>34.123750185042248</v>
          </cell>
        </row>
        <row r="83">
          <cell r="A83">
            <v>2032</v>
          </cell>
          <cell r="B83">
            <v>28.040406659125331</v>
          </cell>
          <cell r="C83">
            <v>31.557736901193969</v>
          </cell>
          <cell r="D83">
            <v>34.787102447638553</v>
          </cell>
        </row>
        <row r="84">
          <cell r="A84">
            <v>2033</v>
          </cell>
          <cell r="B84">
            <v>28.640591422629289</v>
          </cell>
          <cell r="C84">
            <v>31.710273040808872</v>
          </cell>
          <cell r="D84">
            <v>35.328415724647527</v>
          </cell>
        </row>
        <row r="85">
          <cell r="A85">
            <v>2034</v>
          </cell>
          <cell r="B85">
            <v>28.54769105988683</v>
          </cell>
          <cell r="C85">
            <v>31.723989847499048</v>
          </cell>
          <cell r="D85">
            <v>34.736924258111259</v>
          </cell>
        </row>
        <row r="86">
          <cell r="A86">
            <v>2035</v>
          </cell>
          <cell r="B86">
            <v>28.01187193707656</v>
          </cell>
          <cell r="C86">
            <v>30.963071176972459</v>
          </cell>
          <cell r="D86">
            <v>35.221647481025073</v>
          </cell>
        </row>
        <row r="87">
          <cell r="A87">
            <v>2036</v>
          </cell>
          <cell r="B87">
            <v>28.53223311066251</v>
          </cell>
          <cell r="C87">
            <v>30.29327162658225</v>
          </cell>
          <cell r="D87">
            <v>35.468422325660143</v>
          </cell>
        </row>
        <row r="88">
          <cell r="A88">
            <v>2037</v>
          </cell>
          <cell r="B88">
            <v>28.995368194579989</v>
          </cell>
          <cell r="C88">
            <v>30.13877714409033</v>
          </cell>
          <cell r="D88">
            <v>35.859053696408189</v>
          </cell>
        </row>
        <row r="89">
          <cell r="A89">
            <v>2038</v>
          </cell>
          <cell r="B89">
            <v>28.681558985202301</v>
          </cell>
          <cell r="C89">
            <v>30.848040225916609</v>
          </cell>
          <cell r="D89">
            <v>34.498027755812757</v>
          </cell>
        </row>
        <row r="90">
          <cell r="A90">
            <v>2039</v>
          </cell>
          <cell r="B90">
            <v>28.065011120294699</v>
          </cell>
          <cell r="C90">
            <v>32.74733722261665</v>
          </cell>
          <cell r="D90">
            <v>34.524099238387443</v>
          </cell>
        </row>
        <row r="91">
          <cell r="A91">
            <v>2040</v>
          </cell>
          <cell r="B91">
            <v>27.582143695747298</v>
          </cell>
          <cell r="C91">
            <v>32.193907226364537</v>
          </cell>
          <cell r="D91">
            <v>36.374331896338617</v>
          </cell>
        </row>
        <row r="92">
          <cell r="A92">
            <v>2041</v>
          </cell>
          <cell r="B92">
            <v>28.663947281783429</v>
          </cell>
          <cell r="C92">
            <v>32.056214420751502</v>
          </cell>
          <cell r="D92">
            <v>35.629420965903563</v>
          </cell>
        </row>
        <row r="93">
          <cell r="A93">
            <v>2042</v>
          </cell>
          <cell r="B93">
            <v>42.881900588514277</v>
          </cell>
          <cell r="C93">
            <v>52.851762573617187</v>
          </cell>
          <cell r="D93">
            <v>58.742984209214313</v>
          </cell>
        </row>
        <row r="94">
          <cell r="A94">
            <v>2043</v>
          </cell>
          <cell r="B94">
            <v>29.5159080641826</v>
          </cell>
          <cell r="C94">
            <v>39.729579884508539</v>
          </cell>
          <cell r="D94">
            <v>51.150188006311893</v>
          </cell>
        </row>
        <row r="95">
          <cell r="A95">
            <v>2044</v>
          </cell>
          <cell r="B95">
            <v>30.412631056935659</v>
          </cell>
          <cell r="C95">
            <v>38.062932048678412</v>
          </cell>
          <cell r="D95">
            <v>51.651804528214157</v>
          </cell>
        </row>
        <row r="96">
          <cell r="A96">
            <v>2045</v>
          </cell>
          <cell r="B96">
            <v>30.357193015337842</v>
          </cell>
          <cell r="C96">
            <v>38.481665716503137</v>
          </cell>
          <cell r="D96">
            <v>52.386770513779901</v>
          </cell>
        </row>
        <row r="97">
          <cell r="A97">
            <v>2046</v>
          </cell>
          <cell r="B97">
            <v>29.205554300133599</v>
          </cell>
          <cell r="C97">
            <v>38.717723429417447</v>
          </cell>
          <cell r="D97">
            <v>53.362360575217863</v>
          </cell>
        </row>
        <row r="98">
          <cell r="A98">
            <v>2047</v>
          </cell>
          <cell r="B98">
            <v>29.67742296216532</v>
          </cell>
          <cell r="C98">
            <v>39.382465923675987</v>
          </cell>
          <cell r="D98">
            <v>51.301274201078947</v>
          </cell>
        </row>
        <row r="99">
          <cell r="A99">
            <v>2048</v>
          </cell>
          <cell r="B99">
            <v>30.037306952155841</v>
          </cell>
          <cell r="C99">
            <v>38.139154850326037</v>
          </cell>
          <cell r="D99">
            <v>53.290838080210307</v>
          </cell>
        </row>
        <row r="100">
          <cell r="A100">
            <v>2049</v>
          </cell>
          <cell r="B100">
            <v>30.939824355517271</v>
          </cell>
          <cell r="C100">
            <v>38.0997299660241</v>
          </cell>
          <cell r="D100">
            <v>52.173520346326526</v>
          </cell>
        </row>
        <row r="101">
          <cell r="A101">
            <v>2050</v>
          </cell>
          <cell r="B101">
            <v>31.205079265464231</v>
          </cell>
          <cell r="C101">
            <v>39.516738354179857</v>
          </cell>
          <cell r="D101">
            <v>51.564992754797963</v>
          </cell>
        </row>
        <row r="102">
          <cell r="A102">
            <v>2026</v>
          </cell>
          <cell r="B102">
            <v>30.052936027126499</v>
          </cell>
          <cell r="C102">
            <v>31.17520724882543</v>
          </cell>
          <cell r="D102">
            <v>31.996856091765469</v>
          </cell>
        </row>
        <row r="103">
          <cell r="A103">
            <v>2027</v>
          </cell>
          <cell r="B103">
            <v>30.051023519474128</v>
          </cell>
          <cell r="C103">
            <v>30.948739131477399</v>
          </cell>
          <cell r="D103">
            <v>31.990574256344608</v>
          </cell>
        </row>
        <row r="104">
          <cell r="A104">
            <v>2028</v>
          </cell>
          <cell r="B104">
            <v>29.66951138184892</v>
          </cell>
          <cell r="C104">
            <v>32.339423893911402</v>
          </cell>
          <cell r="D104">
            <v>32.006872332647461</v>
          </cell>
        </row>
        <row r="105">
          <cell r="A105">
            <v>2029</v>
          </cell>
          <cell r="B105">
            <v>29.442884023430171</v>
          </cell>
          <cell r="C105">
            <v>32.539713128687929</v>
          </cell>
          <cell r="D105">
            <v>33.336334325272098</v>
          </cell>
        </row>
        <row r="106">
          <cell r="A106">
            <v>2030</v>
          </cell>
          <cell r="B106">
            <v>29.17402873886142</v>
          </cell>
          <cell r="C106">
            <v>32.82199741230886</v>
          </cell>
          <cell r="D106">
            <v>35.458545125599407</v>
          </cell>
        </row>
        <row r="107">
          <cell r="A107">
            <v>2031</v>
          </cell>
          <cell r="B107">
            <v>29.209540263620401</v>
          </cell>
          <cell r="C107">
            <v>32.475431071586407</v>
          </cell>
          <cell r="D107">
            <v>33.509396738878969</v>
          </cell>
        </row>
        <row r="108">
          <cell r="A108">
            <v>2032</v>
          </cell>
          <cell r="B108">
            <v>29.149703593747091</v>
          </cell>
          <cell r="C108">
            <v>31.445388411144901</v>
          </cell>
          <cell r="D108">
            <v>32.648351983561952</v>
          </cell>
        </row>
        <row r="109">
          <cell r="A109">
            <v>2033</v>
          </cell>
          <cell r="B109">
            <v>28.11710250922614</v>
          </cell>
          <cell r="C109">
            <v>31.35885175091548</v>
          </cell>
          <cell r="D109">
            <v>34.350133821760252</v>
          </cell>
        </row>
        <row r="110">
          <cell r="A110">
            <v>2034</v>
          </cell>
          <cell r="B110">
            <v>27.963554025348561</v>
          </cell>
          <cell r="C110">
            <v>32.135037846919673</v>
          </cell>
          <cell r="D110">
            <v>35.38613671299666</v>
          </cell>
        </row>
        <row r="111">
          <cell r="A111">
            <v>2035</v>
          </cell>
          <cell r="B111">
            <v>27.235322122325641</v>
          </cell>
          <cell r="C111">
            <v>33.699461645765489</v>
          </cell>
          <cell r="D111">
            <v>36.954335849480728</v>
          </cell>
        </row>
        <row r="112">
          <cell r="A112">
            <v>2036</v>
          </cell>
          <cell r="B112">
            <v>27.037297593442251</v>
          </cell>
          <cell r="C112">
            <v>33.109272340727998</v>
          </cell>
          <cell r="D112">
            <v>36.924942895694812</v>
          </cell>
        </row>
        <row r="113">
          <cell r="A113">
            <v>2037</v>
          </cell>
          <cell r="B113">
            <v>27.589581713155319</v>
          </cell>
          <cell r="C113">
            <v>32.334333696835877</v>
          </cell>
          <cell r="D113">
            <v>36.025405126261461</v>
          </cell>
        </row>
        <row r="114">
          <cell r="A114">
            <v>2038</v>
          </cell>
          <cell r="B114">
            <v>27.8765718358001</v>
          </cell>
          <cell r="C114">
            <v>30.644287298275941</v>
          </cell>
          <cell r="D114">
            <v>35.824799937389358</v>
          </cell>
        </row>
        <row r="115">
          <cell r="A115">
            <v>2039</v>
          </cell>
          <cell r="B115">
            <v>27.358522022698711</v>
          </cell>
          <cell r="C115">
            <v>31.25765094176738</v>
          </cell>
          <cell r="D115">
            <v>36.571101153403532</v>
          </cell>
        </row>
        <row r="116">
          <cell r="A116">
            <v>2040</v>
          </cell>
          <cell r="B116">
            <v>27.189599332058279</v>
          </cell>
          <cell r="C116">
            <v>31.450597580240061</v>
          </cell>
          <cell r="D116">
            <v>36.145820260261772</v>
          </cell>
        </row>
        <row r="117">
          <cell r="A117">
            <v>2041</v>
          </cell>
          <cell r="B117">
            <v>26.487862259100989</v>
          </cell>
          <cell r="C117">
            <v>32.867922266810353</v>
          </cell>
          <cell r="D117">
            <v>36.434336035065293</v>
          </cell>
        </row>
        <row r="118">
          <cell r="A118">
            <v>2042</v>
          </cell>
          <cell r="B118">
            <v>25.805391053868419</v>
          </cell>
          <cell r="C118">
            <v>32.344415967915843</v>
          </cell>
          <cell r="D118">
            <v>37.405034707310897</v>
          </cell>
        </row>
        <row r="119">
          <cell r="A119">
            <v>2043</v>
          </cell>
          <cell r="B119">
            <v>26.115469889728619</v>
          </cell>
          <cell r="C119">
            <v>32.01885139208796</v>
          </cell>
          <cell r="D119">
            <v>38.73778244597051</v>
          </cell>
        </row>
        <row r="120">
          <cell r="A120">
            <v>2044</v>
          </cell>
          <cell r="B120">
            <v>25.599432880128511</v>
          </cell>
          <cell r="C120">
            <v>32.483106510176597</v>
          </cell>
          <cell r="D120">
            <v>39.963941704383942</v>
          </cell>
        </row>
        <row r="121">
          <cell r="A121">
            <v>2045</v>
          </cell>
          <cell r="B121">
            <v>25.70230085767713</v>
          </cell>
          <cell r="C121">
            <v>31.312051867768769</v>
          </cell>
          <cell r="D121">
            <v>40.09523722544418</v>
          </cell>
        </row>
        <row r="122">
          <cell r="A122">
            <v>2046</v>
          </cell>
          <cell r="B122">
            <v>26.315732537786779</v>
          </cell>
          <cell r="C122">
            <v>32.403838293744052</v>
          </cell>
          <cell r="D122">
            <v>39.138175734397457</v>
          </cell>
        </row>
        <row r="123">
          <cell r="A123">
            <v>2047</v>
          </cell>
          <cell r="B123">
            <v>43.387307989104528</v>
          </cell>
          <cell r="C123">
            <v>53.424897447223167</v>
          </cell>
          <cell r="D123">
            <v>64.527942829700692</v>
          </cell>
        </row>
        <row r="124">
          <cell r="A124">
            <v>2048</v>
          </cell>
          <cell r="B124">
            <v>28.804234584926039</v>
          </cell>
          <cell r="C124">
            <v>39.045607232392783</v>
          </cell>
          <cell r="D124">
            <v>54.710590987458843</v>
          </cell>
        </row>
        <row r="125">
          <cell r="A125">
            <v>2049</v>
          </cell>
          <cell r="B125">
            <v>29.287470584455011</v>
          </cell>
          <cell r="C125">
            <v>38.492944257026963</v>
          </cell>
          <cell r="D125">
            <v>54.997498401878751</v>
          </cell>
        </row>
        <row r="126">
          <cell r="A126">
            <v>2050</v>
          </cell>
          <cell r="B126">
            <v>29.702918702848521</v>
          </cell>
          <cell r="C126">
            <v>38.321011848193862</v>
          </cell>
          <cell r="D126">
            <v>54.425592286148152</v>
          </cell>
        </row>
        <row r="127">
          <cell r="A127">
            <v>2026</v>
          </cell>
          <cell r="B127">
            <v>29.569907042759571</v>
          </cell>
        </row>
        <row r="128">
          <cell r="A128">
            <v>2027</v>
          </cell>
          <cell r="B128">
            <v>28.735082253393781</v>
          </cell>
        </row>
        <row r="129">
          <cell r="A129">
            <v>2028</v>
          </cell>
          <cell r="B129">
            <v>29.2150555728544</v>
          </cell>
        </row>
        <row r="130">
          <cell r="A130">
            <v>2029</v>
          </cell>
          <cell r="B130">
            <v>48.167483547651358</v>
          </cell>
        </row>
        <row r="131">
          <cell r="A131">
            <v>2030</v>
          </cell>
          <cell r="B131">
            <v>31.925809603455441</v>
          </cell>
        </row>
        <row r="132">
          <cell r="A132">
            <v>2031</v>
          </cell>
          <cell r="B132">
            <v>33.198107719823717</v>
          </cell>
        </row>
        <row r="133">
          <cell r="A133">
            <v>2032</v>
          </cell>
          <cell r="B133">
            <v>32.30238413843847</v>
          </cell>
        </row>
        <row r="134">
          <cell r="A134">
            <v>2033</v>
          </cell>
          <cell r="B134">
            <v>31.68800641121139</v>
          </cell>
        </row>
        <row r="135">
          <cell r="A135">
            <v>2034</v>
          </cell>
          <cell r="B135">
            <v>31.74195054369228</v>
          </cell>
        </row>
        <row r="136">
          <cell r="A136">
            <v>2035</v>
          </cell>
          <cell r="B136">
            <v>31.082701637776701</v>
          </cell>
        </row>
        <row r="137">
          <cell r="A137">
            <v>2036</v>
          </cell>
          <cell r="B137">
            <v>31.231015862639609</v>
          </cell>
        </row>
        <row r="138">
          <cell r="A138">
            <v>2037</v>
          </cell>
          <cell r="B138">
            <v>51.491240158307043</v>
          </cell>
        </row>
        <row r="139">
          <cell r="A139">
            <v>2038</v>
          </cell>
          <cell r="B139">
            <v>33.016431165819789</v>
          </cell>
        </row>
        <row r="140">
          <cell r="A140">
            <v>2039</v>
          </cell>
          <cell r="B140">
            <v>32.549132217944063</v>
          </cell>
        </row>
        <row r="141">
          <cell r="A141">
            <v>2040</v>
          </cell>
          <cell r="B141">
            <v>32.867869620252527</v>
          </cell>
        </row>
        <row r="142">
          <cell r="A142">
            <v>2041</v>
          </cell>
          <cell r="B142">
            <v>33.05262436762991</v>
          </cell>
        </row>
        <row r="143">
          <cell r="A143">
            <v>2042</v>
          </cell>
          <cell r="B143">
            <v>35.587246074924913</v>
          </cell>
        </row>
        <row r="144">
          <cell r="A144">
            <v>2043</v>
          </cell>
          <cell r="B144">
            <v>34.920252905431568</v>
          </cell>
        </row>
        <row r="145">
          <cell r="A145">
            <v>2044</v>
          </cell>
          <cell r="B145">
            <v>35.209812449272412</v>
          </cell>
        </row>
        <row r="146">
          <cell r="A146">
            <v>2045</v>
          </cell>
          <cell r="B146">
            <v>33.981238743948417</v>
          </cell>
        </row>
        <row r="147">
          <cell r="A147">
            <v>2046</v>
          </cell>
          <cell r="B147">
            <v>33.192762108737831</v>
          </cell>
        </row>
        <row r="148">
          <cell r="A148">
            <v>2047</v>
          </cell>
          <cell r="B148">
            <v>33.21624335676114</v>
          </cell>
        </row>
        <row r="149">
          <cell r="A149">
            <v>2048</v>
          </cell>
          <cell r="B149">
            <v>31.94311826230464</v>
          </cell>
        </row>
        <row r="150">
          <cell r="A150">
            <v>2049</v>
          </cell>
          <cell r="B150">
            <v>32.484606111138397</v>
          </cell>
        </row>
        <row r="151">
          <cell r="A151">
            <v>2050</v>
          </cell>
          <cell r="B151">
            <v>32.482874637483057</v>
          </cell>
        </row>
        <row r="152">
          <cell r="A152">
            <v>2026</v>
          </cell>
          <cell r="B152">
            <v>30.983731683772241</v>
          </cell>
        </row>
        <row r="153">
          <cell r="A153">
            <v>2027</v>
          </cell>
          <cell r="B153">
            <v>30.508466204388029</v>
          </cell>
        </row>
        <row r="154">
          <cell r="A154">
            <v>2028</v>
          </cell>
          <cell r="B154">
            <v>29.51713396840168</v>
          </cell>
        </row>
        <row r="155">
          <cell r="A155">
            <v>2029</v>
          </cell>
          <cell r="B155">
            <v>29.416329366650562</v>
          </cell>
        </row>
        <row r="156">
          <cell r="A156">
            <v>2030</v>
          </cell>
          <cell r="B156">
            <v>48.499327932717613</v>
          </cell>
        </row>
        <row r="157">
          <cell r="A157">
            <v>2031</v>
          </cell>
          <cell r="B157">
            <v>29.416329366650562</v>
          </cell>
        </row>
        <row r="158">
          <cell r="A158">
            <v>2032</v>
          </cell>
          <cell r="B158">
            <v>29.950794113126719</v>
          </cell>
        </row>
        <row r="159">
          <cell r="A159">
            <v>2033</v>
          </cell>
          <cell r="B159">
            <v>30.13074713879406</v>
          </cell>
        </row>
        <row r="160">
          <cell r="A160">
            <v>2034</v>
          </cell>
          <cell r="B160">
            <v>30.865494681502781</v>
          </cell>
        </row>
        <row r="161">
          <cell r="A161">
            <v>2035</v>
          </cell>
          <cell r="B161">
            <v>30.810492177341281</v>
          </cell>
        </row>
        <row r="162">
          <cell r="A162">
            <v>2036</v>
          </cell>
          <cell r="B162">
            <v>30.558535015887511</v>
          </cell>
        </row>
        <row r="163">
          <cell r="A163">
            <v>2037</v>
          </cell>
          <cell r="B163">
            <v>30.167839618492021</v>
          </cell>
        </row>
        <row r="164">
          <cell r="A164">
            <v>2038</v>
          </cell>
          <cell r="B164">
            <v>30.477107486771121</v>
          </cell>
        </row>
        <row r="165">
          <cell r="A165">
            <v>2039</v>
          </cell>
          <cell r="B165">
            <v>29.23764949261173</v>
          </cell>
        </row>
        <row r="166">
          <cell r="A166">
            <v>2040</v>
          </cell>
          <cell r="B166">
            <v>28.1463115255068</v>
          </cell>
        </row>
        <row r="167">
          <cell r="A167">
            <v>2041</v>
          </cell>
          <cell r="B167">
            <v>28.804710129979831</v>
          </cell>
        </row>
        <row r="168">
          <cell r="A168">
            <v>2042</v>
          </cell>
          <cell r="B168">
            <v>28.68606449899708</v>
          </cell>
        </row>
        <row r="169">
          <cell r="A169">
            <v>2043</v>
          </cell>
          <cell r="B169">
            <v>28.69444469024274</v>
          </cell>
        </row>
        <row r="170">
          <cell r="A170">
            <v>2044</v>
          </cell>
          <cell r="B170">
            <v>28.42257286551575</v>
          </cell>
        </row>
        <row r="171">
          <cell r="A171">
            <v>2045</v>
          </cell>
          <cell r="B171">
            <v>27.475047035854718</v>
          </cell>
        </row>
        <row r="172">
          <cell r="A172">
            <v>2046</v>
          </cell>
          <cell r="B172">
            <v>29.553563992518342</v>
          </cell>
        </row>
        <row r="173">
          <cell r="A173">
            <v>2047</v>
          </cell>
          <cell r="B173">
            <v>48.725589579462387</v>
          </cell>
        </row>
        <row r="174">
          <cell r="A174">
            <v>2048</v>
          </cell>
          <cell r="B174">
            <v>34.534536476524814</v>
          </cell>
        </row>
        <row r="175">
          <cell r="A175">
            <v>2049</v>
          </cell>
          <cell r="B175">
            <v>34.930782092378038</v>
          </cell>
        </row>
        <row r="176">
          <cell r="A176">
            <v>2050</v>
          </cell>
          <cell r="B176">
            <v>34.260287371008197</v>
          </cell>
        </row>
        <row r="177">
          <cell r="A177">
            <v>2026</v>
          </cell>
          <cell r="B177">
            <v>31.47369512827423</v>
          </cell>
        </row>
        <row r="178">
          <cell r="A178">
            <v>2027</v>
          </cell>
          <cell r="B178">
            <v>30.480001022638049</v>
          </cell>
        </row>
        <row r="179">
          <cell r="A179">
            <v>2028</v>
          </cell>
          <cell r="B179">
            <v>30.62811866275684</v>
          </cell>
        </row>
        <row r="180">
          <cell r="A180">
            <v>2029</v>
          </cell>
          <cell r="B180">
            <v>30.655505041667769</v>
          </cell>
        </row>
        <row r="181">
          <cell r="A181">
            <v>2030</v>
          </cell>
          <cell r="B181">
            <v>29.678900535624209</v>
          </cell>
        </row>
        <row r="182">
          <cell r="A182">
            <v>2031</v>
          </cell>
          <cell r="B182">
            <v>48.932234604077053</v>
          </cell>
        </row>
        <row r="183">
          <cell r="A183">
            <v>2032</v>
          </cell>
          <cell r="B183">
            <v>30.3655564225784</v>
          </cell>
        </row>
        <row r="184">
          <cell r="A184">
            <v>2033</v>
          </cell>
          <cell r="B184">
            <v>30.50994996466649</v>
          </cell>
        </row>
        <row r="185">
          <cell r="A185">
            <v>2034</v>
          </cell>
          <cell r="B185">
            <v>32.033295472199178</v>
          </cell>
        </row>
        <row r="186">
          <cell r="A186">
            <v>2035</v>
          </cell>
          <cell r="B186">
            <v>30.345407096778111</v>
          </cell>
        </row>
        <row r="187">
          <cell r="A187">
            <v>2036</v>
          </cell>
          <cell r="B187">
            <v>50.031118148512697</v>
          </cell>
        </row>
        <row r="188">
          <cell r="A188">
            <v>2037</v>
          </cell>
          <cell r="B188">
            <v>34.333758829147371</v>
          </cell>
        </row>
        <row r="189">
          <cell r="A189">
            <v>2038</v>
          </cell>
          <cell r="B189">
            <v>34.378334274667957</v>
          </cell>
        </row>
        <row r="190">
          <cell r="A190">
            <v>2039</v>
          </cell>
          <cell r="B190">
            <v>33.615651950260087</v>
          </cell>
        </row>
        <row r="191">
          <cell r="A191">
            <v>2040</v>
          </cell>
          <cell r="B191">
            <v>34.315085798991127</v>
          </cell>
        </row>
        <row r="192">
          <cell r="A192">
            <v>2041</v>
          </cell>
          <cell r="B192">
            <v>34.23285084936699</v>
          </cell>
        </row>
        <row r="193">
          <cell r="A193">
            <v>2042</v>
          </cell>
          <cell r="B193">
            <v>35.206321843666707</v>
          </cell>
        </row>
        <row r="194">
          <cell r="A194">
            <v>2043</v>
          </cell>
          <cell r="B194">
            <v>35.458143814542638</v>
          </cell>
        </row>
        <row r="195">
          <cell r="A195">
            <v>2044</v>
          </cell>
          <cell r="B195">
            <v>34.875636744302113</v>
          </cell>
        </row>
        <row r="196">
          <cell r="A196">
            <v>2045</v>
          </cell>
          <cell r="B196">
            <v>34.926023307023193</v>
          </cell>
        </row>
        <row r="197">
          <cell r="A197">
            <v>2046</v>
          </cell>
          <cell r="B197">
            <v>33.939523699947998</v>
          </cell>
        </row>
        <row r="198">
          <cell r="A198">
            <v>2047</v>
          </cell>
          <cell r="B198">
            <v>34.34626926951352</v>
          </cell>
        </row>
        <row r="199">
          <cell r="A199">
            <v>2048</v>
          </cell>
          <cell r="B199">
            <v>32.472039298859173</v>
          </cell>
        </row>
        <row r="200">
          <cell r="A200">
            <v>2049</v>
          </cell>
          <cell r="B200">
            <v>31.461790179783559</v>
          </cell>
        </row>
        <row r="201">
          <cell r="A201">
            <v>2050</v>
          </cell>
          <cell r="B201">
            <v>33.087210863005829</v>
          </cell>
        </row>
        <row r="202">
          <cell r="A202">
            <v>2026</v>
          </cell>
          <cell r="B202">
            <v>28.903010222147461</v>
          </cell>
        </row>
        <row r="203">
          <cell r="A203">
            <v>2027</v>
          </cell>
          <cell r="B203">
            <v>29.59940775268997</v>
          </cell>
        </row>
        <row r="204">
          <cell r="A204">
            <v>2028</v>
          </cell>
          <cell r="B204">
            <v>29.79012396494392</v>
          </cell>
        </row>
        <row r="205">
          <cell r="A205">
            <v>2029</v>
          </cell>
          <cell r="B205">
            <v>30.35611057627532</v>
          </cell>
        </row>
        <row r="206">
          <cell r="A206">
            <v>2030</v>
          </cell>
          <cell r="B206">
            <v>29.3922561703063</v>
          </cell>
        </row>
        <row r="207">
          <cell r="A207">
            <v>2031</v>
          </cell>
          <cell r="B207">
            <v>27.63538895952605</v>
          </cell>
        </row>
        <row r="208">
          <cell r="A208">
            <v>2032</v>
          </cell>
          <cell r="B208">
            <v>28.168613786299659</v>
          </cell>
        </row>
        <row r="209">
          <cell r="A209">
            <v>2033</v>
          </cell>
          <cell r="B209">
            <v>27.768997029734049</v>
          </cell>
        </row>
        <row r="210">
          <cell r="A210">
            <v>2034</v>
          </cell>
          <cell r="B210">
            <v>27.427892014146789</v>
          </cell>
        </row>
        <row r="211">
          <cell r="A211">
            <v>2035</v>
          </cell>
          <cell r="B211">
            <v>45.220948974189987</v>
          </cell>
        </row>
        <row r="212">
          <cell r="A212">
            <v>2036</v>
          </cell>
          <cell r="B212">
            <v>32.811198260484147</v>
          </cell>
        </row>
        <row r="213">
          <cell r="A213">
            <v>2037</v>
          </cell>
          <cell r="B213">
            <v>30.88079132868241</v>
          </cell>
        </row>
        <row r="214">
          <cell r="A214">
            <v>2038</v>
          </cell>
          <cell r="B214">
            <v>31.472586086421199</v>
          </cell>
        </row>
        <row r="215">
          <cell r="A215">
            <v>2039</v>
          </cell>
          <cell r="B215">
            <v>31.57927058618111</v>
          </cell>
        </row>
        <row r="216">
          <cell r="A216">
            <v>2040</v>
          </cell>
          <cell r="B216">
            <v>31.279804228553221</v>
          </cell>
        </row>
        <row r="217">
          <cell r="A217">
            <v>2041</v>
          </cell>
          <cell r="B217">
            <v>51.571678574951513</v>
          </cell>
        </row>
        <row r="218">
          <cell r="A218">
            <v>2042</v>
          </cell>
          <cell r="B218">
            <v>34.051699474897518</v>
          </cell>
        </row>
        <row r="219">
          <cell r="A219">
            <v>2043</v>
          </cell>
          <cell r="B219">
            <v>35.089833467513678</v>
          </cell>
        </row>
        <row r="220">
          <cell r="A220">
            <v>2044</v>
          </cell>
          <cell r="B220">
            <v>34.857132458049037</v>
          </cell>
        </row>
        <row r="221">
          <cell r="A221">
            <v>2045</v>
          </cell>
          <cell r="B221">
            <v>34.161606619062837</v>
          </cell>
        </row>
        <row r="222">
          <cell r="A222">
            <v>2046</v>
          </cell>
          <cell r="B222">
            <v>32.708461610551751</v>
          </cell>
        </row>
        <row r="223">
          <cell r="A223">
            <v>2047</v>
          </cell>
          <cell r="B223">
            <v>33.579902122522043</v>
          </cell>
        </row>
        <row r="224">
          <cell r="A224">
            <v>2048</v>
          </cell>
          <cell r="B224">
            <v>32.922839761847477</v>
          </cell>
        </row>
        <row r="225">
          <cell r="A225">
            <v>2049</v>
          </cell>
          <cell r="B225">
            <v>32.745641539749379</v>
          </cell>
        </row>
        <row r="226">
          <cell r="A226">
            <v>2050</v>
          </cell>
          <cell r="B226">
            <v>33.022750302046767</v>
          </cell>
        </row>
        <row r="227">
          <cell r="A227">
            <v>2026</v>
          </cell>
          <cell r="B227">
            <v>31.19853456674198</v>
          </cell>
        </row>
        <row r="228">
          <cell r="A228">
            <v>2027</v>
          </cell>
          <cell r="B228">
            <v>31.562587931727709</v>
          </cell>
        </row>
        <row r="229">
          <cell r="A229">
            <v>2028</v>
          </cell>
          <cell r="B229">
            <v>30.995195540441809</v>
          </cell>
        </row>
        <row r="230">
          <cell r="A230">
            <v>2029</v>
          </cell>
          <cell r="B230">
            <v>31.079943518430401</v>
          </cell>
        </row>
        <row r="231">
          <cell r="A231">
            <v>2030</v>
          </cell>
          <cell r="B231">
            <v>29.684849830498859</v>
          </cell>
        </row>
        <row r="232">
          <cell r="A232">
            <v>2031</v>
          </cell>
          <cell r="B232">
            <v>29.914678645282081</v>
          </cell>
        </row>
        <row r="233">
          <cell r="A233">
            <v>2032</v>
          </cell>
          <cell r="B233">
            <v>28.937617160853812</v>
          </cell>
        </row>
        <row r="234">
          <cell r="A234">
            <v>2033</v>
          </cell>
          <cell r="B234">
            <v>27.58853142071348</v>
          </cell>
        </row>
        <row r="235">
          <cell r="A235">
            <v>2034</v>
          </cell>
          <cell r="B235">
            <v>28.01088016473625</v>
          </cell>
        </row>
        <row r="236">
          <cell r="A236">
            <v>2035</v>
          </cell>
          <cell r="B236">
            <v>27.42913854256501</v>
          </cell>
        </row>
        <row r="237">
          <cell r="A237">
            <v>2036</v>
          </cell>
          <cell r="B237">
            <v>27.14888733081548</v>
          </cell>
        </row>
        <row r="238">
          <cell r="A238">
            <v>2037</v>
          </cell>
          <cell r="B238">
            <v>27.580870759999669</v>
          </cell>
        </row>
        <row r="239">
          <cell r="A239">
            <v>2038</v>
          </cell>
          <cell r="B239">
            <v>27.256365789216549</v>
          </cell>
        </row>
        <row r="240">
          <cell r="A240">
            <v>2039</v>
          </cell>
          <cell r="B240">
            <v>26.410852390960791</v>
          </cell>
        </row>
        <row r="241">
          <cell r="A241">
            <v>2040</v>
          </cell>
          <cell r="B241">
            <v>27.176133340138119</v>
          </cell>
        </row>
        <row r="242">
          <cell r="A242">
            <v>2041</v>
          </cell>
          <cell r="B242">
            <v>27.755568755984029</v>
          </cell>
        </row>
        <row r="243">
          <cell r="A243">
            <v>2042</v>
          </cell>
          <cell r="B243">
            <v>45.761196588370773</v>
          </cell>
        </row>
        <row r="244">
          <cell r="A244">
            <v>2043</v>
          </cell>
          <cell r="B244">
            <v>31.156386865510271</v>
          </cell>
        </row>
        <row r="245">
          <cell r="A245">
            <v>2044</v>
          </cell>
          <cell r="B245">
            <v>30.986833911004069</v>
          </cell>
        </row>
        <row r="246">
          <cell r="A246">
            <v>2045</v>
          </cell>
          <cell r="B246">
            <v>29.804252409052818</v>
          </cell>
        </row>
        <row r="247">
          <cell r="A247">
            <v>2046</v>
          </cell>
          <cell r="B247">
            <v>30.778153288902519</v>
          </cell>
        </row>
        <row r="248">
          <cell r="A248">
            <v>2047</v>
          </cell>
          <cell r="B248">
            <v>28.5905513503692</v>
          </cell>
        </row>
        <row r="249">
          <cell r="A249">
            <v>2048</v>
          </cell>
          <cell r="B249">
            <v>28.31926807503401</v>
          </cell>
        </row>
        <row r="250">
          <cell r="A250">
            <v>2049</v>
          </cell>
          <cell r="B250">
            <v>28.886452171185422</v>
          </cell>
        </row>
        <row r="251">
          <cell r="A251">
            <v>2050</v>
          </cell>
          <cell r="B251">
            <v>47.625708129695298</v>
          </cell>
        </row>
        <row r="252">
          <cell r="A252">
            <v>2026</v>
          </cell>
          <cell r="B252">
            <v>31.699515995012071</v>
          </cell>
        </row>
        <row r="253">
          <cell r="A253">
            <v>2027</v>
          </cell>
          <cell r="B253">
            <v>31.723109845270258</v>
          </cell>
        </row>
        <row r="254">
          <cell r="A254">
            <v>2028</v>
          </cell>
          <cell r="B254">
            <v>32.260235467847842</v>
          </cell>
        </row>
        <row r="255">
          <cell r="A255">
            <v>2029</v>
          </cell>
          <cell r="B255">
            <v>30.627756739570529</v>
          </cell>
        </row>
        <row r="256">
          <cell r="A256">
            <v>2030</v>
          </cell>
          <cell r="B256">
            <v>30.29801019385885</v>
          </cell>
        </row>
        <row r="257">
          <cell r="A257">
            <v>2031</v>
          </cell>
          <cell r="B257">
            <v>30.371141047331179</v>
          </cell>
        </row>
        <row r="258">
          <cell r="A258">
            <v>2032</v>
          </cell>
          <cell r="B258">
            <v>29.676018722163839</v>
          </cell>
        </row>
        <row r="259">
          <cell r="A259">
            <v>2033</v>
          </cell>
          <cell r="B259">
            <v>28.970926257678968</v>
          </cell>
        </row>
        <row r="260">
          <cell r="A260">
            <v>2034</v>
          </cell>
          <cell r="B260">
            <v>27.90546292782707</v>
          </cell>
        </row>
        <row r="261">
          <cell r="A261">
            <v>2035</v>
          </cell>
          <cell r="B261">
            <v>27.152718644787871</v>
          </cell>
        </row>
        <row r="262">
          <cell r="A262">
            <v>2036</v>
          </cell>
          <cell r="B262">
            <v>28.07803215460692</v>
          </cell>
        </row>
        <row r="263">
          <cell r="A263">
            <v>2037</v>
          </cell>
          <cell r="B263">
            <v>46.292848852702583</v>
          </cell>
        </row>
        <row r="264">
          <cell r="A264">
            <v>2038</v>
          </cell>
          <cell r="B264">
            <v>28.07803215460692</v>
          </cell>
        </row>
        <row r="265">
          <cell r="A265">
            <v>2039</v>
          </cell>
          <cell r="B265">
            <v>46.292848852702583</v>
          </cell>
        </row>
        <row r="266">
          <cell r="A266">
            <v>2040</v>
          </cell>
          <cell r="B266">
            <v>35.800325393575669</v>
          </cell>
        </row>
        <row r="267">
          <cell r="A267">
            <v>2041</v>
          </cell>
          <cell r="B267">
            <v>52.23571306410647</v>
          </cell>
        </row>
        <row r="268">
          <cell r="A268">
            <v>2042</v>
          </cell>
          <cell r="B268">
            <v>40.732159418504366</v>
          </cell>
        </row>
        <row r="269">
          <cell r="A269">
            <v>2043</v>
          </cell>
          <cell r="B269">
            <v>40.812190016705941</v>
          </cell>
        </row>
        <row r="270">
          <cell r="A270">
            <v>2044</v>
          </cell>
          <cell r="B270">
            <v>40.786166761603269</v>
          </cell>
        </row>
        <row r="271">
          <cell r="A271">
            <v>2045</v>
          </cell>
          <cell r="B271">
            <v>40.712298085590582</v>
          </cell>
        </row>
        <row r="272">
          <cell r="A272">
            <v>2046</v>
          </cell>
          <cell r="B272">
            <v>39.234143256532441</v>
          </cell>
        </row>
        <row r="273">
          <cell r="A273">
            <v>2047</v>
          </cell>
          <cell r="B273">
            <v>38.013496768474113</v>
          </cell>
        </row>
        <row r="274">
          <cell r="A274">
            <v>2048</v>
          </cell>
          <cell r="B274">
            <v>36.68772466663092</v>
          </cell>
        </row>
        <row r="275">
          <cell r="A275">
            <v>2049</v>
          </cell>
          <cell r="B275">
            <v>38.077261084635872</v>
          </cell>
        </row>
        <row r="276">
          <cell r="A276">
            <v>2050</v>
          </cell>
          <cell r="B276">
            <v>38.368716784722388</v>
          </cell>
        </row>
        <row r="277">
          <cell r="A277">
            <v>2026</v>
          </cell>
          <cell r="B277">
            <v>52.131650615948899</v>
          </cell>
        </row>
        <row r="278">
          <cell r="A278">
            <v>2027</v>
          </cell>
          <cell r="B278">
            <v>31.619444439999999</v>
          </cell>
        </row>
        <row r="279">
          <cell r="A279">
            <v>2028</v>
          </cell>
          <cell r="B279">
            <v>32.177828586705431</v>
          </cell>
        </row>
        <row r="280">
          <cell r="A280">
            <v>2029</v>
          </cell>
          <cell r="B280">
            <v>32.650058152422787</v>
          </cell>
        </row>
        <row r="281">
          <cell r="A281">
            <v>2030</v>
          </cell>
          <cell r="B281">
            <v>32.986327809812387</v>
          </cell>
        </row>
        <row r="282">
          <cell r="A282">
            <v>2031</v>
          </cell>
          <cell r="B282">
            <v>54.385260302324873</v>
          </cell>
        </row>
        <row r="283">
          <cell r="A283">
            <v>2032</v>
          </cell>
          <cell r="B283">
            <v>34.948081723419158</v>
          </cell>
        </row>
        <row r="284">
          <cell r="A284">
            <v>2033</v>
          </cell>
          <cell r="B284">
            <v>34.665889910263509</v>
          </cell>
        </row>
        <row r="285">
          <cell r="A285">
            <v>2034</v>
          </cell>
          <cell r="B285">
            <v>34.142460412859883</v>
          </cell>
        </row>
        <row r="286">
          <cell r="A286">
            <v>2035</v>
          </cell>
          <cell r="B286">
            <v>35.233895598425804</v>
          </cell>
        </row>
        <row r="287">
          <cell r="A287">
            <v>2036</v>
          </cell>
          <cell r="B287">
            <v>36.606304528255372</v>
          </cell>
        </row>
        <row r="288">
          <cell r="A288">
            <v>2037</v>
          </cell>
          <cell r="B288">
            <v>36.014534006330962</v>
          </cell>
        </row>
        <row r="289">
          <cell r="A289">
            <v>2038</v>
          </cell>
          <cell r="B289">
            <v>36.117018895838257</v>
          </cell>
        </row>
        <row r="290">
          <cell r="A290">
            <v>2039</v>
          </cell>
          <cell r="B290">
            <v>35.207002575375192</v>
          </cell>
        </row>
        <row r="291">
          <cell r="A291">
            <v>2040</v>
          </cell>
          <cell r="B291">
            <v>34.677509422258233</v>
          </cell>
        </row>
        <row r="292">
          <cell r="A292">
            <v>2041</v>
          </cell>
          <cell r="B292">
            <v>33.842227632339593</v>
          </cell>
        </row>
        <row r="293">
          <cell r="A293">
            <v>2042</v>
          </cell>
          <cell r="B293">
            <v>55.796400545313922</v>
          </cell>
        </row>
        <row r="294">
          <cell r="A294">
            <v>2043</v>
          </cell>
          <cell r="B294">
            <v>38.809147833354011</v>
          </cell>
        </row>
        <row r="295">
          <cell r="A295">
            <v>2044</v>
          </cell>
          <cell r="B295">
            <v>39.650400983888026</v>
          </cell>
        </row>
        <row r="296">
          <cell r="A296">
            <v>2045</v>
          </cell>
          <cell r="B296">
            <v>40.247777180522917</v>
          </cell>
        </row>
        <row r="297">
          <cell r="A297">
            <v>2046</v>
          </cell>
          <cell r="B297">
            <v>39.188855142621257</v>
          </cell>
        </row>
        <row r="298">
          <cell r="A298">
            <v>2047</v>
          </cell>
          <cell r="B298">
            <v>39.897222397721642</v>
          </cell>
        </row>
        <row r="299">
          <cell r="A299">
            <v>2048</v>
          </cell>
          <cell r="B299">
            <v>39.866921235607407</v>
          </cell>
        </row>
        <row r="300">
          <cell r="A300">
            <v>2049</v>
          </cell>
          <cell r="B300">
            <v>39.998487553369678</v>
          </cell>
        </row>
        <row r="301">
          <cell r="A301">
            <v>2050</v>
          </cell>
          <cell r="B301">
            <v>41.965674124127453</v>
          </cell>
        </row>
        <row r="302">
          <cell r="A302">
            <v>2026</v>
          </cell>
          <cell r="B302">
            <v>30.89460300720096</v>
          </cell>
        </row>
        <row r="303">
          <cell r="A303">
            <v>2027</v>
          </cell>
          <cell r="B303">
            <v>30.3576698529018</v>
          </cell>
        </row>
        <row r="304">
          <cell r="A304">
            <v>2028</v>
          </cell>
          <cell r="B304">
            <v>29.993910193919909</v>
          </cell>
        </row>
        <row r="305">
          <cell r="A305">
            <v>2029</v>
          </cell>
          <cell r="B305">
            <v>30.719606510926059</v>
          </cell>
        </row>
        <row r="306">
          <cell r="A306">
            <v>2030</v>
          </cell>
          <cell r="B306">
            <v>29.749962635804788</v>
          </cell>
        </row>
        <row r="307">
          <cell r="A307">
            <v>2031</v>
          </cell>
          <cell r="B307">
            <v>29.569257313684741</v>
          </cell>
        </row>
        <row r="308">
          <cell r="A308">
            <v>2032</v>
          </cell>
          <cell r="B308">
            <v>29.41321442746727</v>
          </cell>
        </row>
        <row r="309">
          <cell r="A309">
            <v>2033</v>
          </cell>
          <cell r="B309">
            <v>28.893546403069951</v>
          </cell>
        </row>
        <row r="310">
          <cell r="A310">
            <v>2034</v>
          </cell>
          <cell r="B310">
            <v>47.637404540702612</v>
          </cell>
        </row>
        <row r="311">
          <cell r="A311">
            <v>2035</v>
          </cell>
          <cell r="B311">
            <v>31.39958489671729</v>
          </cell>
        </row>
        <row r="312">
          <cell r="A312">
            <v>2036</v>
          </cell>
          <cell r="B312">
            <v>30.780340040994631</v>
          </cell>
        </row>
        <row r="313">
          <cell r="A313">
            <v>2037</v>
          </cell>
          <cell r="B313">
            <v>31.897271096216809</v>
          </cell>
        </row>
        <row r="314">
          <cell r="A314">
            <v>2038</v>
          </cell>
          <cell r="B314">
            <v>30.79035390155444</v>
          </cell>
        </row>
        <row r="315">
          <cell r="A315">
            <v>2039</v>
          </cell>
          <cell r="B315">
            <v>30.425901357921109</v>
          </cell>
        </row>
        <row r="316">
          <cell r="A316">
            <v>2040</v>
          </cell>
          <cell r="B316">
            <v>30.690750705302332</v>
          </cell>
        </row>
        <row r="317">
          <cell r="A317">
            <v>2041</v>
          </cell>
          <cell r="B317">
            <v>29.898334765018699</v>
          </cell>
        </row>
        <row r="318">
          <cell r="A318">
            <v>2042</v>
          </cell>
          <cell r="B318">
            <v>30.060955299370729</v>
          </cell>
        </row>
        <row r="319">
          <cell r="A319">
            <v>2043</v>
          </cell>
          <cell r="B319">
            <v>29.201785065985369</v>
          </cell>
        </row>
        <row r="320">
          <cell r="A320">
            <v>2044</v>
          </cell>
          <cell r="B320">
            <v>30.181597620644769</v>
          </cell>
        </row>
        <row r="321">
          <cell r="A321">
            <v>2045</v>
          </cell>
          <cell r="B321">
            <v>29.373830098306879</v>
          </cell>
        </row>
        <row r="322">
          <cell r="A322">
            <v>2046</v>
          </cell>
          <cell r="B322">
            <v>29.19677720916393</v>
          </cell>
        </row>
        <row r="323">
          <cell r="A323">
            <v>2047</v>
          </cell>
          <cell r="B323">
            <v>28.08581897163927</v>
          </cell>
        </row>
        <row r="324">
          <cell r="A324">
            <v>2048</v>
          </cell>
          <cell r="B324">
            <v>46.305687143574872</v>
          </cell>
        </row>
        <row r="325">
          <cell r="A325">
            <v>2049</v>
          </cell>
          <cell r="B325">
            <v>33.593249904777487</v>
          </cell>
        </row>
        <row r="326">
          <cell r="A326">
            <v>2050</v>
          </cell>
          <cell r="B326">
            <v>55.385905669951711</v>
          </cell>
        </row>
        <row r="327">
          <cell r="A327">
            <v>2026</v>
          </cell>
          <cell r="B327">
            <v>32.206351671347413</v>
          </cell>
        </row>
        <row r="328">
          <cell r="A328">
            <v>2027</v>
          </cell>
          <cell r="B328">
            <v>30.931694194532732</v>
          </cell>
        </row>
        <row r="329">
          <cell r="A329">
            <v>2028</v>
          </cell>
          <cell r="B329">
            <v>29.24873248923851</v>
          </cell>
        </row>
        <row r="330">
          <cell r="A330">
            <v>2029</v>
          </cell>
          <cell r="B330">
            <v>48.22300739602543</v>
          </cell>
        </row>
        <row r="331">
          <cell r="A331">
            <v>2030</v>
          </cell>
          <cell r="B331">
            <v>30.18696082373328</v>
          </cell>
        </row>
        <row r="332">
          <cell r="A332">
            <v>2031</v>
          </cell>
          <cell r="B332">
            <v>31.070807346152439</v>
          </cell>
        </row>
        <row r="333">
          <cell r="A333">
            <v>2032</v>
          </cell>
          <cell r="B333">
            <v>31.896695527699588</v>
          </cell>
        </row>
        <row r="334">
          <cell r="A334">
            <v>2033</v>
          </cell>
          <cell r="B334">
            <v>30.238446918395379</v>
          </cell>
        </row>
        <row r="335">
          <cell r="A335">
            <v>2034</v>
          </cell>
          <cell r="B335">
            <v>30.643206206956648</v>
          </cell>
        </row>
        <row r="336">
          <cell r="A336">
            <v>2035</v>
          </cell>
          <cell r="B336">
            <v>29.780445983195719</v>
          </cell>
        </row>
        <row r="337">
          <cell r="A337">
            <v>2036</v>
          </cell>
          <cell r="B337">
            <v>28.760474801480651</v>
          </cell>
        </row>
        <row r="338">
          <cell r="A338">
            <v>2037</v>
          </cell>
          <cell r="B338">
            <v>28.641694176265801</v>
          </cell>
        </row>
        <row r="339">
          <cell r="A339">
            <v>2038</v>
          </cell>
          <cell r="B339">
            <v>29.131394841044042</v>
          </cell>
        </row>
        <row r="340">
          <cell r="A340">
            <v>2039</v>
          </cell>
          <cell r="B340">
            <v>28.932530665673799</v>
          </cell>
        </row>
        <row r="341">
          <cell r="A341">
            <v>2040</v>
          </cell>
          <cell r="B341">
            <v>27.386516296236241</v>
          </cell>
        </row>
        <row r="342">
          <cell r="A342">
            <v>2041</v>
          </cell>
          <cell r="B342">
            <v>27.466073044692081</v>
          </cell>
        </row>
        <row r="343">
          <cell r="A343">
            <v>2042</v>
          </cell>
          <cell r="B343">
            <v>29.017398303917361</v>
          </cell>
        </row>
        <row r="344">
          <cell r="A344">
            <v>2043</v>
          </cell>
          <cell r="B344">
            <v>28.50861390110488</v>
          </cell>
        </row>
        <row r="345">
          <cell r="A345">
            <v>2044</v>
          </cell>
          <cell r="B345">
            <v>47.002758136928968</v>
          </cell>
        </row>
        <row r="346">
          <cell r="A346">
            <v>2045</v>
          </cell>
          <cell r="B346">
            <v>33.673288235773107</v>
          </cell>
        </row>
        <row r="347">
          <cell r="A347">
            <v>2046</v>
          </cell>
          <cell r="B347">
            <v>34.830967620205342</v>
          </cell>
        </row>
        <row r="348">
          <cell r="A348">
            <v>2047</v>
          </cell>
          <cell r="B348">
            <v>34.007605306234517</v>
          </cell>
        </row>
        <row r="349">
          <cell r="A349">
            <v>2048</v>
          </cell>
          <cell r="B349">
            <v>32.94169943089215</v>
          </cell>
        </row>
        <row r="350">
          <cell r="A350">
            <v>2049</v>
          </cell>
          <cell r="B350">
            <v>54.311680544722194</v>
          </cell>
        </row>
        <row r="351">
          <cell r="A351">
            <v>2050</v>
          </cell>
          <cell r="B351">
            <v>36.820998019385989</v>
          </cell>
        </row>
        <row r="352">
          <cell r="A352">
            <v>2026</v>
          </cell>
          <cell r="B352">
            <v>31.801488448992689</v>
          </cell>
        </row>
        <row r="353">
          <cell r="A353">
            <v>2027</v>
          </cell>
          <cell r="B353">
            <v>49.957641831831388</v>
          </cell>
        </row>
        <row r="354">
          <cell r="A354">
            <v>2028</v>
          </cell>
          <cell r="B354">
            <v>30.300841457948149</v>
          </cell>
        </row>
        <row r="355">
          <cell r="A355">
            <v>2029</v>
          </cell>
          <cell r="B355">
            <v>28.807262271546271</v>
          </cell>
        </row>
        <row r="356">
          <cell r="A356">
            <v>2030</v>
          </cell>
          <cell r="B356">
            <v>29.567707844508089</v>
          </cell>
        </row>
        <row r="357">
          <cell r="A357">
            <v>2031</v>
          </cell>
          <cell r="B357">
            <v>29.062001174379031</v>
          </cell>
        </row>
        <row r="358">
          <cell r="A358">
            <v>2032</v>
          </cell>
          <cell r="B358">
            <v>29.38528941131899</v>
          </cell>
        </row>
        <row r="359">
          <cell r="A359">
            <v>2033</v>
          </cell>
          <cell r="B359">
            <v>29.070314439200239</v>
          </cell>
        </row>
        <row r="360">
          <cell r="A360">
            <v>2034</v>
          </cell>
          <cell r="B360">
            <v>29.458977163657782</v>
          </cell>
        </row>
        <row r="361">
          <cell r="A361">
            <v>2035</v>
          </cell>
          <cell r="B361">
            <v>48.569642262791923</v>
          </cell>
        </row>
        <row r="362">
          <cell r="A362">
            <v>2036</v>
          </cell>
          <cell r="B362">
            <v>36.032040421264277</v>
          </cell>
        </row>
        <row r="363">
          <cell r="A363">
            <v>2037</v>
          </cell>
          <cell r="B363">
            <v>34.995123641858982</v>
          </cell>
        </row>
        <row r="364">
          <cell r="A364">
            <v>2038</v>
          </cell>
          <cell r="B364">
            <v>57.697204719113827</v>
          </cell>
        </row>
        <row r="365">
          <cell r="A365">
            <v>2039</v>
          </cell>
          <cell r="B365">
            <v>40.948882413644469</v>
          </cell>
        </row>
        <row r="366">
          <cell r="A366">
            <v>2040</v>
          </cell>
          <cell r="B366">
            <v>39.754605716525553</v>
          </cell>
        </row>
        <row r="367">
          <cell r="A367">
            <v>2041</v>
          </cell>
          <cell r="B367">
            <v>40.057421078421861</v>
          </cell>
        </row>
        <row r="368">
          <cell r="A368">
            <v>2042</v>
          </cell>
          <cell r="B368">
            <v>37.895893370444647</v>
          </cell>
        </row>
        <row r="369">
          <cell r="A369">
            <v>2043</v>
          </cell>
          <cell r="B369">
            <v>39.95746037847946</v>
          </cell>
        </row>
        <row r="370">
          <cell r="A370">
            <v>2044</v>
          </cell>
          <cell r="B370">
            <v>39.566016936399642</v>
          </cell>
        </row>
        <row r="371">
          <cell r="A371">
            <v>2045</v>
          </cell>
          <cell r="B371">
            <v>40.099663749797479</v>
          </cell>
        </row>
        <row r="372">
          <cell r="A372">
            <v>2046</v>
          </cell>
          <cell r="B372">
            <v>39.291529802549498</v>
          </cell>
        </row>
        <row r="373">
          <cell r="A373">
            <v>2047</v>
          </cell>
          <cell r="B373">
            <v>37.715951172753087</v>
          </cell>
        </row>
        <row r="374">
          <cell r="A374">
            <v>2048</v>
          </cell>
          <cell r="B374">
            <v>38.169984833612737</v>
          </cell>
        </row>
        <row r="375">
          <cell r="A375">
            <v>2049</v>
          </cell>
          <cell r="B375">
            <v>37.493386107449268</v>
          </cell>
        </row>
        <row r="376">
          <cell r="A376">
            <v>2050</v>
          </cell>
          <cell r="B376">
            <v>35.8424116678259</v>
          </cell>
        </row>
        <row r="377">
          <cell r="A377">
            <v>2026</v>
          </cell>
          <cell r="B377">
            <v>52.131650615948899</v>
          </cell>
        </row>
        <row r="378">
          <cell r="A378">
            <v>2027</v>
          </cell>
          <cell r="B378">
            <v>31.619444439999999</v>
          </cell>
        </row>
        <row r="379">
          <cell r="A379">
            <v>2028</v>
          </cell>
          <cell r="B379">
            <v>30.292553243951389</v>
          </cell>
        </row>
        <row r="380">
          <cell r="A380">
            <v>2029</v>
          </cell>
          <cell r="B380">
            <v>31.031438229419209</v>
          </cell>
        </row>
        <row r="381">
          <cell r="A381">
            <v>2030</v>
          </cell>
          <cell r="B381">
            <v>51.162192269260579</v>
          </cell>
        </row>
        <row r="382">
          <cell r="A382">
            <v>2031</v>
          </cell>
          <cell r="B382">
            <v>36.781021127580949</v>
          </cell>
        </row>
        <row r="383">
          <cell r="A383">
            <v>2032</v>
          </cell>
          <cell r="B383">
            <v>35.347583448272232</v>
          </cell>
        </row>
        <row r="384">
          <cell r="A384">
            <v>2033</v>
          </cell>
          <cell r="B384">
            <v>35.011239523066727</v>
          </cell>
        </row>
        <row r="385">
          <cell r="A385">
            <v>2034</v>
          </cell>
          <cell r="B385">
            <v>34.335452532613267</v>
          </cell>
        </row>
        <row r="386">
          <cell r="A386">
            <v>2035</v>
          </cell>
          <cell r="B386">
            <v>35.275214479905209</v>
          </cell>
        </row>
        <row r="387">
          <cell r="A387">
            <v>2036</v>
          </cell>
          <cell r="B387">
            <v>58.158996441528878</v>
          </cell>
        </row>
        <row r="388">
          <cell r="A388">
            <v>2037</v>
          </cell>
          <cell r="B388">
            <v>39.656160449912861</v>
          </cell>
        </row>
        <row r="389">
          <cell r="A389">
            <v>2038</v>
          </cell>
          <cell r="B389">
            <v>41.604470868832898</v>
          </cell>
        </row>
        <row r="390">
          <cell r="A390">
            <v>2039</v>
          </cell>
          <cell r="B390">
            <v>42.432763381901381</v>
          </cell>
        </row>
        <row r="391">
          <cell r="A391">
            <v>2040</v>
          </cell>
          <cell r="B391">
            <v>42.378009406038203</v>
          </cell>
        </row>
        <row r="392">
          <cell r="A392">
            <v>2041</v>
          </cell>
          <cell r="B392">
            <v>41.523839128220963</v>
          </cell>
        </row>
        <row r="393">
          <cell r="A393">
            <v>2042</v>
          </cell>
          <cell r="B393">
            <v>40.479076397238153</v>
          </cell>
        </row>
        <row r="394">
          <cell r="A394">
            <v>2043</v>
          </cell>
          <cell r="B394">
            <v>41.140181447143959</v>
          </cell>
        </row>
        <row r="395">
          <cell r="A395">
            <v>2044</v>
          </cell>
          <cell r="B395">
            <v>67.828692232369022</v>
          </cell>
        </row>
        <row r="396">
          <cell r="A396">
            <v>2045</v>
          </cell>
          <cell r="B396">
            <v>41.140181447143959</v>
          </cell>
        </row>
        <row r="397">
          <cell r="A397">
            <v>2046</v>
          </cell>
          <cell r="B397">
            <v>42.263566887308457</v>
          </cell>
        </row>
        <row r="398">
          <cell r="A398">
            <v>2047</v>
          </cell>
          <cell r="B398">
            <v>42.505493417804949</v>
          </cell>
        </row>
        <row r="399">
          <cell r="A399">
            <v>2048</v>
          </cell>
          <cell r="B399">
            <v>43.982604301211417</v>
          </cell>
        </row>
        <row r="400">
          <cell r="A400">
            <v>2049</v>
          </cell>
          <cell r="B400">
            <v>41.789068997630032</v>
          </cell>
        </row>
        <row r="401">
          <cell r="A401">
            <v>2050</v>
          </cell>
          <cell r="B401">
            <v>40.958825803488857</v>
          </cell>
        </row>
        <row r="402">
          <cell r="A402">
            <v>2026</v>
          </cell>
          <cell r="B402">
            <v>30.560876302527891</v>
          </cell>
        </row>
        <row r="403">
          <cell r="A403">
            <v>2027</v>
          </cell>
          <cell r="B403">
            <v>30.299436434729671</v>
          </cell>
        </row>
        <row r="404">
          <cell r="A404">
            <v>2028</v>
          </cell>
          <cell r="B404">
            <v>29.23694099574065</v>
          </cell>
        </row>
        <row r="405">
          <cell r="A405">
            <v>2029</v>
          </cell>
          <cell r="B405">
            <v>28.98629775003338</v>
          </cell>
        </row>
        <row r="406">
          <cell r="A406">
            <v>2030</v>
          </cell>
          <cell r="B406">
            <v>27.726608906669671</v>
          </cell>
        </row>
        <row r="407">
          <cell r="A407">
            <v>2031</v>
          </cell>
          <cell r="B407">
            <v>27.220059312976989</v>
          </cell>
        </row>
        <row r="408">
          <cell r="A408">
            <v>2032</v>
          </cell>
          <cell r="B408">
            <v>27.89097952626976</v>
          </cell>
        </row>
        <row r="409">
          <cell r="A409">
            <v>2033</v>
          </cell>
          <cell r="B409">
            <v>26.808686683490969</v>
          </cell>
        </row>
        <row r="410">
          <cell r="A410">
            <v>2034</v>
          </cell>
          <cell r="B410">
            <v>25.434670930626901</v>
          </cell>
        </row>
        <row r="411">
          <cell r="A411">
            <v>2035</v>
          </cell>
          <cell r="B411">
            <v>41.934682976582799</v>
          </cell>
        </row>
        <row r="412">
          <cell r="A412">
            <v>2036</v>
          </cell>
          <cell r="B412">
            <v>31.879270389720329</v>
          </cell>
        </row>
        <row r="413">
          <cell r="A413">
            <v>2037</v>
          </cell>
          <cell r="B413">
            <v>32.538939238961127</v>
          </cell>
        </row>
        <row r="414">
          <cell r="A414">
            <v>2038</v>
          </cell>
          <cell r="B414">
            <v>53.647641249294267</v>
          </cell>
        </row>
        <row r="415">
          <cell r="A415">
            <v>2039</v>
          </cell>
          <cell r="B415">
            <v>35.740952693676341</v>
          </cell>
        </row>
        <row r="416">
          <cell r="A416">
            <v>2040</v>
          </cell>
          <cell r="B416">
            <v>37.091039571403527</v>
          </cell>
        </row>
        <row r="417">
          <cell r="A417">
            <v>2041</v>
          </cell>
          <cell r="B417">
            <v>36.940704952978223</v>
          </cell>
        </row>
        <row r="418">
          <cell r="A418">
            <v>2042</v>
          </cell>
          <cell r="B418">
            <v>35.514622836310672</v>
          </cell>
        </row>
        <row r="419">
          <cell r="A419">
            <v>2043</v>
          </cell>
          <cell r="B419">
            <v>33.610434260543776</v>
          </cell>
        </row>
        <row r="420">
          <cell r="A420">
            <v>2044</v>
          </cell>
          <cell r="B420">
            <v>33.393950516524121</v>
          </cell>
        </row>
        <row r="421">
          <cell r="A421">
            <v>2045</v>
          </cell>
          <cell r="B421">
            <v>55.057316529300849</v>
          </cell>
        </row>
        <row r="422">
          <cell r="A422">
            <v>2046</v>
          </cell>
          <cell r="B422">
            <v>40.937681103710247</v>
          </cell>
        </row>
        <row r="423">
          <cell r="A423">
            <v>2047</v>
          </cell>
          <cell r="B423">
            <v>39.644609365963419</v>
          </cell>
        </row>
        <row r="424">
          <cell r="A424">
            <v>2048</v>
          </cell>
          <cell r="B424">
            <v>65.362910730261405</v>
          </cell>
        </row>
        <row r="425">
          <cell r="A425">
            <v>2049</v>
          </cell>
          <cell r="B425">
            <v>39.644609365963419</v>
          </cell>
        </row>
        <row r="426">
          <cell r="A426">
            <v>2050</v>
          </cell>
          <cell r="B426">
            <v>39.612926791116813</v>
          </cell>
        </row>
        <row r="427">
          <cell r="A427">
            <v>2026</v>
          </cell>
          <cell r="B427">
            <v>31.809162574098881</v>
          </cell>
        </row>
        <row r="428">
          <cell r="A428">
            <v>2027</v>
          </cell>
          <cell r="B428">
            <v>31.971405558403799</v>
          </cell>
        </row>
        <row r="429">
          <cell r="A429">
            <v>2028</v>
          </cell>
          <cell r="B429">
            <v>30.63546928542311</v>
          </cell>
        </row>
        <row r="430">
          <cell r="A430">
            <v>2029</v>
          </cell>
          <cell r="B430">
            <v>28.749663221022299</v>
          </cell>
        </row>
        <row r="431">
          <cell r="A431">
            <v>2030</v>
          </cell>
          <cell r="B431">
            <v>29.04126403742719</v>
          </cell>
        </row>
        <row r="432">
          <cell r="A432">
            <v>2031</v>
          </cell>
          <cell r="B432">
            <v>47.880949746524891</v>
          </cell>
        </row>
        <row r="433">
          <cell r="A433">
            <v>2032</v>
          </cell>
          <cell r="B433">
            <v>33.126741800707627</v>
          </cell>
        </row>
        <row r="434">
          <cell r="A434">
            <v>2033</v>
          </cell>
          <cell r="B434">
            <v>32.957758519542992</v>
          </cell>
        </row>
        <row r="435">
          <cell r="A435">
            <v>2034</v>
          </cell>
          <cell r="B435">
            <v>30.5335044807196</v>
          </cell>
        </row>
        <row r="436">
          <cell r="A436">
            <v>2035</v>
          </cell>
          <cell r="B436">
            <v>30.356560044932809</v>
          </cell>
        </row>
        <row r="437">
          <cell r="A437">
            <v>2036</v>
          </cell>
          <cell r="B437">
            <v>30.869395540197811</v>
          </cell>
        </row>
        <row r="438">
          <cell r="A438">
            <v>2037</v>
          </cell>
          <cell r="B438">
            <v>30.436412028068691</v>
          </cell>
        </row>
        <row r="439">
          <cell r="A439">
            <v>2038</v>
          </cell>
          <cell r="B439">
            <v>30.143796603586761</v>
          </cell>
        </row>
        <row r="440">
          <cell r="A440">
            <v>2039</v>
          </cell>
          <cell r="B440">
            <v>29.02781001690575</v>
          </cell>
        </row>
        <row r="441">
          <cell r="A441">
            <v>2040</v>
          </cell>
          <cell r="B441">
            <v>29.891817036351199</v>
          </cell>
        </row>
        <row r="442">
          <cell r="A442">
            <v>2041</v>
          </cell>
          <cell r="B442">
            <v>49.283274567708688</v>
          </cell>
        </row>
        <row r="443">
          <cell r="A443">
            <v>2042</v>
          </cell>
          <cell r="B443">
            <v>33.121219683015568</v>
          </cell>
        </row>
        <row r="444">
          <cell r="A444">
            <v>2043</v>
          </cell>
          <cell r="B444">
            <v>34.286820742644963</v>
          </cell>
        </row>
        <row r="445">
          <cell r="A445">
            <v>2044</v>
          </cell>
          <cell r="B445">
            <v>33.240134461371603</v>
          </cell>
        </row>
        <row r="446">
          <cell r="A446">
            <v>2045</v>
          </cell>
          <cell r="B446">
            <v>31.32666727168062</v>
          </cell>
        </row>
        <row r="447">
          <cell r="A447">
            <v>2046</v>
          </cell>
          <cell r="B447">
            <v>33.848057019670541</v>
          </cell>
        </row>
        <row r="448">
          <cell r="A448">
            <v>2047</v>
          </cell>
          <cell r="B448">
            <v>55.806011580201613</v>
          </cell>
        </row>
        <row r="449">
          <cell r="A449">
            <v>2048</v>
          </cell>
          <cell r="B449">
            <v>34.868669702733101</v>
          </cell>
        </row>
        <row r="450">
          <cell r="A450">
            <v>2049</v>
          </cell>
          <cell r="B450">
            <v>57.488717419913179</v>
          </cell>
        </row>
        <row r="451">
          <cell r="A451">
            <v>2050</v>
          </cell>
          <cell r="B451">
            <v>43.984164818076451</v>
          </cell>
        </row>
        <row r="452">
          <cell r="A452">
            <v>2026</v>
          </cell>
          <cell r="B452">
            <v>32.218352743694858</v>
          </cell>
        </row>
        <row r="453">
          <cell r="A453">
            <v>2027</v>
          </cell>
          <cell r="B453">
            <v>31.70493962948137</v>
          </cell>
        </row>
        <row r="454">
          <cell r="A454">
            <v>2028</v>
          </cell>
          <cell r="B454">
            <v>31.839030318123999</v>
          </cell>
        </row>
        <row r="455">
          <cell r="A455">
            <v>2029</v>
          </cell>
          <cell r="B455">
            <v>52.493686523957308</v>
          </cell>
        </row>
        <row r="456">
          <cell r="A456">
            <v>2030</v>
          </cell>
          <cell r="B456">
            <v>32.087929752813849</v>
          </cell>
        </row>
        <row r="457">
          <cell r="A457">
            <v>2031</v>
          </cell>
          <cell r="B457">
            <v>31.884372280160939</v>
          </cell>
        </row>
        <row r="458">
          <cell r="A458">
            <v>2032</v>
          </cell>
          <cell r="B458">
            <v>31.016158068008231</v>
          </cell>
        </row>
        <row r="459">
          <cell r="A459">
            <v>2033</v>
          </cell>
          <cell r="B459">
            <v>30.947730572754349</v>
          </cell>
        </row>
        <row r="460">
          <cell r="A460">
            <v>2034</v>
          </cell>
          <cell r="B460">
            <v>51.024181675196751</v>
          </cell>
        </row>
        <row r="461">
          <cell r="A461">
            <v>2035</v>
          </cell>
          <cell r="B461">
            <v>32.835180353727758</v>
          </cell>
        </row>
        <row r="462">
          <cell r="A462">
            <v>2036</v>
          </cell>
          <cell r="B462">
            <v>32.561085374339747</v>
          </cell>
        </row>
        <row r="463">
          <cell r="A463">
            <v>2037</v>
          </cell>
          <cell r="B463">
            <v>32.035839277180173</v>
          </cell>
        </row>
        <row r="464">
          <cell r="A464">
            <v>2038</v>
          </cell>
          <cell r="B464">
            <v>31.37157810249823</v>
          </cell>
        </row>
        <row r="465">
          <cell r="A465">
            <v>2039</v>
          </cell>
          <cell r="B465">
            <v>51.722988113019213</v>
          </cell>
        </row>
        <row r="466">
          <cell r="A466">
            <v>2040</v>
          </cell>
          <cell r="B466">
            <v>40.051001049801648</v>
          </cell>
        </row>
        <row r="467">
          <cell r="A467">
            <v>2041</v>
          </cell>
          <cell r="B467">
            <v>40.493147482663723</v>
          </cell>
        </row>
        <row r="468">
          <cell r="A468">
            <v>2042</v>
          </cell>
          <cell r="B468">
            <v>39.576130944911228</v>
          </cell>
        </row>
        <row r="469">
          <cell r="A469">
            <v>2043</v>
          </cell>
          <cell r="B469">
            <v>40.2811441917856</v>
          </cell>
        </row>
        <row r="470">
          <cell r="A470">
            <v>2044</v>
          </cell>
          <cell r="B470">
            <v>38.213618890933468</v>
          </cell>
        </row>
        <row r="471">
          <cell r="A471">
            <v>2045</v>
          </cell>
          <cell r="B471">
            <v>39.279708657687323</v>
          </cell>
        </row>
        <row r="472">
          <cell r="A472">
            <v>2046</v>
          </cell>
          <cell r="B472">
            <v>64.761291170833061</v>
          </cell>
        </row>
        <row r="473">
          <cell r="A473">
            <v>2047</v>
          </cell>
          <cell r="B473">
            <v>42.946887997202317</v>
          </cell>
        </row>
        <row r="474">
          <cell r="A474">
            <v>2048</v>
          </cell>
          <cell r="B474">
            <v>41.937531627511127</v>
          </cell>
        </row>
        <row r="475">
          <cell r="A475">
            <v>2049</v>
          </cell>
          <cell r="B475">
            <v>40.727713655431167</v>
          </cell>
        </row>
        <row r="476">
          <cell r="A476">
            <v>2050</v>
          </cell>
          <cell r="B476">
            <v>40.333104961042707</v>
          </cell>
        </row>
        <row r="477">
          <cell r="A477">
            <v>2026</v>
          </cell>
          <cell r="B477">
            <v>30.731294318016531</v>
          </cell>
        </row>
        <row r="478">
          <cell r="A478">
            <v>2027</v>
          </cell>
          <cell r="B478">
            <v>50.667338618259841</v>
          </cell>
        </row>
        <row r="479">
          <cell r="A479">
            <v>2028</v>
          </cell>
          <cell r="B479">
            <v>30.731294318016531</v>
          </cell>
        </row>
        <row r="480">
          <cell r="A480">
            <v>2029</v>
          </cell>
          <cell r="B480">
            <v>31.18611603436678</v>
          </cell>
        </row>
        <row r="481">
          <cell r="A481">
            <v>2030</v>
          </cell>
          <cell r="B481">
            <v>31.53464944392211</v>
          </cell>
        </row>
        <row r="482">
          <cell r="A482">
            <v>2031</v>
          </cell>
          <cell r="B482">
            <v>30.959534385946242</v>
          </cell>
        </row>
        <row r="483">
          <cell r="A483">
            <v>2032</v>
          </cell>
          <cell r="B483">
            <v>51.043642873081602</v>
          </cell>
        </row>
        <row r="484">
          <cell r="A484">
            <v>2033</v>
          </cell>
          <cell r="B484">
            <v>34.254446148482081</v>
          </cell>
        </row>
        <row r="485">
          <cell r="A485">
            <v>2034</v>
          </cell>
          <cell r="B485">
            <v>33.221355284699378</v>
          </cell>
        </row>
        <row r="486">
          <cell r="A486">
            <v>2035</v>
          </cell>
          <cell r="B486">
            <v>34.144115658948188</v>
          </cell>
        </row>
        <row r="487">
          <cell r="A487">
            <v>2036</v>
          </cell>
          <cell r="B487">
            <v>34.887634828761001</v>
          </cell>
        </row>
        <row r="488">
          <cell r="A488">
            <v>2037</v>
          </cell>
          <cell r="B488">
            <v>57.519985626596878</v>
          </cell>
        </row>
        <row r="489">
          <cell r="A489">
            <v>2038</v>
          </cell>
          <cell r="B489">
            <v>37.256454953018377</v>
          </cell>
        </row>
        <row r="490">
          <cell r="A490">
            <v>2039</v>
          </cell>
          <cell r="B490">
            <v>37.147997872756719</v>
          </cell>
        </row>
        <row r="491">
          <cell r="A491">
            <v>2040</v>
          </cell>
          <cell r="B491">
            <v>37.988623570385421</v>
          </cell>
        </row>
        <row r="492">
          <cell r="A492">
            <v>2041</v>
          </cell>
          <cell r="B492">
            <v>38.498554209795493</v>
          </cell>
        </row>
        <row r="493">
          <cell r="A493">
            <v>2042</v>
          </cell>
          <cell r="B493">
            <v>63.473385216891778</v>
          </cell>
        </row>
        <row r="494">
          <cell r="A494">
            <v>2043</v>
          </cell>
          <cell r="B494">
            <v>45.387370048151382</v>
          </cell>
        </row>
        <row r="495">
          <cell r="A495">
            <v>2044</v>
          </cell>
          <cell r="B495">
            <v>44.193734952884519</v>
          </cell>
        </row>
        <row r="496">
          <cell r="A496">
            <v>2045</v>
          </cell>
          <cell r="B496">
            <v>43.560379191697812</v>
          </cell>
        </row>
        <row r="497">
          <cell r="A497">
            <v>2046</v>
          </cell>
          <cell r="B497">
            <v>43.152983444400881</v>
          </cell>
        </row>
        <row r="498">
          <cell r="A498">
            <v>2047</v>
          </cell>
          <cell r="B498">
            <v>44.0425895464654</v>
          </cell>
        </row>
        <row r="499">
          <cell r="A499">
            <v>2048</v>
          </cell>
          <cell r="B499">
            <v>44.767980064792347</v>
          </cell>
        </row>
        <row r="500">
          <cell r="A500">
            <v>2049</v>
          </cell>
          <cell r="B500">
            <v>45.302343696357489</v>
          </cell>
        </row>
        <row r="501">
          <cell r="A501">
            <v>2050</v>
          </cell>
          <cell r="B501">
            <v>43.067588445898643</v>
          </cell>
        </row>
        <row r="502">
          <cell r="A502">
            <v>2026</v>
          </cell>
          <cell r="B502">
            <v>52.131650615948899</v>
          </cell>
        </row>
        <row r="503">
          <cell r="A503">
            <v>2027</v>
          </cell>
          <cell r="B503">
            <v>31.619444439999999</v>
          </cell>
        </row>
        <row r="504">
          <cell r="A504">
            <v>2028</v>
          </cell>
          <cell r="B504">
            <v>52.131650615948899</v>
          </cell>
        </row>
        <row r="505">
          <cell r="A505">
            <v>2029</v>
          </cell>
          <cell r="B505">
            <v>34.319309935306002</v>
          </cell>
        </row>
        <row r="506">
          <cell r="A506">
            <v>2030</v>
          </cell>
          <cell r="B506">
            <v>34.396314606147158</v>
          </cell>
        </row>
        <row r="507">
          <cell r="A507">
            <v>2031</v>
          </cell>
          <cell r="B507">
            <v>34.341049330110742</v>
          </cell>
        </row>
        <row r="508">
          <cell r="A508">
            <v>2032</v>
          </cell>
          <cell r="B508">
            <v>35.930758580605932</v>
          </cell>
        </row>
        <row r="509">
          <cell r="A509">
            <v>2033</v>
          </cell>
          <cell r="B509">
            <v>35.678443736655638</v>
          </cell>
        </row>
        <row r="510">
          <cell r="A510">
            <v>2034</v>
          </cell>
          <cell r="B510">
            <v>58.823809094101911</v>
          </cell>
        </row>
        <row r="511">
          <cell r="A511">
            <v>2035</v>
          </cell>
          <cell r="B511">
            <v>40.795874657820413</v>
          </cell>
        </row>
        <row r="512">
          <cell r="A512">
            <v>2036</v>
          </cell>
          <cell r="B512">
            <v>40.615081416548293</v>
          </cell>
        </row>
        <row r="513">
          <cell r="A513">
            <v>2037</v>
          </cell>
          <cell r="B513">
            <v>40.224338172511409</v>
          </cell>
        </row>
        <row r="514">
          <cell r="A514">
            <v>2038</v>
          </cell>
          <cell r="B514">
            <v>40.683672016193071</v>
          </cell>
        </row>
        <row r="515">
          <cell r="A515">
            <v>2039</v>
          </cell>
          <cell r="B515">
            <v>42.153030585723492</v>
          </cell>
        </row>
        <row r="516">
          <cell r="A516">
            <v>2040</v>
          </cell>
          <cell r="B516">
            <v>41.464249080376497</v>
          </cell>
        </row>
        <row r="517">
          <cell r="A517">
            <v>2041</v>
          </cell>
          <cell r="B517">
            <v>68.362989432424953</v>
          </cell>
        </row>
        <row r="518">
          <cell r="A518">
            <v>2042</v>
          </cell>
          <cell r="B518">
            <v>43.448729056488723</v>
          </cell>
        </row>
        <row r="519">
          <cell r="A519">
            <v>2043</v>
          </cell>
          <cell r="B519">
            <v>71.63484378031967</v>
          </cell>
        </row>
        <row r="520">
          <cell r="A520">
            <v>2044</v>
          </cell>
          <cell r="B520">
            <v>46.496322071338597</v>
          </cell>
        </row>
        <row r="521">
          <cell r="A521">
            <v>2045</v>
          </cell>
          <cell r="B521">
            <v>45.685259525367982</v>
          </cell>
        </row>
        <row r="522">
          <cell r="A522">
            <v>2046</v>
          </cell>
          <cell r="B522">
            <v>43.269789127982158</v>
          </cell>
        </row>
        <row r="523">
          <cell r="A523">
            <v>2047</v>
          </cell>
          <cell r="B523">
            <v>43.926712486663902</v>
          </cell>
        </row>
        <row r="524">
          <cell r="A524">
            <v>2048</v>
          </cell>
          <cell r="B524">
            <v>42.940392684837647</v>
          </cell>
        </row>
        <row r="525">
          <cell r="A525">
            <v>2049</v>
          </cell>
          <cell r="B525">
            <v>44.042836440074879</v>
          </cell>
        </row>
        <row r="526">
          <cell r="A526">
            <v>2050</v>
          </cell>
          <cell r="B526">
            <v>43.889911919732057</v>
          </cell>
        </row>
        <row r="527">
          <cell r="A527">
            <v>2026</v>
          </cell>
          <cell r="B527">
            <v>30.308976121601571</v>
          </cell>
        </row>
        <row r="528">
          <cell r="A528">
            <v>2027</v>
          </cell>
          <cell r="B528">
            <v>30.05515680424595</v>
          </cell>
        </row>
        <row r="529">
          <cell r="A529">
            <v>2028</v>
          </cell>
          <cell r="B529">
            <v>30.023662602933211</v>
          </cell>
        </row>
        <row r="530">
          <cell r="A530">
            <v>2029</v>
          </cell>
          <cell r="B530">
            <v>49.500651157779963</v>
          </cell>
        </row>
        <row r="531">
          <cell r="A531">
            <v>2030</v>
          </cell>
          <cell r="B531">
            <v>30.023662602933211</v>
          </cell>
        </row>
        <row r="532">
          <cell r="A532">
            <v>2031</v>
          </cell>
          <cell r="B532">
            <v>49.500651157779963</v>
          </cell>
        </row>
        <row r="533">
          <cell r="A533">
            <v>2032</v>
          </cell>
          <cell r="B533">
            <v>35.663427283673251</v>
          </cell>
        </row>
        <row r="534">
          <cell r="A534">
            <v>2033</v>
          </cell>
          <cell r="B534">
            <v>35.060016281334953</v>
          </cell>
        </row>
        <row r="535">
          <cell r="A535">
            <v>2034</v>
          </cell>
          <cell r="B535">
            <v>34.427406066540641</v>
          </cell>
        </row>
        <row r="536">
          <cell r="A536">
            <v>2035</v>
          </cell>
          <cell r="B536">
            <v>33.798908313503283</v>
          </cell>
        </row>
        <row r="537">
          <cell r="A537">
            <v>2036</v>
          </cell>
          <cell r="B537">
            <v>55.724979062916262</v>
          </cell>
        </row>
        <row r="538">
          <cell r="A538">
            <v>2037</v>
          </cell>
          <cell r="B538">
            <v>40.923810372495922</v>
          </cell>
        </row>
        <row r="539">
          <cell r="A539">
            <v>2038</v>
          </cell>
          <cell r="B539">
            <v>40.880778309393861</v>
          </cell>
        </row>
        <row r="540">
          <cell r="A540">
            <v>2039</v>
          </cell>
          <cell r="B540">
            <v>40.30750699452409</v>
          </cell>
        </row>
        <row r="541">
          <cell r="A541">
            <v>2040</v>
          </cell>
          <cell r="B541">
            <v>42.449275025370838</v>
          </cell>
        </row>
        <row r="542">
          <cell r="A542">
            <v>2041</v>
          </cell>
          <cell r="B542">
            <v>44.489016556181781</v>
          </cell>
        </row>
        <row r="543">
          <cell r="A543">
            <v>2042</v>
          </cell>
          <cell r="B543">
            <v>44.073424487832668</v>
          </cell>
        </row>
        <row r="544">
          <cell r="A544">
            <v>2043</v>
          </cell>
          <cell r="B544">
            <v>42.213028622804103</v>
          </cell>
        </row>
        <row r="545">
          <cell r="A545">
            <v>2044</v>
          </cell>
          <cell r="B545">
            <v>42.205087184059451</v>
          </cell>
        </row>
        <row r="546">
          <cell r="A546">
            <v>2045</v>
          </cell>
          <cell r="B546">
            <v>41.670869856399392</v>
          </cell>
        </row>
        <row r="547">
          <cell r="A547">
            <v>2046</v>
          </cell>
          <cell r="B547">
            <v>68.703649500822479</v>
          </cell>
        </row>
        <row r="548">
          <cell r="A548">
            <v>2047</v>
          </cell>
          <cell r="B548">
            <v>44.308553342662847</v>
          </cell>
        </row>
        <row r="549">
          <cell r="A549">
            <v>2048</v>
          </cell>
          <cell r="B549">
            <v>72.724722211999989</v>
          </cell>
        </row>
        <row r="550">
          <cell r="A550">
            <v>2049</v>
          </cell>
          <cell r="B550">
            <v>44.109773740662362</v>
          </cell>
        </row>
        <row r="551">
          <cell r="A551">
            <v>2050</v>
          </cell>
          <cell r="B551">
            <v>43.973078678235581</v>
          </cell>
        </row>
        <row r="552">
          <cell r="A552">
            <v>2026</v>
          </cell>
          <cell r="B552">
            <v>30.48994971306799</v>
          </cell>
        </row>
        <row r="553">
          <cell r="A553">
            <v>2027</v>
          </cell>
          <cell r="B553">
            <v>30.21961652425459</v>
          </cell>
        </row>
        <row r="554">
          <cell r="A554">
            <v>2028</v>
          </cell>
          <cell r="B554">
            <v>29.544518010294411</v>
          </cell>
        </row>
        <row r="555">
          <cell r="A555">
            <v>2029</v>
          </cell>
          <cell r="B555">
            <v>30.612295634375961</v>
          </cell>
        </row>
        <row r="556">
          <cell r="A556">
            <v>2030</v>
          </cell>
          <cell r="B556">
            <v>50.471142957356328</v>
          </cell>
        </row>
        <row r="557">
          <cell r="A557">
            <v>2031</v>
          </cell>
          <cell r="B557">
            <v>30.612295634375961</v>
          </cell>
        </row>
        <row r="558">
          <cell r="A558">
            <v>2032</v>
          </cell>
          <cell r="B558">
            <v>32.484678086222559</v>
          </cell>
        </row>
        <row r="559">
          <cell r="A559">
            <v>2033</v>
          </cell>
          <cell r="B559">
            <v>31.739941137495379</v>
          </cell>
        </row>
        <row r="560">
          <cell r="A560">
            <v>2034</v>
          </cell>
          <cell r="B560">
            <v>32.731920440698353</v>
          </cell>
        </row>
        <row r="561">
          <cell r="A561">
            <v>2035</v>
          </cell>
          <cell r="B561">
            <v>32.665419480325482</v>
          </cell>
        </row>
        <row r="562">
          <cell r="A562">
            <v>2036</v>
          </cell>
          <cell r="B562">
            <v>32.592967512664842</v>
          </cell>
        </row>
        <row r="563">
          <cell r="A563">
            <v>2037</v>
          </cell>
          <cell r="B563">
            <v>53.736718813368768</v>
          </cell>
        </row>
        <row r="564">
          <cell r="A564">
            <v>2038</v>
          </cell>
          <cell r="B564">
            <v>32.592967512664842</v>
          </cell>
        </row>
        <row r="565">
          <cell r="A565">
            <v>2039</v>
          </cell>
          <cell r="B565">
            <v>34.087797607760457</v>
          </cell>
        </row>
        <row r="566">
          <cell r="A566">
            <v>2040</v>
          </cell>
          <cell r="B566">
            <v>33.125868601086388</v>
          </cell>
        </row>
        <row r="567">
          <cell r="A567">
            <v>2041</v>
          </cell>
          <cell r="B567">
            <v>34.928232694064583</v>
          </cell>
        </row>
        <row r="568">
          <cell r="A568">
            <v>2042</v>
          </cell>
          <cell r="B568">
            <v>32.947493903539723</v>
          </cell>
        </row>
        <row r="569">
          <cell r="A569">
            <v>2043</v>
          </cell>
          <cell r="B569">
            <v>32.698844902385687</v>
          </cell>
        </row>
        <row r="570">
          <cell r="A570">
            <v>2044</v>
          </cell>
          <cell r="B570">
            <v>32.874407144893027</v>
          </cell>
        </row>
        <row r="571">
          <cell r="A571">
            <v>2045</v>
          </cell>
          <cell r="B571">
            <v>54.200734321441402</v>
          </cell>
        </row>
        <row r="572">
          <cell r="A572">
            <v>2046</v>
          </cell>
          <cell r="B572">
            <v>42.233314899045453</v>
          </cell>
        </row>
        <row r="573">
          <cell r="A573">
            <v>2047</v>
          </cell>
          <cell r="B573">
            <v>69.630964606232865</v>
          </cell>
        </row>
        <row r="574">
          <cell r="A574">
            <v>2048</v>
          </cell>
          <cell r="B574">
            <v>44.233056887771212</v>
          </cell>
        </row>
        <row r="575">
          <cell r="A575">
            <v>2049</v>
          </cell>
          <cell r="B575">
            <v>43.647200943626842</v>
          </cell>
        </row>
        <row r="576">
          <cell r="A576">
            <v>2050</v>
          </cell>
          <cell r="B576">
            <v>71.962068602280283</v>
          </cell>
        </row>
        <row r="577">
          <cell r="A577">
            <v>2026</v>
          </cell>
          <cell r="B577">
            <v>31.21360842664188</v>
          </cell>
          <cell r="C577">
            <v>30.838450894679251</v>
          </cell>
          <cell r="D577">
            <v>33.944489218177623</v>
          </cell>
        </row>
        <row r="578">
          <cell r="A578">
            <v>2027</v>
          </cell>
          <cell r="B578">
            <v>30.11538963584756</v>
          </cell>
          <cell r="C578">
            <v>30.340962298845081</v>
          </cell>
          <cell r="D578">
            <v>34.55740194316153</v>
          </cell>
        </row>
        <row r="579">
          <cell r="A579">
            <v>2028</v>
          </cell>
          <cell r="B579">
            <v>29.716645842063048</v>
          </cell>
          <cell r="C579">
            <v>29.568023461739081</v>
          </cell>
          <cell r="D579">
            <v>35.727667348270053</v>
          </cell>
        </row>
        <row r="580">
          <cell r="A580">
            <v>2029</v>
          </cell>
          <cell r="B580">
            <v>30.156175290961741</v>
          </cell>
          <cell r="C580">
            <v>29.126243126003121</v>
          </cell>
          <cell r="D580">
            <v>36.268143888844847</v>
          </cell>
        </row>
        <row r="581">
          <cell r="A581">
            <v>2030</v>
          </cell>
          <cell r="B581">
            <v>29.750412773984358</v>
          </cell>
          <cell r="C581">
            <v>30.02530604823907</v>
          </cell>
          <cell r="D581">
            <v>35.121771067547137</v>
          </cell>
        </row>
        <row r="582">
          <cell r="A582">
            <v>2031</v>
          </cell>
          <cell r="B582">
            <v>30.277773195868551</v>
          </cell>
          <cell r="C582">
            <v>30.702916448871161</v>
          </cell>
          <cell r="D582">
            <v>36.601674336393003</v>
          </cell>
        </row>
        <row r="583">
          <cell r="A583">
            <v>2032</v>
          </cell>
          <cell r="B583">
            <v>49.919608697462692</v>
          </cell>
          <cell r="C583">
            <v>50.620551421782743</v>
          </cell>
          <cell r="D583">
            <v>60.345959021650152</v>
          </cell>
        </row>
        <row r="584">
          <cell r="A584">
            <v>2033</v>
          </cell>
          <cell r="B584">
            <v>30.31260509175771</v>
          </cell>
          <cell r="C584">
            <v>38.472360484817528</v>
          </cell>
          <cell r="D584">
            <v>50.671402626001132</v>
          </cell>
        </row>
        <row r="585">
          <cell r="A585">
            <v>2034</v>
          </cell>
          <cell r="B585">
            <v>30.511753584298699</v>
          </cell>
          <cell r="C585">
            <v>38.510729163518747</v>
          </cell>
          <cell r="D585">
            <v>50.424891341866271</v>
          </cell>
        </row>
        <row r="586">
          <cell r="A586">
            <v>2035</v>
          </cell>
          <cell r="B586">
            <v>50.30537714079415</v>
          </cell>
          <cell r="C586">
            <v>63.493458322065123</v>
          </cell>
          <cell r="D586">
            <v>72.724722211999989</v>
          </cell>
        </row>
        <row r="587">
          <cell r="A587">
            <v>2036</v>
          </cell>
          <cell r="B587">
            <v>35.02727869475185</v>
          </cell>
          <cell r="C587">
            <v>49.225586393034497</v>
          </cell>
          <cell r="D587">
            <v>61.305328753880708</v>
          </cell>
        </row>
        <row r="588">
          <cell r="A588">
            <v>2037</v>
          </cell>
          <cell r="B588">
            <v>36.543916299608263</v>
          </cell>
          <cell r="C588">
            <v>47.659512310776421</v>
          </cell>
          <cell r="D588">
            <v>65.802945067934346</v>
          </cell>
        </row>
        <row r="589">
          <cell r="A589">
            <v>2038</v>
          </cell>
          <cell r="B589">
            <v>35.770917282049027</v>
          </cell>
          <cell r="C589">
            <v>50.61930813402752</v>
          </cell>
          <cell r="D589">
            <v>68.243082225704399</v>
          </cell>
        </row>
        <row r="590">
          <cell r="A590">
            <v>2039</v>
          </cell>
          <cell r="B590">
            <v>58.976272195369049</v>
          </cell>
          <cell r="C590">
            <v>72.724722211999989</v>
          </cell>
          <cell r="D590">
            <v>72.724722211999989</v>
          </cell>
        </row>
        <row r="591">
          <cell r="A591">
            <v>2040</v>
          </cell>
          <cell r="B591">
            <v>35.770917282049027</v>
          </cell>
          <cell r="C591">
            <v>46.528576678478487</v>
          </cell>
          <cell r="D591">
            <v>70.788475863177979</v>
          </cell>
        </row>
        <row r="592">
          <cell r="A592">
            <v>2041</v>
          </cell>
          <cell r="B592">
            <v>36.374070686358017</v>
          </cell>
          <cell r="C592">
            <v>47.250540071537358</v>
          </cell>
          <cell r="D592">
            <v>66.128121849297813</v>
          </cell>
        </row>
        <row r="593">
          <cell r="A593">
            <v>2042</v>
          </cell>
          <cell r="B593">
            <v>59.970704042548483</v>
          </cell>
          <cell r="C593">
            <v>72.724722211999989</v>
          </cell>
          <cell r="D593">
            <v>72.724722211999989</v>
          </cell>
        </row>
        <row r="594">
          <cell r="A594">
            <v>2043</v>
          </cell>
          <cell r="B594">
            <v>42.951849304856928</v>
          </cell>
          <cell r="C594">
            <v>52.214290282253224</v>
          </cell>
          <cell r="D594">
            <v>72.724722211999989</v>
          </cell>
        </row>
        <row r="595">
          <cell r="A595">
            <v>2044</v>
          </cell>
          <cell r="B595">
            <v>70.815627564824126</v>
          </cell>
          <cell r="C595">
            <v>72.724722211999989</v>
          </cell>
          <cell r="D595">
            <v>72.724722211999989</v>
          </cell>
        </row>
        <row r="596">
          <cell r="A596">
            <v>2045</v>
          </cell>
          <cell r="B596">
            <v>42.951849304856928</v>
          </cell>
          <cell r="C596">
            <v>56.261078420551257</v>
          </cell>
          <cell r="D596">
            <v>72.724722211999989</v>
          </cell>
        </row>
        <row r="597">
          <cell r="A597">
            <v>2046</v>
          </cell>
          <cell r="B597">
            <v>42.745247152450617</v>
          </cell>
          <cell r="C597">
            <v>54.658935580179502</v>
          </cell>
          <cell r="D597">
            <v>72.724722211999989</v>
          </cell>
        </row>
        <row r="598">
          <cell r="A598">
            <v>2047</v>
          </cell>
          <cell r="B598">
            <v>43.098712936741947</v>
          </cell>
          <cell r="C598">
            <v>54.481334955478353</v>
          </cell>
          <cell r="D598">
            <v>72.391027754571212</v>
          </cell>
        </row>
        <row r="599">
          <cell r="A599">
            <v>2048</v>
          </cell>
          <cell r="B599">
            <v>42.618184019378667</v>
          </cell>
          <cell r="C599">
            <v>50.599433669204117</v>
          </cell>
          <cell r="D599">
            <v>72.724722211999989</v>
          </cell>
        </row>
        <row r="600">
          <cell r="A600">
            <v>2049</v>
          </cell>
          <cell r="B600">
            <v>43.488025965247857</v>
          </cell>
          <cell r="C600">
            <v>52.909829917891088</v>
          </cell>
          <cell r="D600">
            <v>70.139580946575492</v>
          </cell>
        </row>
        <row r="601">
          <cell r="A601">
            <v>2050</v>
          </cell>
          <cell r="B601">
            <v>42.610756306633682</v>
          </cell>
          <cell r="C601">
            <v>54.79205806774241</v>
          </cell>
          <cell r="D601">
            <v>67.985897959529538</v>
          </cell>
        </row>
        <row r="602">
          <cell r="A602">
            <v>2026</v>
          </cell>
          <cell r="B602">
            <v>31.125445902084731</v>
          </cell>
          <cell r="C602">
            <v>31.212772785389401</v>
          </cell>
          <cell r="D602">
            <v>32.862985131636179</v>
          </cell>
        </row>
        <row r="603">
          <cell r="A603">
            <v>2027</v>
          </cell>
          <cell r="B603">
            <v>51.317184718793229</v>
          </cell>
          <cell r="C603">
            <v>51.461162408801577</v>
          </cell>
          <cell r="D603">
            <v>54.181902605230619</v>
          </cell>
        </row>
        <row r="604">
          <cell r="A604">
            <v>2028</v>
          </cell>
          <cell r="B604">
            <v>31.125445902084731</v>
          </cell>
          <cell r="C604">
            <v>38.376045776617843</v>
          </cell>
          <cell r="D604">
            <v>46.207116051980243</v>
          </cell>
        </row>
        <row r="605">
          <cell r="A605">
            <v>2029</v>
          </cell>
          <cell r="B605">
            <v>32.381966508937133</v>
          </cell>
          <cell r="C605">
            <v>39.617349553180247</v>
          </cell>
          <cell r="D605">
            <v>47.848144643947499</v>
          </cell>
        </row>
        <row r="606">
          <cell r="A606">
            <v>2030</v>
          </cell>
          <cell r="B606">
            <v>31.310497754020201</v>
          </cell>
          <cell r="C606">
            <v>39.859791574563552</v>
          </cell>
          <cell r="D606">
            <v>50.468612818070483</v>
          </cell>
        </row>
        <row r="607">
          <cell r="A607">
            <v>2031</v>
          </cell>
          <cell r="B607">
            <v>32.784890528867606</v>
          </cell>
          <cell r="C607">
            <v>40.663678269012721</v>
          </cell>
          <cell r="D607">
            <v>48.867467284423263</v>
          </cell>
        </row>
        <row r="608">
          <cell r="A608">
            <v>2032</v>
          </cell>
          <cell r="B608">
            <v>33.191938954708959</v>
          </cell>
          <cell r="C608">
            <v>39.410284550934207</v>
          </cell>
          <cell r="D608">
            <v>48.467846672582887</v>
          </cell>
        </row>
        <row r="609">
          <cell r="A609">
            <v>2033</v>
          </cell>
          <cell r="B609">
            <v>54.724255770408838</v>
          </cell>
          <cell r="C609">
            <v>64.976574423469884</v>
          </cell>
          <cell r="D609">
            <v>72.724722211999989</v>
          </cell>
        </row>
        <row r="610">
          <cell r="A610">
            <v>2034</v>
          </cell>
          <cell r="B610">
            <v>33.191938954708959</v>
          </cell>
          <cell r="C610">
            <v>48.040647578798207</v>
          </cell>
          <cell r="D610">
            <v>67.157396202902106</v>
          </cell>
        </row>
        <row r="611">
          <cell r="A611">
            <v>2035</v>
          </cell>
          <cell r="B611">
            <v>33.601932347775957</v>
          </cell>
          <cell r="C611">
            <v>46.414325798432579</v>
          </cell>
          <cell r="D611">
            <v>66.774670311501765</v>
          </cell>
        </row>
        <row r="612">
          <cell r="A612">
            <v>2036</v>
          </cell>
          <cell r="B612">
            <v>33.401965151550449</v>
          </cell>
          <cell r="C612">
            <v>46.239428671024143</v>
          </cell>
          <cell r="D612">
            <v>67.251850525833049</v>
          </cell>
        </row>
        <row r="613">
          <cell r="A613">
            <v>2037</v>
          </cell>
          <cell r="B613">
            <v>32.334265938856291</v>
          </cell>
          <cell r="C613">
            <v>47.676438552757418</v>
          </cell>
          <cell r="D613">
            <v>69.873346580597826</v>
          </cell>
        </row>
        <row r="614">
          <cell r="A614">
            <v>2038</v>
          </cell>
          <cell r="B614">
            <v>53.310192025867018</v>
          </cell>
          <cell r="C614">
            <v>72.724722211999989</v>
          </cell>
          <cell r="D614">
            <v>72.724722211999989</v>
          </cell>
        </row>
        <row r="615">
          <cell r="A615">
            <v>2039</v>
          </cell>
          <cell r="B615">
            <v>41.943175159360948</v>
          </cell>
          <cell r="C615">
            <v>53.474400483135007</v>
          </cell>
          <cell r="D615">
            <v>72.724722211999989</v>
          </cell>
        </row>
        <row r="616">
          <cell r="A616">
            <v>2040</v>
          </cell>
          <cell r="B616">
            <v>69.152605045939652</v>
          </cell>
          <cell r="C616">
            <v>72.724722211999989</v>
          </cell>
          <cell r="D616">
            <v>72.724722211999989</v>
          </cell>
        </row>
        <row r="617">
          <cell r="A617">
            <v>2041</v>
          </cell>
          <cell r="B617">
            <v>44.819062576852581</v>
          </cell>
          <cell r="C617">
            <v>57.097426186082963</v>
          </cell>
          <cell r="D617">
            <v>72.724722211999989</v>
          </cell>
        </row>
        <row r="618">
          <cell r="A618">
            <v>2042</v>
          </cell>
          <cell r="B618">
            <v>42.111583903725922</v>
          </cell>
          <cell r="C618">
            <v>53.44259315740171</v>
          </cell>
          <cell r="D618">
            <v>72.724722211999989</v>
          </cell>
        </row>
        <row r="619">
          <cell r="A619">
            <v>2043</v>
          </cell>
          <cell r="B619">
            <v>42.010383171695338</v>
          </cell>
          <cell r="C619">
            <v>52.54401638434846</v>
          </cell>
          <cell r="D619">
            <v>71.215771679470819</v>
          </cell>
        </row>
        <row r="620">
          <cell r="A620">
            <v>2044</v>
          </cell>
          <cell r="B620">
            <v>42.332148264061743</v>
          </cell>
          <cell r="C620">
            <v>55.032616745928159</v>
          </cell>
          <cell r="D620">
            <v>68.870138219104348</v>
          </cell>
        </row>
        <row r="621">
          <cell r="A621">
            <v>2045</v>
          </cell>
          <cell r="B621">
            <v>40.154638426041657</v>
          </cell>
          <cell r="C621">
            <v>56.16879070851472</v>
          </cell>
          <cell r="D621">
            <v>66.256481990096191</v>
          </cell>
        </row>
        <row r="622">
          <cell r="A622">
            <v>2046</v>
          </cell>
          <cell r="B622">
            <v>42.479574576912881</v>
          </cell>
          <cell r="C622">
            <v>56.382280964138417</v>
          </cell>
          <cell r="D622">
            <v>66.633218245479824</v>
          </cell>
        </row>
        <row r="623">
          <cell r="A623">
            <v>2047</v>
          </cell>
          <cell r="B623">
            <v>40.759398589877073</v>
          </cell>
          <cell r="C623">
            <v>54.095265740508353</v>
          </cell>
          <cell r="D623">
            <v>67.066572402827816</v>
          </cell>
        </row>
        <row r="624">
          <cell r="A624">
            <v>2048</v>
          </cell>
          <cell r="B624">
            <v>41.206905246218341</v>
          </cell>
          <cell r="C624">
            <v>52.907476432012999</v>
          </cell>
          <cell r="D624">
            <v>68.173740513459578</v>
          </cell>
        </row>
        <row r="625">
          <cell r="A625">
            <v>2049</v>
          </cell>
          <cell r="B625">
            <v>67.93870117916488</v>
          </cell>
          <cell r="C625">
            <v>72.724722211999989</v>
          </cell>
          <cell r="D625">
            <v>72.724722211999989</v>
          </cell>
        </row>
        <row r="626">
          <cell r="A626">
            <v>2050</v>
          </cell>
          <cell r="B626">
            <v>44.520747409339947</v>
          </cell>
          <cell r="C626">
            <v>55.601058289517937</v>
          </cell>
          <cell r="D626">
            <v>65.463480313310399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neral price change"/>
    </sheetNames>
    <sheetDataSet>
      <sheetData sheetId="0">
        <row r="12">
          <cell r="B12">
            <v>2021</v>
          </cell>
          <cell r="C12">
            <v>17772.602739726026</v>
          </cell>
        </row>
        <row r="13">
          <cell r="B13">
            <v>2022</v>
          </cell>
          <cell r="C13">
            <v>77390.426999999996</v>
          </cell>
        </row>
        <row r="14">
          <cell r="B14">
            <v>2023</v>
          </cell>
          <cell r="C14">
            <v>30404.863013698632</v>
          </cell>
        </row>
        <row r="15">
          <cell r="B15">
            <v>2024</v>
          </cell>
          <cell r="C15">
            <v>12607.049000000001</v>
          </cell>
        </row>
        <row r="16">
          <cell r="B16">
            <v>2025</v>
          </cell>
          <cell r="C16">
            <v>11168.77</v>
          </cell>
        </row>
        <row r="26">
          <cell r="B26">
            <v>2021</v>
          </cell>
          <cell r="C26">
            <v>2405.1689999999999</v>
          </cell>
        </row>
        <row r="27">
          <cell r="B27">
            <v>2022</v>
          </cell>
          <cell r="C27">
            <v>4306.5519999999997</v>
          </cell>
        </row>
        <row r="28">
          <cell r="B28">
            <v>2023</v>
          </cell>
          <cell r="C28">
            <v>2655.6660000000002</v>
          </cell>
        </row>
        <row r="29">
          <cell r="B29">
            <v>2024</v>
          </cell>
          <cell r="C29">
            <v>2243.0720000000001</v>
          </cell>
        </row>
        <row r="30">
          <cell r="B30">
            <v>2025</v>
          </cell>
          <cell r="C30">
            <v>2022.0460000000003</v>
          </cell>
        </row>
        <row r="39">
          <cell r="B39">
            <v>2021</v>
          </cell>
          <cell r="C39">
            <v>1150.7</v>
          </cell>
        </row>
        <row r="40">
          <cell r="B40">
            <v>2022</v>
          </cell>
          <cell r="C40">
            <v>1668.5150000000001</v>
          </cell>
        </row>
        <row r="41">
          <cell r="B41">
            <v>2023</v>
          </cell>
          <cell r="C41">
            <v>1573.12254688181</v>
          </cell>
        </row>
        <row r="42">
          <cell r="B42">
            <v>2024</v>
          </cell>
          <cell r="C42">
            <v>846.25817706062003</v>
          </cell>
        </row>
        <row r="43">
          <cell r="B43">
            <v>2025</v>
          </cell>
          <cell r="C43">
            <v>685.35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P10</v>
          </cell>
          <cell r="C1" t="str">
            <v>P50</v>
          </cell>
          <cell r="D1" t="str">
            <v>P90</v>
          </cell>
        </row>
        <row r="2">
          <cell r="A2">
            <v>2026</v>
          </cell>
          <cell r="B2">
            <v>720.48864590130813</v>
          </cell>
          <cell r="C2">
            <v>720.48864590130813</v>
          </cell>
          <cell r="D2">
            <v>928.86507755393563</v>
          </cell>
        </row>
        <row r="3">
          <cell r="A3">
            <v>2027</v>
          </cell>
          <cell r="B3">
            <v>433.12038683897123</v>
          </cell>
          <cell r="C3">
            <v>546.3288706151792</v>
          </cell>
          <cell r="D3">
            <v>739.86711873032561</v>
          </cell>
        </row>
        <row r="4">
          <cell r="A4">
            <v>2028</v>
          </cell>
          <cell r="B4">
            <v>444.084881633387</v>
          </cell>
          <cell r="C4">
            <v>560.15925182077751</v>
          </cell>
          <cell r="D4">
            <v>758.59694401304569</v>
          </cell>
        </row>
        <row r="5">
          <cell r="A5">
            <v>2029</v>
          </cell>
          <cell r="B5">
            <v>433.12038683897123</v>
          </cell>
          <cell r="C5">
            <v>574.33975079349443</v>
          </cell>
          <cell r="D5">
            <v>777.80091708019938</v>
          </cell>
        </row>
        <row r="6">
          <cell r="A6">
            <v>2030</v>
          </cell>
          <cell r="B6">
            <v>422.42660638559443</v>
          </cell>
          <cell r="C6">
            <v>588.87923080680218</v>
          </cell>
          <cell r="D6">
            <v>797.49104104009598</v>
          </cell>
        </row>
        <row r="7">
          <cell r="A7">
            <v>2031</v>
          </cell>
          <cell r="B7">
            <v>433.12038683897123</v>
          </cell>
          <cell r="C7">
            <v>603.78677950900931</v>
          </cell>
          <cell r="D7">
            <v>777.80091708019938</v>
          </cell>
        </row>
        <row r="8">
          <cell r="A8">
            <v>2032</v>
          </cell>
          <cell r="B8">
            <v>444.084881633387</v>
          </cell>
          <cell r="C8">
            <v>619.07171460333666</v>
          </cell>
          <cell r="D8">
            <v>797.49104104009598</v>
          </cell>
        </row>
        <row r="9">
          <cell r="A9">
            <v>2033</v>
          </cell>
          <cell r="B9">
            <v>455.32694393501288</v>
          </cell>
          <cell r="C9">
            <v>634.743589671785</v>
          </cell>
          <cell r="D9">
            <v>817.67962286117825</v>
          </cell>
        </row>
        <row r="10">
          <cell r="A10">
            <v>2034</v>
          </cell>
          <cell r="B10">
            <v>466.85360039874757</v>
          </cell>
          <cell r="C10">
            <v>650.81220014643486</v>
          </cell>
          <cell r="D10">
            <v>838.37928106427853</v>
          </cell>
        </row>
        <row r="11">
          <cell r="A11">
            <v>2035</v>
          </cell>
          <cell r="B11">
            <v>478.67205556010549</v>
          </cell>
          <cell r="C11">
            <v>667.28758943191053</v>
          </cell>
          <cell r="D11">
            <v>859.60295360960481</v>
          </cell>
        </row>
        <row r="12">
          <cell r="A12">
            <v>2036</v>
          </cell>
          <cell r="B12">
            <v>490.78969633828569</v>
          </cell>
          <cell r="C12">
            <v>684.18005518283496</v>
          </cell>
          <cell r="D12">
            <v>881.36390598338699</v>
          </cell>
        </row>
        <row r="13">
          <cell r="A13">
            <v>2037</v>
          </cell>
          <cell r="B13">
            <v>503.21409665323722</v>
          </cell>
          <cell r="C13">
            <v>691.29331957176169</v>
          </cell>
          <cell r="D13">
            <v>903.6757394892378</v>
          </cell>
        </row>
        <row r="14">
          <cell r="A14">
            <v>2038</v>
          </cell>
          <cell r="B14">
            <v>498.38006067327677</v>
          </cell>
          <cell r="C14">
            <v>674.22522669730893</v>
          </cell>
          <cell r="D14">
            <v>926.55239974941026</v>
          </cell>
        </row>
        <row r="15">
          <cell r="A15">
            <v>2039</v>
          </cell>
          <cell r="B15">
            <v>510.99661197619298</v>
          </cell>
          <cell r="C15">
            <v>691.29331957176169</v>
          </cell>
          <cell r="D15">
            <v>950.00818542126535</v>
          </cell>
        </row>
        <row r="16">
          <cell r="A16">
            <v>2040</v>
          </cell>
          <cell r="B16">
            <v>523.93255279594507</v>
          </cell>
          <cell r="C16">
            <v>695.79964358682912</v>
          </cell>
          <cell r="D16">
            <v>974.05775713439868</v>
          </cell>
        </row>
        <row r="17">
          <cell r="A17">
            <v>2041</v>
          </cell>
          <cell r="B17">
            <v>510.99661197619292</v>
          </cell>
          <cell r="C17">
            <v>713.41389542508432</v>
          </cell>
          <cell r="D17">
            <v>998.7161466540108</v>
          </cell>
        </row>
        <row r="18">
          <cell r="A18">
            <v>2042</v>
          </cell>
          <cell r="B18">
            <v>523.93255279594507</v>
          </cell>
          <cell r="C18">
            <v>731.47405417157256</v>
          </cell>
          <cell r="D18">
            <v>1023.99876627625</v>
          </cell>
        </row>
        <row r="19">
          <cell r="A19">
            <v>2043</v>
          </cell>
          <cell r="B19">
            <v>537.19596851664608</v>
          </cell>
          <cell r="C19">
            <v>749.99140801341855</v>
          </cell>
          <cell r="D19">
            <v>1049.9214184614</v>
          </cell>
        </row>
        <row r="20">
          <cell r="A20">
            <v>2044</v>
          </cell>
          <cell r="B20">
            <v>550.79514920488225</v>
          </cell>
          <cell r="C20">
            <v>768.97753089956439</v>
          </cell>
          <cell r="D20">
            <v>1023.99876627625</v>
          </cell>
        </row>
        <row r="21">
          <cell r="A21">
            <v>2045</v>
          </cell>
          <cell r="B21">
            <v>564.73859479127464</v>
          </cell>
          <cell r="C21">
            <v>788.44428977486461</v>
          </cell>
          <cell r="D21">
            <v>1049.9214184614</v>
          </cell>
        </row>
        <row r="22">
          <cell r="A22">
            <v>2046</v>
          </cell>
          <cell r="B22">
            <v>579.03502038321233</v>
          </cell>
          <cell r="C22">
            <v>808.40385199731304</v>
          </cell>
          <cell r="D22">
            <v>1076.50030571093</v>
          </cell>
        </row>
        <row r="23">
          <cell r="A23">
            <v>2047</v>
          </cell>
          <cell r="B23">
            <v>564.73859479127464</v>
          </cell>
          <cell r="C23">
            <v>788.44428977486461</v>
          </cell>
          <cell r="D23">
            <v>1083.709265090954</v>
          </cell>
        </row>
        <row r="24">
          <cell r="A24">
            <v>2048</v>
          </cell>
          <cell r="B24">
            <v>579.03502038321233</v>
          </cell>
          <cell r="C24">
            <v>808.40385199731304</v>
          </cell>
          <cell r="D24">
            <v>1111.143495750171</v>
          </cell>
        </row>
        <row r="25">
          <cell r="A25">
            <v>2049</v>
          </cell>
          <cell r="B25">
            <v>593.69336171207851</v>
          </cell>
          <cell r="C25">
            <v>828.86869294303756</v>
          </cell>
          <cell r="D25">
            <v>1139.2722272650219</v>
          </cell>
        </row>
        <row r="26">
          <cell r="A26">
            <v>2050</v>
          </cell>
          <cell r="B26">
            <v>608.72278071837309</v>
          </cell>
          <cell r="C26">
            <v>849.85160380381637</v>
          </cell>
          <cell r="D26">
            <v>1151.489585329175</v>
          </cell>
        </row>
        <row r="602">
          <cell r="A602">
            <v>2026</v>
          </cell>
          <cell r="B602">
            <v>702.69971785141729</v>
          </cell>
          <cell r="C602">
            <v>702.69971785141729</v>
          </cell>
          <cell r="D602">
            <v>702.69971785141729</v>
          </cell>
        </row>
        <row r="603">
          <cell r="A603">
            <v>2027</v>
          </cell>
          <cell r="B603">
            <v>738.72790280878223</v>
          </cell>
          <cell r="C603">
            <v>738.72790280878223</v>
          </cell>
          <cell r="D603">
            <v>862.15846699379745</v>
          </cell>
        </row>
        <row r="604">
          <cell r="A604">
            <v>2028</v>
          </cell>
          <cell r="B604">
            <v>425.84276001902668</v>
          </cell>
          <cell r="C604">
            <v>581.32612480442981</v>
          </cell>
          <cell r="D604">
            <v>738.12112539693078</v>
          </cell>
        </row>
        <row r="605">
          <cell r="A605">
            <v>2029</v>
          </cell>
          <cell r="B605">
            <v>436.62302081336378</v>
          </cell>
          <cell r="C605">
            <v>596.04246571785313</v>
          </cell>
          <cell r="D605">
            <v>756.80675064798118</v>
          </cell>
        </row>
        <row r="606">
          <cell r="A606">
            <v>2030</v>
          </cell>
          <cell r="B606">
            <v>447.6761852089943</v>
          </cell>
          <cell r="C606">
            <v>611.13135257517831</v>
          </cell>
          <cell r="D606">
            <v>775.96540475433619</v>
          </cell>
        </row>
        <row r="607">
          <cell r="A607">
            <v>2031</v>
          </cell>
          <cell r="B607">
            <v>436.62302081336378</v>
          </cell>
          <cell r="C607">
            <v>626.60221642187616</v>
          </cell>
          <cell r="D607">
            <v>767.87720597577299</v>
          </cell>
        </row>
        <row r="608">
          <cell r="A608">
            <v>2032</v>
          </cell>
          <cell r="B608">
            <v>447.6761852089943</v>
          </cell>
          <cell r="C608">
            <v>642.46472705147016</v>
          </cell>
          <cell r="D608">
            <v>787.31610999301142</v>
          </cell>
        </row>
        <row r="609">
          <cell r="A609">
            <v>2033</v>
          </cell>
          <cell r="B609">
            <v>470.62903404609551</v>
          </cell>
          <cell r="C609">
            <v>713.2090194940962</v>
          </cell>
          <cell r="D609">
            <v>1129.0196378566029</v>
          </cell>
        </row>
        <row r="610">
          <cell r="A610">
            <v>2034</v>
          </cell>
          <cell r="B610">
            <v>308.18362030116822</v>
          </cell>
          <cell r="C610">
            <v>475.93584695603778</v>
          </cell>
          <cell r="D610">
            <v>773.7535535777223</v>
          </cell>
        </row>
        <row r="611">
          <cell r="A611">
            <v>2035</v>
          </cell>
          <cell r="B611">
            <v>315.98532579274712</v>
          </cell>
          <cell r="C611">
            <v>487.98422028362609</v>
          </cell>
          <cell r="D611">
            <v>754.64951027149812</v>
          </cell>
        </row>
        <row r="612">
          <cell r="A612">
            <v>2036</v>
          </cell>
          <cell r="B612">
            <v>323.98453239914141</v>
          </cell>
          <cell r="C612">
            <v>500.33759963412552</v>
          </cell>
          <cell r="D612">
            <v>773.7535535777223</v>
          </cell>
        </row>
        <row r="613">
          <cell r="A613">
            <v>2037</v>
          </cell>
          <cell r="B613">
            <v>315.98532579274712</v>
          </cell>
          <cell r="C613">
            <v>513.00370627176687</v>
          </cell>
          <cell r="D613">
            <v>793.34121804274741</v>
          </cell>
        </row>
        <row r="614">
          <cell r="A614">
            <v>2038</v>
          </cell>
          <cell r="B614">
            <v>358.72624950996573</v>
          </cell>
          <cell r="C614">
            <v>539.30596873728416</v>
          </cell>
          <cell r="D614">
            <v>1158.8350272100779</v>
          </cell>
        </row>
        <row r="615">
          <cell r="A615">
            <v>2039</v>
          </cell>
          <cell r="B615">
            <v>284.75348192498149</v>
          </cell>
          <cell r="C615">
            <v>452.14766017325542</v>
          </cell>
          <cell r="D615">
            <v>815.20381944661779</v>
          </cell>
        </row>
        <row r="616">
          <cell r="A616">
            <v>2040</v>
          </cell>
          <cell r="B616">
            <v>299.35310514016572</v>
          </cell>
          <cell r="C616">
            <v>560.93951694329257</v>
          </cell>
          <cell r="D616">
            <v>857.00021303956828</v>
          </cell>
        </row>
        <row r="617">
          <cell r="A617">
            <v>2041</v>
          </cell>
          <cell r="B617">
            <v>194.2598172067722</v>
          </cell>
          <cell r="C617">
            <v>383.18519789574867</v>
          </cell>
          <cell r="D617">
            <v>740.82360891856547</v>
          </cell>
        </row>
        <row r="618">
          <cell r="A618">
            <v>2042</v>
          </cell>
          <cell r="B618">
            <v>199.17752789241521</v>
          </cell>
          <cell r="C618">
            <v>392.88557736365669</v>
          </cell>
          <cell r="D618">
            <v>759.57764786568134</v>
          </cell>
        </row>
        <row r="619">
          <cell r="A619">
            <v>2043</v>
          </cell>
          <cell r="B619">
            <v>204.21973101676949</v>
          </cell>
          <cell r="C619">
            <v>402.83152310692748</v>
          </cell>
          <cell r="D619">
            <v>778.80644756906327</v>
          </cell>
        </row>
        <row r="620">
          <cell r="A620">
            <v>2044</v>
          </cell>
          <cell r="B620">
            <v>205.6074265908274</v>
          </cell>
          <cell r="C620">
            <v>413.0292516654186</v>
          </cell>
          <cell r="D620">
            <v>798.52202665447635</v>
          </cell>
        </row>
        <row r="621">
          <cell r="A621">
            <v>2045</v>
          </cell>
          <cell r="B621">
            <v>209.92372832183051</v>
          </cell>
          <cell r="C621">
            <v>402.83152310692748</v>
          </cell>
          <cell r="D621">
            <v>778.80644756906315</v>
          </cell>
        </row>
        <row r="622">
          <cell r="A622">
            <v>2046</v>
          </cell>
          <cell r="B622">
            <v>215.23797280523499</v>
          </cell>
          <cell r="C622">
            <v>413.0292516654186</v>
          </cell>
          <cell r="D622">
            <v>798.52202665447624</v>
          </cell>
        </row>
        <row r="623">
          <cell r="A623">
            <v>2047</v>
          </cell>
          <cell r="B623">
            <v>220.6867480282333</v>
          </cell>
          <cell r="C623">
            <v>423.48513695144328</v>
          </cell>
          <cell r="D623">
            <v>818.73670800064554</v>
          </cell>
        </row>
        <row r="624">
          <cell r="A624">
            <v>2048</v>
          </cell>
          <cell r="B624">
            <v>226.27345965271229</v>
          </cell>
          <cell r="C624">
            <v>434.2057142336734</v>
          </cell>
          <cell r="D624">
            <v>798.52202665447624</v>
          </cell>
        </row>
        <row r="625">
          <cell r="A625">
            <v>2049</v>
          </cell>
          <cell r="B625">
            <v>237.8747480099029</v>
          </cell>
          <cell r="C625">
            <v>456.46791725516852</v>
          </cell>
          <cell r="D625">
            <v>839.46312644145598</v>
          </cell>
        </row>
        <row r="626">
          <cell r="A626">
            <v>2050</v>
          </cell>
          <cell r="B626">
            <v>134.5232456081271</v>
          </cell>
          <cell r="C626">
            <v>302.53896637889068</v>
          </cell>
          <cell r="D626">
            <v>703.95315415155267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Battery price change"/>
      <sheetName val="interpolation"/>
    </sheetNames>
    <sheetDataSet>
      <sheetData sheetId="0">
        <row r="1">
          <cell r="B1" t="str">
            <v>P10</v>
          </cell>
          <cell r="C1" t="str">
            <v>P50</v>
          </cell>
          <cell r="D1" t="str">
            <v>P90</v>
          </cell>
        </row>
        <row r="2">
          <cell r="A2">
            <v>2026</v>
          </cell>
          <cell r="B2">
            <v>13113.972686119319</v>
          </cell>
          <cell r="C2">
            <v>48338.935581351827</v>
          </cell>
          <cell r="D2">
            <v>111687.7</v>
          </cell>
        </row>
        <row r="3">
          <cell r="A3">
            <v>2027</v>
          </cell>
          <cell r="B3">
            <v>7086.8888038809027</v>
          </cell>
          <cell r="C3">
            <v>26750.060571390051</v>
          </cell>
          <cell r="D3">
            <v>66468.60330757768</v>
          </cell>
        </row>
        <row r="4">
          <cell r="A4">
            <v>2028</v>
          </cell>
          <cell r="B4">
            <v>6911.9128958676583</v>
          </cell>
          <cell r="C4">
            <v>27427.241578790559</v>
          </cell>
          <cell r="D4">
            <v>64827.487644559733</v>
          </cell>
        </row>
        <row r="5">
          <cell r="A5">
            <v>2029</v>
          </cell>
          <cell r="B5">
            <v>7086.8888038809018</v>
          </cell>
          <cell r="C5">
            <v>26750.060571390051</v>
          </cell>
          <cell r="D5">
            <v>66468.60330757768</v>
          </cell>
        </row>
        <row r="6">
          <cell r="A6">
            <v>2030</v>
          </cell>
          <cell r="B6">
            <v>7266.2942480943721</v>
          </cell>
          <cell r="C6">
            <v>27427.241578790559</v>
          </cell>
          <cell r="D6">
            <v>64827.487644559733</v>
          </cell>
        </row>
        <row r="7">
          <cell r="A7">
            <v>2031</v>
          </cell>
          <cell r="B7">
            <v>7086.8888038809009</v>
          </cell>
          <cell r="C7">
            <v>26750.060571390051</v>
          </cell>
          <cell r="D7">
            <v>63226.891271633373</v>
          </cell>
        </row>
        <row r="8">
          <cell r="A8">
            <v>2032</v>
          </cell>
          <cell r="B8">
            <v>6911.9128958676574</v>
          </cell>
          <cell r="C8">
            <v>26089.599222634999</v>
          </cell>
          <cell r="D8">
            <v>64827.487644559733</v>
          </cell>
        </row>
        <row r="9">
          <cell r="A9">
            <v>2033</v>
          </cell>
          <cell r="B9">
            <v>6741.2571584161806</v>
          </cell>
          <cell r="C9">
            <v>25445.444722682591</v>
          </cell>
          <cell r="D9">
            <v>66468.60330757768</v>
          </cell>
        </row>
        <row r="10">
          <cell r="A10">
            <v>2034</v>
          </cell>
          <cell r="B10">
            <v>6574.8149261352537</v>
          </cell>
          <cell r="C10">
            <v>26089.599222634999</v>
          </cell>
          <cell r="D10">
            <v>64827.487644559733</v>
          </cell>
        </row>
        <row r="11">
          <cell r="A11">
            <v>2035</v>
          </cell>
          <cell r="B11">
            <v>6741.2571584161806</v>
          </cell>
          <cell r="C11">
            <v>26750.06057139004</v>
          </cell>
          <cell r="D11">
            <v>63226.891271633373</v>
          </cell>
        </row>
        <row r="12">
          <cell r="A12">
            <v>2036</v>
          </cell>
          <cell r="B12">
            <v>6911.9128958676556</v>
          </cell>
          <cell r="C12">
            <v>26089.599222634992</v>
          </cell>
          <cell r="D12">
            <v>61665.813763961691</v>
          </cell>
        </row>
        <row r="13">
          <cell r="A13">
            <v>2037</v>
          </cell>
          <cell r="B13">
            <v>6741.2571584161806</v>
          </cell>
          <cell r="C13">
            <v>25445.444722682591</v>
          </cell>
          <cell r="D13">
            <v>60143.27939728502</v>
          </cell>
        </row>
        <row r="14">
          <cell r="A14">
            <v>2038</v>
          </cell>
          <cell r="B14">
            <v>6574.8149261352528</v>
          </cell>
          <cell r="C14">
            <v>24817.194454001361</v>
          </cell>
          <cell r="D14">
            <v>61665.813763961691</v>
          </cell>
        </row>
        <row r="15">
          <cell r="A15">
            <v>2039</v>
          </cell>
          <cell r="B15">
            <v>6741.2571584161806</v>
          </cell>
          <cell r="C15">
            <v>25445.444722682591</v>
          </cell>
          <cell r="D15">
            <v>63226.891271633373</v>
          </cell>
        </row>
        <row r="16">
          <cell r="A16">
            <v>2040</v>
          </cell>
          <cell r="B16">
            <v>6911.9128958676547</v>
          </cell>
          <cell r="C16">
            <v>24817.194454001361</v>
          </cell>
          <cell r="D16">
            <v>61665.813763961691</v>
          </cell>
        </row>
        <row r="17">
          <cell r="A17">
            <v>2041</v>
          </cell>
          <cell r="B17">
            <v>6741.2571584161797</v>
          </cell>
          <cell r="C17">
            <v>24204.455739722089</v>
          </cell>
          <cell r="D17">
            <v>63226.891271633373</v>
          </cell>
        </row>
        <row r="18">
          <cell r="A18">
            <v>2042</v>
          </cell>
          <cell r="B18">
            <v>6574.8149261352519</v>
          </cell>
          <cell r="C18">
            <v>23606.84559820202</v>
          </cell>
          <cell r="D18">
            <v>61665.813763961691</v>
          </cell>
        </row>
        <row r="19">
          <cell r="A19">
            <v>2043</v>
          </cell>
          <cell r="B19">
            <v>6412.4821672115404</v>
          </cell>
          <cell r="C19">
            <v>24204.455739722089</v>
          </cell>
          <cell r="D19">
            <v>63226.891271633373</v>
          </cell>
        </row>
        <row r="20">
          <cell r="A20">
            <v>2044</v>
          </cell>
          <cell r="B20">
            <v>6574.814926135251</v>
          </cell>
          <cell r="C20">
            <v>23606.84559820202</v>
          </cell>
          <cell r="D20">
            <v>61665.813763961691</v>
          </cell>
        </row>
        <row r="21">
          <cell r="A21">
            <v>2045</v>
          </cell>
          <cell r="B21">
            <v>6630.7550868669086</v>
          </cell>
          <cell r="C21">
            <v>23023.990503648849</v>
          </cell>
          <cell r="D21">
            <v>63226.891271633373</v>
          </cell>
        </row>
        <row r="22">
          <cell r="A22">
            <v>2046</v>
          </cell>
          <cell r="B22">
            <v>6798.6134510589154</v>
          </cell>
          <cell r="C22">
            <v>22455.526152654918</v>
          </cell>
          <cell r="D22">
            <v>61665.813763961691</v>
          </cell>
        </row>
        <row r="23">
          <cell r="A23">
            <v>2047</v>
          </cell>
          <cell r="B23">
            <v>6630.7550868669086</v>
          </cell>
          <cell r="C23">
            <v>23023.990503648849</v>
          </cell>
          <cell r="D23">
            <v>60143.27939728502</v>
          </cell>
        </row>
        <row r="24">
          <cell r="A24">
            <v>2048</v>
          </cell>
          <cell r="B24">
            <v>6467.0411604535839</v>
          </cell>
          <cell r="C24">
            <v>23606.84559820202</v>
          </cell>
          <cell r="D24">
            <v>58658.336538061492</v>
          </cell>
        </row>
        <row r="25">
          <cell r="A25">
            <v>2049</v>
          </cell>
          <cell r="B25">
            <v>6630.7550868669086</v>
          </cell>
          <cell r="C25">
            <v>24204.455739722089</v>
          </cell>
          <cell r="D25">
            <v>60143.27939728502</v>
          </cell>
        </row>
        <row r="26">
          <cell r="A26">
            <v>2050</v>
          </cell>
          <cell r="B26">
            <v>6798.6134510589154</v>
          </cell>
          <cell r="C26">
            <v>23606.84559820202</v>
          </cell>
          <cell r="D26">
            <v>58658.336538061492</v>
          </cell>
        </row>
        <row r="27">
          <cell r="A27">
            <v>2026</v>
          </cell>
          <cell r="B27">
            <v>10893.012086164679</v>
          </cell>
          <cell r="C27">
            <v>10893.012086164679</v>
          </cell>
          <cell r="D27">
            <v>11451.508758659629</v>
          </cell>
        </row>
        <row r="28">
          <cell r="A28">
            <v>2027</v>
          </cell>
          <cell r="B28">
            <v>10624.06265948084</v>
          </cell>
          <cell r="C28">
            <v>10624.06265948084</v>
          </cell>
          <cell r="D28">
            <v>11168.77</v>
          </cell>
        </row>
        <row r="29">
          <cell r="A29">
            <v>2028</v>
          </cell>
          <cell r="B29">
            <v>10361.753617801751</v>
          </cell>
          <cell r="C29">
            <v>10893.012086164679</v>
          </cell>
          <cell r="D29">
            <v>11451.508758659629</v>
          </cell>
        </row>
        <row r="30">
          <cell r="A30">
            <v>2029</v>
          </cell>
          <cell r="B30">
            <v>10624.06265948084</v>
          </cell>
          <cell r="C30">
            <v>11168.77</v>
          </cell>
          <cell r="D30">
            <v>11168.77</v>
          </cell>
        </row>
        <row r="31">
          <cell r="A31">
            <v>2030</v>
          </cell>
          <cell r="B31">
            <v>10361.753617801751</v>
          </cell>
          <cell r="C31">
            <v>10893.012086164679</v>
          </cell>
          <cell r="D31">
            <v>10893.012086164679</v>
          </cell>
        </row>
        <row r="32">
          <cell r="A32">
            <v>2031</v>
          </cell>
          <cell r="B32">
            <v>13897.807924808771</v>
          </cell>
          <cell r="C32">
            <v>49510.158776292548</v>
          </cell>
          <cell r="D32">
            <v>111687.7</v>
          </cell>
        </row>
        <row r="33">
          <cell r="A33">
            <v>2032</v>
          </cell>
          <cell r="B33">
            <v>7748.5603039309262</v>
          </cell>
          <cell r="C33">
            <v>24500.290179560539</v>
          </cell>
          <cell r="D33">
            <v>69437.40626738251</v>
          </cell>
        </row>
        <row r="34">
          <cell r="A34">
            <v>2033</v>
          </cell>
          <cell r="B34">
            <v>7557.247668373102</v>
          </cell>
          <cell r="C34">
            <v>25120.517978339591</v>
          </cell>
          <cell r="D34">
            <v>67722.990598116434</v>
          </cell>
        </row>
        <row r="35">
          <cell r="A35">
            <v>2034</v>
          </cell>
          <cell r="B35">
            <v>7370.6585586172914</v>
          </cell>
          <cell r="C35">
            <v>25756.446918597339</v>
          </cell>
          <cell r="D35">
            <v>66050.904002544543</v>
          </cell>
        </row>
        <row r="36">
          <cell r="A36">
            <v>2035</v>
          </cell>
          <cell r="B36">
            <v>7557.2476683731011</v>
          </cell>
          <cell r="C36">
            <v>26408.47447662269</v>
          </cell>
          <cell r="D36">
            <v>64420.101372113561</v>
          </cell>
        </row>
        <row r="37">
          <cell r="A37">
            <v>2036</v>
          </cell>
          <cell r="B37">
            <v>7370.6585586172914</v>
          </cell>
          <cell r="C37">
            <v>25756.446918597339</v>
          </cell>
          <cell r="D37">
            <v>64066.312277951329</v>
          </cell>
        </row>
        <row r="38">
          <cell r="A38">
            <v>2037</v>
          </cell>
          <cell r="B38">
            <v>7188.6763503959073</v>
          </cell>
          <cell r="C38">
            <v>25120.517978339591</v>
          </cell>
          <cell r="D38">
            <v>65688.15869482336</v>
          </cell>
        </row>
        <row r="39">
          <cell r="A39">
            <v>2038</v>
          </cell>
          <cell r="B39">
            <v>7011.1872989047879</v>
          </cell>
          <cell r="C39">
            <v>25756.446918597339</v>
          </cell>
          <cell r="D39">
            <v>67351.062349210624</v>
          </cell>
        </row>
        <row r="40">
          <cell r="A40">
            <v>2039</v>
          </cell>
          <cell r="B40">
            <v>6838.0804677089918</v>
          </cell>
          <cell r="C40">
            <v>26408.47447662269</v>
          </cell>
          <cell r="D40">
            <v>65688.15869482336</v>
          </cell>
        </row>
        <row r="41">
          <cell r="A41">
            <v>2040</v>
          </cell>
          <cell r="B41">
            <v>7011.1872989047879</v>
          </cell>
          <cell r="C41">
            <v>25756.446918597339</v>
          </cell>
          <cell r="D41">
            <v>67351.062349210624</v>
          </cell>
        </row>
        <row r="42">
          <cell r="A42">
            <v>2041</v>
          </cell>
          <cell r="B42">
            <v>7120.317632648992</v>
          </cell>
          <cell r="C42">
            <v>26408.47447662269</v>
          </cell>
          <cell r="D42">
            <v>65688.15869482336</v>
          </cell>
        </row>
        <row r="43">
          <cell r="A43">
            <v>2042</v>
          </cell>
          <cell r="B43">
            <v>7300.5693316917168</v>
          </cell>
          <cell r="C43">
            <v>25756.446918597339</v>
          </cell>
          <cell r="D43">
            <v>67351.062349210624</v>
          </cell>
        </row>
        <row r="44">
          <cell r="A44">
            <v>2043</v>
          </cell>
          <cell r="B44">
            <v>7485.3841242204417</v>
          </cell>
          <cell r="C44">
            <v>26408.47447662269</v>
          </cell>
          <cell r="D44">
            <v>69056.062610029214</v>
          </cell>
        </row>
        <row r="45">
          <cell r="A45">
            <v>2044</v>
          </cell>
          <cell r="B45">
            <v>7300.5693316917168</v>
          </cell>
          <cell r="C45">
            <v>25756.446918597339</v>
          </cell>
          <cell r="D45">
            <v>67351.062349210624</v>
          </cell>
        </row>
        <row r="46">
          <cell r="A46">
            <v>2045</v>
          </cell>
          <cell r="B46">
            <v>7120.3176326489911</v>
          </cell>
          <cell r="C46">
            <v>25120.517978339591</v>
          </cell>
          <cell r="D46">
            <v>65688.15869482336</v>
          </cell>
        </row>
        <row r="47">
          <cell r="A47">
            <v>2046</v>
          </cell>
          <cell r="B47">
            <v>6944.5163639126731</v>
          </cell>
          <cell r="C47">
            <v>25756.446918597339</v>
          </cell>
          <cell r="D47">
            <v>67351.062349210624</v>
          </cell>
        </row>
        <row r="48">
          <cell r="A48">
            <v>2047</v>
          </cell>
          <cell r="B48">
            <v>7120.3176326489911</v>
          </cell>
          <cell r="C48">
            <v>26408.47447662269</v>
          </cell>
          <cell r="D48">
            <v>66262.656701384636</v>
          </cell>
        </row>
        <row r="49">
          <cell r="A49">
            <v>2048</v>
          </cell>
          <cell r="B49">
            <v>6944.5163639126731</v>
          </cell>
          <cell r="C49">
            <v>25756.446918597339</v>
          </cell>
          <cell r="D49">
            <v>64626.625878191051</v>
          </cell>
        </row>
        <row r="50">
          <cell r="A50">
            <v>2049</v>
          </cell>
          <cell r="B50">
            <v>6773.0556439669854</v>
          </cell>
          <cell r="C50">
            <v>25120.517978339591</v>
          </cell>
          <cell r="D50">
            <v>66262.656701384636</v>
          </cell>
        </row>
        <row r="51">
          <cell r="A51">
            <v>2050</v>
          </cell>
          <cell r="B51">
            <v>6836.0335706670439</v>
          </cell>
          <cell r="C51">
            <v>24500.290179560539</v>
          </cell>
          <cell r="D51">
            <v>64626.625878191051</v>
          </cell>
        </row>
        <row r="602">
          <cell r="A602">
            <v>2026</v>
          </cell>
          <cell r="B602">
            <v>10893.012086164679</v>
          </cell>
          <cell r="C602">
            <v>11451.508758659629</v>
          </cell>
          <cell r="D602">
            <v>10893.012086164679</v>
          </cell>
        </row>
        <row r="603">
          <cell r="A603">
            <v>2027</v>
          </cell>
          <cell r="B603">
            <v>19879.092097637498</v>
          </cell>
          <cell r="C603">
            <v>33171.279845831079</v>
          </cell>
          <cell r="D603">
            <v>111687.7</v>
          </cell>
        </row>
        <row r="604">
          <cell r="A604">
            <v>2028</v>
          </cell>
          <cell r="B604">
            <v>8417.3186149721041</v>
          </cell>
          <cell r="C604">
            <v>32514.444496770731</v>
          </cell>
          <cell r="D604">
            <v>47722.540593365549</v>
          </cell>
        </row>
        <row r="605">
          <cell r="A605">
            <v>2029</v>
          </cell>
          <cell r="B605">
            <v>8209.4942778828899</v>
          </cell>
          <cell r="C605">
            <v>31711.660001795561</v>
          </cell>
          <cell r="D605">
            <v>46544.266867883889</v>
          </cell>
        </row>
        <row r="606">
          <cell r="A606">
            <v>2030</v>
          </cell>
          <cell r="B606">
            <v>8006.8011419590612</v>
          </cell>
          <cell r="C606">
            <v>30928.696326623631</v>
          </cell>
          <cell r="D606">
            <v>45395.084824339072</v>
          </cell>
        </row>
        <row r="607">
          <cell r="A607">
            <v>2031</v>
          </cell>
          <cell r="B607">
            <v>8209.4942778828899</v>
          </cell>
          <cell r="C607">
            <v>31711.660001795561</v>
          </cell>
          <cell r="D607">
            <v>46544.266867883889</v>
          </cell>
        </row>
        <row r="608">
          <cell r="A608">
            <v>2032</v>
          </cell>
          <cell r="B608">
            <v>8006.8011419590612</v>
          </cell>
          <cell r="C608">
            <v>32514.444496770731</v>
          </cell>
          <cell r="D608">
            <v>45395.084824339072</v>
          </cell>
        </row>
        <row r="609">
          <cell r="A609">
            <v>2033</v>
          </cell>
          <cell r="B609">
            <v>13990.504839856831</v>
          </cell>
          <cell r="C609">
            <v>111687.7</v>
          </cell>
          <cell r="D609">
            <v>111687.7</v>
          </cell>
        </row>
        <row r="610">
          <cell r="A610">
            <v>2034</v>
          </cell>
          <cell r="B610">
            <v>13713.474282919409</v>
          </cell>
          <cell r="C610">
            <v>46775.699896769504</v>
          </cell>
          <cell r="D610">
            <v>80975.28385620167</v>
          </cell>
        </row>
        <row r="611">
          <cell r="A611">
            <v>2035</v>
          </cell>
          <cell r="B611">
            <v>14060.63253720017</v>
          </cell>
          <cell r="C611">
            <v>45620.803751381951</v>
          </cell>
          <cell r="D611">
            <v>83025.182926521258</v>
          </cell>
        </row>
        <row r="612">
          <cell r="A612">
            <v>2036</v>
          </cell>
          <cell r="B612">
            <v>14416.579144529091</v>
          </cell>
          <cell r="C612">
            <v>45370.258618878623</v>
          </cell>
          <cell r="D612">
            <v>80975.28385620167</v>
          </cell>
        </row>
        <row r="613">
          <cell r="A613">
            <v>2037</v>
          </cell>
          <cell r="B613">
            <v>14060.632537200159</v>
          </cell>
          <cell r="C613">
            <v>46518.812184040027</v>
          </cell>
          <cell r="D613">
            <v>83025.182926521258</v>
          </cell>
        </row>
        <row r="614">
          <cell r="A614">
            <v>2038</v>
          </cell>
          <cell r="B614">
            <v>34257.991357414867</v>
          </cell>
          <cell r="C614">
            <v>111687.7</v>
          </cell>
          <cell r="D614">
            <v>111687.7</v>
          </cell>
        </row>
        <row r="615">
          <cell r="A615">
            <v>2039</v>
          </cell>
          <cell r="B615">
            <v>14397.988182075331</v>
          </cell>
          <cell r="C615">
            <v>47016.974344156377</v>
          </cell>
          <cell r="D615">
            <v>77281.041423443588</v>
          </cell>
        </row>
        <row r="616">
          <cell r="A616">
            <v>2040</v>
          </cell>
          <cell r="B616">
            <v>25947.551238961561</v>
          </cell>
          <cell r="C616">
            <v>111687.7</v>
          </cell>
          <cell r="D616">
            <v>111687.7</v>
          </cell>
        </row>
        <row r="617">
          <cell r="A617">
            <v>2041</v>
          </cell>
          <cell r="B617">
            <v>19582.35299200907</v>
          </cell>
          <cell r="C617">
            <v>45918.257956429166</v>
          </cell>
          <cell r="D617">
            <v>90688.850360673474</v>
          </cell>
        </row>
        <row r="618">
          <cell r="A618">
            <v>2042</v>
          </cell>
          <cell r="B618">
            <v>20078.08261815369</v>
          </cell>
          <cell r="C618">
            <v>47080.684190867993</v>
          </cell>
          <cell r="D618">
            <v>92984.649537775811</v>
          </cell>
        </row>
        <row r="619">
          <cell r="A619">
            <v>2043</v>
          </cell>
          <cell r="B619">
            <v>20586.361699531692</v>
          </cell>
          <cell r="C619">
            <v>48272.537385532392</v>
          </cell>
          <cell r="D619">
            <v>90688.850360673459</v>
          </cell>
        </row>
        <row r="620">
          <cell r="A620">
            <v>2044</v>
          </cell>
          <cell r="B620">
            <v>20078.08261815369</v>
          </cell>
          <cell r="C620">
            <v>47080.684190867993</v>
          </cell>
          <cell r="D620">
            <v>88449.734667219047</v>
          </cell>
        </row>
        <row r="621">
          <cell r="A621">
            <v>2045</v>
          </cell>
          <cell r="B621">
            <v>20586.361699531692</v>
          </cell>
          <cell r="C621">
            <v>45918.257956429166</v>
          </cell>
          <cell r="D621">
            <v>86265.902937214763</v>
          </cell>
        </row>
        <row r="622">
          <cell r="A622">
            <v>2046</v>
          </cell>
          <cell r="B622">
            <v>20078.08261815369</v>
          </cell>
          <cell r="C622">
            <v>47080.684190867993</v>
          </cell>
          <cell r="D622">
            <v>88449.734667219032</v>
          </cell>
        </row>
        <row r="623">
          <cell r="A623">
            <v>2047</v>
          </cell>
          <cell r="B623">
            <v>20586.361699531692</v>
          </cell>
          <cell r="C623">
            <v>46319.851610215257</v>
          </cell>
          <cell r="D623">
            <v>90688.85036067343</v>
          </cell>
        </row>
        <row r="624">
          <cell r="A624">
            <v>2048</v>
          </cell>
          <cell r="B624">
            <v>20078.08261815369</v>
          </cell>
          <cell r="C624">
            <v>45176.210399124473</v>
          </cell>
          <cell r="D624">
            <v>92984.649537775767</v>
          </cell>
        </row>
        <row r="625">
          <cell r="A625">
            <v>2049</v>
          </cell>
          <cell r="B625">
            <v>35226.237815718952</v>
          </cell>
          <cell r="C625">
            <v>111687.7</v>
          </cell>
          <cell r="D625">
            <v>111687.7</v>
          </cell>
        </row>
        <row r="626">
          <cell r="A626">
            <v>2050</v>
          </cell>
          <cell r="B626">
            <v>34528.711572555971</v>
          </cell>
          <cell r="C626">
            <v>44750.583035572687</v>
          </cell>
          <cell r="D626">
            <v>70916.776677988921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P10</v>
          </cell>
          <cell r="C1" t="str">
            <v>P50</v>
          </cell>
          <cell r="D1" t="str">
            <v>P90</v>
          </cell>
        </row>
        <row r="2">
          <cell r="A2">
            <v>2026</v>
          </cell>
          <cell r="B2">
            <v>2125.718515342754</v>
          </cell>
          <cell r="C2">
            <v>3400.1990139697491</v>
          </cell>
          <cell r="D2">
            <v>6155.4785628832924</v>
          </cell>
        </row>
        <row r="3">
          <cell r="A3">
            <v>2027</v>
          </cell>
          <cell r="B3">
            <v>1730.9740419591451</v>
          </cell>
          <cell r="C3">
            <v>2650.6259286801719</v>
          </cell>
          <cell r="D3">
            <v>4845.3595407422763</v>
          </cell>
        </row>
        <row r="4">
          <cell r="A4">
            <v>2028</v>
          </cell>
          <cell r="B4">
            <v>1688.2361405865011</v>
          </cell>
          <cell r="C4">
            <v>2717.726843529887</v>
          </cell>
          <cell r="D4">
            <v>4725.7271874269918</v>
          </cell>
        </row>
        <row r="5">
          <cell r="A5">
            <v>2029</v>
          </cell>
          <cell r="B5">
            <v>1646.553441758472</v>
          </cell>
          <cell r="C5">
            <v>2650.6259286801719</v>
          </cell>
          <cell r="D5">
            <v>4609.0485674393194</v>
          </cell>
        </row>
        <row r="6">
          <cell r="A6">
            <v>2030</v>
          </cell>
          <cell r="B6">
            <v>1688.2361405865011</v>
          </cell>
          <cell r="C6">
            <v>2717.726843529887</v>
          </cell>
          <cell r="D6">
            <v>4495.2507528435553</v>
          </cell>
        </row>
        <row r="7">
          <cell r="A7">
            <v>2031</v>
          </cell>
          <cell r="B7">
            <v>1646.553441758472</v>
          </cell>
          <cell r="C7">
            <v>2650.6259286801719</v>
          </cell>
          <cell r="D7">
            <v>4609.0485674393194</v>
          </cell>
        </row>
        <row r="8">
          <cell r="A8">
            <v>2032</v>
          </cell>
          <cell r="B8">
            <v>1688.2361405865011</v>
          </cell>
          <cell r="C8">
            <v>2717.726843529887</v>
          </cell>
          <cell r="D8">
            <v>4725.7271874269918</v>
          </cell>
        </row>
        <row r="9">
          <cell r="A9">
            <v>2033</v>
          </cell>
          <cell r="B9">
            <v>1646.553441758472</v>
          </cell>
          <cell r="C9">
            <v>2650.6259286801719</v>
          </cell>
          <cell r="D9">
            <v>4609.0485674393194</v>
          </cell>
        </row>
        <row r="10">
          <cell r="A10">
            <v>2034</v>
          </cell>
          <cell r="B10">
            <v>1605.8998924314039</v>
          </cell>
          <cell r="C10">
            <v>2717.726843529887</v>
          </cell>
          <cell r="D10">
            <v>4495.2507528435553</v>
          </cell>
        </row>
        <row r="11">
          <cell r="A11">
            <v>2035</v>
          </cell>
          <cell r="B11">
            <v>1566.250082813581</v>
          </cell>
          <cell r="C11">
            <v>2650.6259286801719</v>
          </cell>
          <cell r="D11">
            <v>4609.0485674393194</v>
          </cell>
        </row>
        <row r="12">
          <cell r="A12">
            <v>2036</v>
          </cell>
          <cell r="B12">
            <v>1605.8998924314039</v>
          </cell>
          <cell r="C12">
            <v>2717.726843529887</v>
          </cell>
          <cell r="D12">
            <v>4725.7271874269918</v>
          </cell>
        </row>
        <row r="13">
          <cell r="A13">
            <v>2037</v>
          </cell>
          <cell r="B13">
            <v>1646.553441758472</v>
          </cell>
          <cell r="C13">
            <v>2650.6259286801719</v>
          </cell>
          <cell r="D13">
            <v>4845.3595407422763</v>
          </cell>
        </row>
        <row r="14">
          <cell r="A14">
            <v>2038</v>
          </cell>
          <cell r="B14">
            <v>1605.8998924314039</v>
          </cell>
          <cell r="C14">
            <v>2717.726843529887</v>
          </cell>
          <cell r="D14">
            <v>4725.7271874269918</v>
          </cell>
        </row>
        <row r="15">
          <cell r="A15">
            <v>2039</v>
          </cell>
          <cell r="B15">
            <v>1646.553441758472</v>
          </cell>
          <cell r="C15">
            <v>2650.6259286801719</v>
          </cell>
          <cell r="D15">
            <v>4609.0485674393194</v>
          </cell>
        </row>
        <row r="16">
          <cell r="A16">
            <v>2040</v>
          </cell>
          <cell r="B16">
            <v>1605.8998924314039</v>
          </cell>
          <cell r="C16">
            <v>2717.726843529887</v>
          </cell>
          <cell r="D16">
            <v>4495.2507528435553</v>
          </cell>
        </row>
        <row r="17">
          <cell r="A17">
            <v>2041</v>
          </cell>
          <cell r="B17">
            <v>1646.553441758472</v>
          </cell>
          <cell r="C17">
            <v>2786.5264261263219</v>
          </cell>
          <cell r="D17">
            <v>4609.0485674393194</v>
          </cell>
        </row>
        <row r="18">
          <cell r="A18">
            <v>2042</v>
          </cell>
          <cell r="B18">
            <v>1605.8998924314039</v>
          </cell>
          <cell r="C18">
            <v>2717.726843529887</v>
          </cell>
          <cell r="D18">
            <v>4495.2507528435553</v>
          </cell>
        </row>
        <row r="19">
          <cell r="A19">
            <v>2043</v>
          </cell>
          <cell r="B19">
            <v>1646.553441758472</v>
          </cell>
          <cell r="C19">
            <v>2650.6259286801719</v>
          </cell>
          <cell r="D19">
            <v>4406.5286234598852</v>
          </cell>
        </row>
        <row r="20">
          <cell r="A20">
            <v>2044</v>
          </cell>
          <cell r="B20">
            <v>1605.8998924314039</v>
          </cell>
          <cell r="C20">
            <v>2717.726843529887</v>
          </cell>
          <cell r="D20">
            <v>4297.7310440969904</v>
          </cell>
        </row>
        <row r="21">
          <cell r="A21">
            <v>2045</v>
          </cell>
          <cell r="B21">
            <v>1566.250082813581</v>
          </cell>
          <cell r="C21">
            <v>2650.6259286801719</v>
          </cell>
          <cell r="D21">
            <v>4406.5286234598852</v>
          </cell>
        </row>
        <row r="22">
          <cell r="A22">
            <v>2046</v>
          </cell>
          <cell r="B22">
            <v>1527.579230483283</v>
          </cell>
          <cell r="C22">
            <v>2585.181741321077</v>
          </cell>
          <cell r="D22">
            <v>4518.0804266571176</v>
          </cell>
        </row>
        <row r="23">
          <cell r="A23">
            <v>2047</v>
          </cell>
          <cell r="B23">
            <v>1566.250082813581</v>
          </cell>
          <cell r="C23">
            <v>2521.3533767051108</v>
          </cell>
          <cell r="D23">
            <v>4632.4561771970057</v>
          </cell>
        </row>
        <row r="24">
          <cell r="A24">
            <v>2048</v>
          </cell>
          <cell r="B24">
            <v>1605.8998924314039</v>
          </cell>
          <cell r="C24">
            <v>2585.181741321077</v>
          </cell>
          <cell r="D24">
            <v>4749.7273636468826</v>
          </cell>
        </row>
        <row r="25">
          <cell r="A25">
            <v>2049</v>
          </cell>
          <cell r="B25">
            <v>1646.553441758472</v>
          </cell>
          <cell r="C25">
            <v>2650.6259286801719</v>
          </cell>
          <cell r="D25">
            <v>4869.9672843157814</v>
          </cell>
        </row>
        <row r="26">
          <cell r="A26">
            <v>2050</v>
          </cell>
          <cell r="B26">
            <v>1605.8998924314039</v>
          </cell>
          <cell r="C26">
            <v>2586.7239949395348</v>
          </cell>
          <cell r="D26">
            <v>4749.7273636468826</v>
          </cell>
        </row>
        <row r="602">
          <cell r="A602">
            <v>2026</v>
          </cell>
          <cell r="B602">
            <v>1972.121506377242</v>
          </cell>
          <cell r="C602">
            <v>2073.234338195939</v>
          </cell>
          <cell r="D602">
            <v>2066.852311324873</v>
          </cell>
        </row>
        <row r="603">
          <cell r="A603">
            <v>2027</v>
          </cell>
          <cell r="B603">
            <v>2813.3751943339539</v>
          </cell>
          <cell r="C603">
            <v>3210.7043434473831</v>
          </cell>
          <cell r="D603">
            <v>4536.2661442048602</v>
          </cell>
        </row>
        <row r="604">
          <cell r="A604">
            <v>2028</v>
          </cell>
          <cell r="B604">
            <v>2045.7318256171279</v>
          </cell>
          <cell r="C604">
            <v>2380.205940197849</v>
          </cell>
          <cell r="D604">
            <v>4037.4360194294782</v>
          </cell>
        </row>
        <row r="605">
          <cell r="A605">
            <v>2029</v>
          </cell>
          <cell r="B605">
            <v>2097.5197733432851</v>
          </cell>
          <cell r="C605">
            <v>2321.4384461436789</v>
          </cell>
          <cell r="D605">
            <v>4139.6441988710058</v>
          </cell>
        </row>
        <row r="606">
          <cell r="A606">
            <v>2030</v>
          </cell>
          <cell r="B606">
            <v>2045.731825617127</v>
          </cell>
          <cell r="C606">
            <v>2264.121926687581</v>
          </cell>
          <cell r="D606">
            <v>4037.4360194294782</v>
          </cell>
        </row>
        <row r="607">
          <cell r="A607">
            <v>2031</v>
          </cell>
          <cell r="B607">
            <v>1995.2225268762011</v>
          </cell>
          <cell r="C607">
            <v>2208.2205571390841</v>
          </cell>
          <cell r="D607">
            <v>4139.6441988710058</v>
          </cell>
        </row>
        <row r="608">
          <cell r="A608">
            <v>2032</v>
          </cell>
          <cell r="B608">
            <v>1945.9603071645749</v>
          </cell>
          <cell r="C608">
            <v>2264.121926687581</v>
          </cell>
          <cell r="D608">
            <v>4037.4360194294782</v>
          </cell>
        </row>
        <row r="609">
          <cell r="A609">
            <v>2033</v>
          </cell>
          <cell r="B609">
            <v>2765.5148680972561</v>
          </cell>
          <cell r="C609">
            <v>5654.1966952084713</v>
          </cell>
          <cell r="D609">
            <v>10829.74513868511</v>
          </cell>
        </row>
        <row r="610">
          <cell r="A610">
            <v>2034</v>
          </cell>
          <cell r="B610">
            <v>2466.7103972775099</v>
          </cell>
          <cell r="C610">
            <v>3771.796234388522</v>
          </cell>
          <cell r="D610">
            <v>7171.0829238242804</v>
          </cell>
        </row>
        <row r="611">
          <cell r="A611">
            <v>2035</v>
          </cell>
          <cell r="B611">
            <v>2405.8071005681022</v>
          </cell>
          <cell r="C611">
            <v>3678.6702535502659</v>
          </cell>
          <cell r="D611">
            <v>6994.0282555829372</v>
          </cell>
        </row>
        <row r="612">
          <cell r="A612">
            <v>2036</v>
          </cell>
          <cell r="B612">
            <v>2346.4075116122131</v>
          </cell>
          <cell r="C612">
            <v>3587.8435613713541</v>
          </cell>
          <cell r="D612">
            <v>7171.0829238242804</v>
          </cell>
        </row>
        <row r="613">
          <cell r="A613">
            <v>2037</v>
          </cell>
          <cell r="B613">
            <v>2405.8071005681009</v>
          </cell>
          <cell r="C613">
            <v>3499.2593882125138</v>
          </cell>
          <cell r="D613">
            <v>6994.0282555829372</v>
          </cell>
        </row>
        <row r="614">
          <cell r="A614">
            <v>2038</v>
          </cell>
          <cell r="B614">
            <v>2725.4155425286699</v>
          </cell>
          <cell r="C614">
            <v>6211.782012060874</v>
          </cell>
          <cell r="D614">
            <v>16049.11872346802</v>
          </cell>
        </row>
        <row r="615">
          <cell r="A615">
            <v>2039</v>
          </cell>
          <cell r="B615">
            <v>1983.3900255347501</v>
          </cell>
          <cell r="C615">
            <v>3692.139440225943</v>
          </cell>
          <cell r="D615">
            <v>11781.176198005</v>
          </cell>
        </row>
        <row r="616">
          <cell r="A616">
            <v>2040</v>
          </cell>
          <cell r="B616">
            <v>3973.5574803268491</v>
          </cell>
          <cell r="C616">
            <v>9396.3957969842468</v>
          </cell>
          <cell r="D616">
            <v>20220.46</v>
          </cell>
        </row>
        <row r="617">
          <cell r="A617">
            <v>2041</v>
          </cell>
          <cell r="B617">
            <v>2672.7005891762092</v>
          </cell>
          <cell r="C617">
            <v>8176.3434826243056</v>
          </cell>
          <cell r="D617">
            <v>16134.187246172</v>
          </cell>
        </row>
        <row r="618">
          <cell r="A618">
            <v>2042</v>
          </cell>
          <cell r="B618">
            <v>2740.3603267169169</v>
          </cell>
          <cell r="C618">
            <v>8383.3286033360691</v>
          </cell>
          <cell r="D618">
            <v>15735.832743712661</v>
          </cell>
        </row>
        <row r="619">
          <cell r="A619">
            <v>2043</v>
          </cell>
          <cell r="B619">
            <v>2672.7005891762092</v>
          </cell>
          <cell r="C619">
            <v>8176.3434826243056</v>
          </cell>
          <cell r="D619">
            <v>15347.313648962951</v>
          </cell>
        </row>
        <row r="620">
          <cell r="A620">
            <v>2044</v>
          </cell>
          <cell r="B620">
            <v>2740.3603267169169</v>
          </cell>
          <cell r="C620">
            <v>7974.4688427517431</v>
          </cell>
          <cell r="D620">
            <v>15735.832743712661</v>
          </cell>
        </row>
        <row r="621">
          <cell r="A621">
            <v>2045</v>
          </cell>
          <cell r="B621">
            <v>2672.7005891762092</v>
          </cell>
          <cell r="C621">
            <v>8176.3434826243056</v>
          </cell>
          <cell r="D621">
            <v>16134.187246172</v>
          </cell>
        </row>
        <row r="622">
          <cell r="A622">
            <v>2046</v>
          </cell>
          <cell r="B622">
            <v>2606.711376507521</v>
          </cell>
          <cell r="C622">
            <v>7974.4688427517431</v>
          </cell>
          <cell r="D622">
            <v>15735.832743712661</v>
          </cell>
        </row>
        <row r="623">
          <cell r="A623">
            <v>2047</v>
          </cell>
          <cell r="B623">
            <v>2542.351443304804</v>
          </cell>
          <cell r="C623">
            <v>7777.5785054968819</v>
          </cell>
          <cell r="D623">
            <v>16134.187246172</v>
          </cell>
        </row>
        <row r="624">
          <cell r="A624">
            <v>2048</v>
          </cell>
          <cell r="B624">
            <v>2479.5805625147132</v>
          </cell>
          <cell r="C624">
            <v>7974.4688427517431</v>
          </cell>
          <cell r="D624">
            <v>15735.832743712661</v>
          </cell>
        </row>
        <row r="625">
          <cell r="A625">
            <v>2049</v>
          </cell>
          <cell r="B625">
            <v>4220.1638636733487</v>
          </cell>
          <cell r="C625">
            <v>12229.656187564069</v>
          </cell>
          <cell r="D625">
            <v>20220.46</v>
          </cell>
        </row>
        <row r="626">
          <cell r="A626">
            <v>2050</v>
          </cell>
          <cell r="B626">
            <v>3627.001740594852</v>
          </cell>
          <cell r="C626">
            <v>9332.0493994659118</v>
          </cell>
          <cell r="D626">
            <v>15268.89314809477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Vs"/>
      <sheetName val="PV"/>
      <sheetName val="Wind"/>
      <sheetName val="Supply"/>
      <sheetName val="Share"/>
      <sheetName val="Shortages"/>
    </sheetNames>
    <sheetDataSet>
      <sheetData sheetId="0">
        <row r="12">
          <cell r="K12">
            <v>60.342700000000001</v>
          </cell>
          <cell r="Q12">
            <v>593.61199999999997</v>
          </cell>
          <cell r="V12">
            <v>1713.8</v>
          </cell>
          <cell r="AA12">
            <v>2917.23</v>
          </cell>
          <cell r="AF12">
            <v>3780.8</v>
          </cell>
          <cell r="AK12">
            <v>4300.28</v>
          </cell>
        </row>
      </sheetData>
      <sheetData sheetId="1"/>
      <sheetData sheetId="2">
        <row r="11">
          <cell r="K11">
            <v>104.804</v>
          </cell>
          <cell r="Q11">
            <v>272.12900000000002</v>
          </cell>
          <cell r="V11">
            <v>294.56400000000002</v>
          </cell>
          <cell r="AA11">
            <v>215.69399999999999</v>
          </cell>
          <cell r="AF11">
            <v>201.72800000000001</v>
          </cell>
          <cell r="AK11">
            <v>256.11399999999998</v>
          </cell>
        </row>
      </sheetData>
      <sheetData sheetId="3"/>
      <sheetData sheetId="4">
        <row r="73">
          <cell r="B73">
            <v>185.95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finance.yahoo.com/news/manganese-global-strategic-business-report-09140096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79298-F9AB-4A20-A47C-DF162D5D7AC6}">
  <dimension ref="B2"/>
  <sheetViews>
    <sheetView tabSelected="1" workbookViewId="0">
      <selection activeCell="B2" sqref="B2"/>
    </sheetView>
  </sheetViews>
  <sheetFormatPr defaultRowHeight="14.5" x14ac:dyDescent="0.35"/>
  <sheetData>
    <row r="2" spans="2:2" x14ac:dyDescent="0.35">
      <c r="B2" t="s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380D6-B0FB-4C88-8634-A7C4D9C36130}">
  <dimension ref="A1:K76"/>
  <sheetViews>
    <sheetView workbookViewId="0">
      <selection activeCell="L31" sqref="L31"/>
    </sheetView>
  </sheetViews>
  <sheetFormatPr defaultRowHeight="14.5" x14ac:dyDescent="0.35"/>
  <sheetData>
    <row r="1" spans="1:11" x14ac:dyDescent="0.35">
      <c r="A1" t="s">
        <v>1</v>
      </c>
    </row>
    <row r="3" spans="1:11" x14ac:dyDescent="0.35">
      <c r="B3" t="s">
        <v>2</v>
      </c>
      <c r="C3" t="s">
        <v>3</v>
      </c>
      <c r="I3" s="2" t="s">
        <v>4</v>
      </c>
      <c r="J3" s="3" t="s">
        <v>128</v>
      </c>
      <c r="K3" t="s">
        <v>5</v>
      </c>
    </row>
    <row r="4" spans="1:11" x14ac:dyDescent="0.35">
      <c r="A4" t="s">
        <v>6</v>
      </c>
      <c r="B4">
        <v>3.98</v>
      </c>
      <c r="C4">
        <v>6.64</v>
      </c>
      <c r="I4" s="4">
        <v>2008</v>
      </c>
      <c r="J4" s="5">
        <f>AVERAGE(B4:C7)</f>
        <v>5.26</v>
      </c>
      <c r="K4">
        <f>J4*100/36</f>
        <v>14.611111111111111</v>
      </c>
    </row>
    <row r="5" spans="1:11" x14ac:dyDescent="0.35">
      <c r="A5" t="s">
        <v>7</v>
      </c>
      <c r="B5">
        <v>4.0599999999999996</v>
      </c>
      <c r="C5">
        <v>6.59</v>
      </c>
      <c r="I5" s="4">
        <f>I4+1</f>
        <v>2009</v>
      </c>
      <c r="J5" s="5">
        <f>AVERAGE(B8:C11)</f>
        <v>5.3174999999999999</v>
      </c>
      <c r="K5">
        <f t="shared" ref="K5:K21" si="0">J5*100/36</f>
        <v>14.770833333333334</v>
      </c>
    </row>
    <row r="6" spans="1:11" x14ac:dyDescent="0.35">
      <c r="A6" t="s">
        <v>8</v>
      </c>
      <c r="B6">
        <v>3.79</v>
      </c>
      <c r="C6">
        <v>6.69</v>
      </c>
      <c r="I6" s="4">
        <f t="shared" ref="I6:I21" si="1">I5+1</f>
        <v>2010</v>
      </c>
      <c r="J6" s="5">
        <f>AVERAGE(B12:C15)</f>
        <v>5.3112500000000002</v>
      </c>
      <c r="K6">
        <f t="shared" si="0"/>
        <v>14.753472222222221</v>
      </c>
    </row>
    <row r="7" spans="1:11" x14ac:dyDescent="0.35">
      <c r="A7" t="s">
        <v>9</v>
      </c>
      <c r="B7">
        <v>3.64</v>
      </c>
      <c r="C7">
        <v>6.69</v>
      </c>
      <c r="I7" s="4">
        <f t="shared" si="1"/>
        <v>2011</v>
      </c>
      <c r="J7" s="5">
        <f>AVERAGE(B16:C19)</f>
        <v>5.3762499999999998</v>
      </c>
      <c r="K7">
        <f t="shared" si="0"/>
        <v>14.934027777777779</v>
      </c>
    </row>
    <row r="8" spans="1:11" x14ac:dyDescent="0.35">
      <c r="A8" t="s">
        <v>10</v>
      </c>
      <c r="B8">
        <v>3.64</v>
      </c>
      <c r="C8">
        <v>6.7</v>
      </c>
      <c r="I8" s="4">
        <f t="shared" si="1"/>
        <v>2012</v>
      </c>
      <c r="J8" s="5">
        <f>AVERAGE(B20:C23)</f>
        <v>5.5687499999999996</v>
      </c>
      <c r="K8">
        <f t="shared" si="0"/>
        <v>15.46875</v>
      </c>
    </row>
    <row r="9" spans="1:11" x14ac:dyDescent="0.35">
      <c r="A9" t="s">
        <v>11</v>
      </c>
      <c r="B9">
        <v>3.85</v>
      </c>
      <c r="C9">
        <v>7.15</v>
      </c>
      <c r="I9" s="4">
        <f t="shared" si="1"/>
        <v>2013</v>
      </c>
      <c r="J9" s="5">
        <f>AVERAGE(B24:C27)</f>
        <v>5.8975</v>
      </c>
      <c r="K9">
        <f t="shared" si="0"/>
        <v>16.381944444444443</v>
      </c>
    </row>
    <row r="10" spans="1:11" x14ac:dyDescent="0.35">
      <c r="A10" t="s">
        <v>12</v>
      </c>
      <c r="B10">
        <v>3.7</v>
      </c>
      <c r="C10">
        <v>7.2</v>
      </c>
      <c r="I10" s="4">
        <f t="shared" si="1"/>
        <v>2014</v>
      </c>
      <c r="J10" s="5">
        <f>AVERAGE(B28:C31)</f>
        <v>6.2975000000000003</v>
      </c>
      <c r="K10">
        <f t="shared" si="0"/>
        <v>17.493055555555557</v>
      </c>
    </row>
    <row r="11" spans="1:11" x14ac:dyDescent="0.35">
      <c r="A11" t="s">
        <v>13</v>
      </c>
      <c r="B11">
        <v>3.58</v>
      </c>
      <c r="C11">
        <v>6.72</v>
      </c>
      <c r="I11" s="4">
        <f t="shared" si="1"/>
        <v>2015</v>
      </c>
      <c r="J11" s="5">
        <f>AVERAGE(B32:C35)</f>
        <v>6.4924999999999997</v>
      </c>
      <c r="K11">
        <f t="shared" si="0"/>
        <v>18.034722222222221</v>
      </c>
    </row>
    <row r="12" spans="1:11" x14ac:dyDescent="0.35">
      <c r="A12" t="s">
        <v>14</v>
      </c>
      <c r="B12">
        <v>3.58</v>
      </c>
      <c r="C12">
        <v>6.76</v>
      </c>
      <c r="I12" s="4">
        <f t="shared" si="1"/>
        <v>2016</v>
      </c>
      <c r="J12" s="5">
        <f>AVERAGE(B36:C39)</f>
        <v>6.55</v>
      </c>
      <c r="K12">
        <f t="shared" si="0"/>
        <v>18.194444444444443</v>
      </c>
    </row>
    <row r="13" spans="1:11" x14ac:dyDescent="0.35">
      <c r="A13" t="s">
        <v>15</v>
      </c>
      <c r="B13">
        <v>4.03</v>
      </c>
      <c r="C13">
        <v>6.71</v>
      </c>
      <c r="I13" s="4">
        <f t="shared" si="1"/>
        <v>2017</v>
      </c>
      <c r="J13" s="5">
        <f>AVERAGE(B40:C43)</f>
        <v>6.5162500000000012</v>
      </c>
      <c r="K13">
        <f t="shared" si="0"/>
        <v>18.100694444444446</v>
      </c>
    </row>
    <row r="14" spans="1:11" x14ac:dyDescent="0.35">
      <c r="A14" t="s">
        <v>16</v>
      </c>
      <c r="B14">
        <v>3.95</v>
      </c>
      <c r="C14">
        <v>6.83</v>
      </c>
      <c r="I14" s="4">
        <f t="shared" si="1"/>
        <v>2018</v>
      </c>
      <c r="J14" s="5">
        <f>AVERAGE(B44:C47)</f>
        <v>6.5612500000000002</v>
      </c>
      <c r="K14">
        <f t="shared" si="0"/>
        <v>18.225694444444443</v>
      </c>
    </row>
    <row r="15" spans="1:11" x14ac:dyDescent="0.35">
      <c r="A15" t="s">
        <v>17</v>
      </c>
      <c r="B15">
        <v>3.95</v>
      </c>
      <c r="C15">
        <v>6.68</v>
      </c>
      <c r="I15" s="4">
        <f t="shared" si="1"/>
        <v>2019</v>
      </c>
      <c r="J15" s="5">
        <f>AVERAGE(B48:C51)</f>
        <v>6.3637499999999996</v>
      </c>
      <c r="K15">
        <f t="shared" si="0"/>
        <v>17.677083333333332</v>
      </c>
    </row>
    <row r="16" spans="1:11" x14ac:dyDescent="0.35">
      <c r="A16" t="s">
        <v>18</v>
      </c>
      <c r="B16">
        <v>3.95</v>
      </c>
      <c r="C16">
        <v>6.67</v>
      </c>
      <c r="I16" s="4">
        <f t="shared" si="1"/>
        <v>2020</v>
      </c>
      <c r="J16" s="5">
        <f>AVERAGE(B52:C55)</f>
        <v>6.4725000000000001</v>
      </c>
      <c r="K16">
        <f t="shared" si="0"/>
        <v>17.979166666666668</v>
      </c>
    </row>
    <row r="17" spans="1:11" x14ac:dyDescent="0.35">
      <c r="A17" t="s">
        <v>19</v>
      </c>
      <c r="B17">
        <v>4.09</v>
      </c>
      <c r="C17">
        <v>6.63</v>
      </c>
      <c r="I17" s="4">
        <f t="shared" si="1"/>
        <v>2021</v>
      </c>
      <c r="J17" s="5">
        <f>AVERAGE(B56:C59)</f>
        <v>6.34</v>
      </c>
      <c r="K17">
        <f t="shared" si="0"/>
        <v>17.611111111111111</v>
      </c>
    </row>
    <row r="18" spans="1:11" x14ac:dyDescent="0.35">
      <c r="A18" t="s">
        <v>20</v>
      </c>
      <c r="B18">
        <v>4.13</v>
      </c>
      <c r="C18">
        <v>6.47</v>
      </c>
      <c r="I18" s="4">
        <f t="shared" si="1"/>
        <v>2022</v>
      </c>
      <c r="J18" s="5">
        <f>AVERAGE(B60:C63)</f>
        <v>8.7174999999999994</v>
      </c>
      <c r="K18">
        <f t="shared" si="0"/>
        <v>24.215277777777775</v>
      </c>
    </row>
    <row r="19" spans="1:11" x14ac:dyDescent="0.35">
      <c r="A19" t="s">
        <v>21</v>
      </c>
      <c r="B19">
        <v>4.4000000000000004</v>
      </c>
      <c r="C19">
        <v>6.67</v>
      </c>
      <c r="I19" s="4">
        <f t="shared" si="1"/>
        <v>2023</v>
      </c>
      <c r="J19" s="5">
        <f>AVERAGE(B64:C67)</f>
        <v>11.528749999999999</v>
      </c>
      <c r="K19">
        <f t="shared" si="0"/>
        <v>32.02430555555555</v>
      </c>
    </row>
    <row r="20" spans="1:11" x14ac:dyDescent="0.35">
      <c r="A20" t="s">
        <v>22</v>
      </c>
      <c r="B20">
        <v>4.4000000000000004</v>
      </c>
      <c r="C20">
        <v>6.61</v>
      </c>
      <c r="I20" s="4">
        <f t="shared" si="1"/>
        <v>2024</v>
      </c>
      <c r="J20" s="5">
        <f>AVERAGE(B68:C71)</f>
        <v>10.3</v>
      </c>
      <c r="K20">
        <f t="shared" si="0"/>
        <v>28.611111111111111</v>
      </c>
    </row>
    <row r="21" spans="1:11" x14ac:dyDescent="0.35">
      <c r="A21" t="s">
        <v>23</v>
      </c>
      <c r="B21">
        <v>4.4000000000000004</v>
      </c>
      <c r="C21">
        <v>6.71</v>
      </c>
      <c r="I21" s="6">
        <f t="shared" si="1"/>
        <v>2025</v>
      </c>
      <c r="J21" s="7">
        <f>AVERAGE(B72:C75)</f>
        <v>9.1775000000000002</v>
      </c>
      <c r="K21">
        <f t="shared" si="0"/>
        <v>25.493055555555557</v>
      </c>
    </row>
    <row r="22" spans="1:11" x14ac:dyDescent="0.35">
      <c r="A22" t="s">
        <v>24</v>
      </c>
      <c r="B22">
        <v>4.58</v>
      </c>
      <c r="C22">
        <v>6.62</v>
      </c>
    </row>
    <row r="23" spans="1:11" x14ac:dyDescent="0.35">
      <c r="A23" t="s">
        <v>25</v>
      </c>
      <c r="B23">
        <v>4.62</v>
      </c>
      <c r="C23">
        <v>6.61</v>
      </c>
    </row>
    <row r="24" spans="1:11" x14ac:dyDescent="0.35">
      <c r="A24" t="s">
        <v>26</v>
      </c>
      <c r="B24">
        <v>4.84</v>
      </c>
      <c r="C24">
        <v>6.63</v>
      </c>
    </row>
    <row r="25" spans="1:11" x14ac:dyDescent="0.35">
      <c r="A25" t="s">
        <v>27</v>
      </c>
      <c r="B25">
        <v>4.8</v>
      </c>
      <c r="C25">
        <v>6.77</v>
      </c>
    </row>
    <row r="26" spans="1:11" x14ac:dyDescent="0.35">
      <c r="A26" t="s">
        <v>28</v>
      </c>
      <c r="B26">
        <v>4.92</v>
      </c>
      <c r="C26">
        <v>6.69</v>
      </c>
      <c r="I26" s="8"/>
    </row>
    <row r="27" spans="1:11" x14ac:dyDescent="0.35">
      <c r="A27" t="s">
        <v>29</v>
      </c>
      <c r="B27">
        <v>5.58</v>
      </c>
      <c r="C27">
        <v>6.95</v>
      </c>
      <c r="I27" s="8"/>
    </row>
    <row r="28" spans="1:11" x14ac:dyDescent="0.35">
      <c r="A28" t="s">
        <v>30</v>
      </c>
      <c r="B28">
        <v>5.6</v>
      </c>
      <c r="C28">
        <v>6.9</v>
      </c>
      <c r="I28" s="8"/>
    </row>
    <row r="29" spans="1:11" x14ac:dyDescent="0.35">
      <c r="A29" t="s">
        <v>31</v>
      </c>
      <c r="B29">
        <v>5.6</v>
      </c>
      <c r="C29">
        <v>6.9</v>
      </c>
      <c r="I29" s="9"/>
    </row>
    <row r="30" spans="1:11" x14ac:dyDescent="0.35">
      <c r="A30" t="s">
        <v>32</v>
      </c>
      <c r="B30">
        <v>5.6</v>
      </c>
      <c r="C30">
        <v>6.9</v>
      </c>
      <c r="I30" s="9"/>
    </row>
    <row r="31" spans="1:11" x14ac:dyDescent="0.35">
      <c r="A31" t="s">
        <v>33</v>
      </c>
      <c r="B31">
        <v>5.78</v>
      </c>
      <c r="C31">
        <v>7.1</v>
      </c>
      <c r="I31" s="9"/>
    </row>
    <row r="32" spans="1:11" x14ac:dyDescent="0.35">
      <c r="A32" t="s">
        <v>34</v>
      </c>
      <c r="B32">
        <v>5.78</v>
      </c>
      <c r="C32">
        <v>7.14</v>
      </c>
      <c r="I32" s="9"/>
    </row>
    <row r="33" spans="1:9" x14ac:dyDescent="0.35">
      <c r="A33" t="s">
        <v>35</v>
      </c>
      <c r="B33">
        <v>5.69</v>
      </c>
      <c r="C33">
        <v>7.26</v>
      </c>
      <c r="I33" s="8"/>
    </row>
    <row r="34" spans="1:9" x14ac:dyDescent="0.35">
      <c r="A34" t="s">
        <v>36</v>
      </c>
      <c r="B34">
        <v>5.69</v>
      </c>
      <c r="C34">
        <v>7.21</v>
      </c>
      <c r="I34" s="8"/>
    </row>
    <row r="35" spans="1:9" x14ac:dyDescent="0.35">
      <c r="A35" t="s">
        <v>37</v>
      </c>
      <c r="B35">
        <v>5.69</v>
      </c>
      <c r="C35">
        <v>7.48</v>
      </c>
      <c r="I35" s="8"/>
    </row>
    <row r="36" spans="1:9" x14ac:dyDescent="0.35">
      <c r="A36" t="s">
        <v>38</v>
      </c>
      <c r="B36">
        <v>5.69</v>
      </c>
      <c r="C36">
        <v>7.43</v>
      </c>
      <c r="I36" s="10"/>
    </row>
    <row r="37" spans="1:9" x14ac:dyDescent="0.35">
      <c r="A37" t="s">
        <v>39</v>
      </c>
      <c r="B37">
        <v>5.69</v>
      </c>
      <c r="C37">
        <v>7.4</v>
      </c>
      <c r="I37" s="8"/>
    </row>
    <row r="38" spans="1:9" x14ac:dyDescent="0.35">
      <c r="A38" t="s">
        <v>40</v>
      </c>
      <c r="B38">
        <v>5.69</v>
      </c>
      <c r="C38">
        <v>7.45</v>
      </c>
      <c r="I38" s="8"/>
    </row>
    <row r="39" spans="1:9" x14ac:dyDescent="0.35">
      <c r="A39" t="s">
        <v>41</v>
      </c>
      <c r="B39">
        <v>5.69</v>
      </c>
      <c r="C39">
        <v>7.36</v>
      </c>
      <c r="I39" s="9"/>
    </row>
    <row r="40" spans="1:9" x14ac:dyDescent="0.35">
      <c r="A40" t="s">
        <v>42</v>
      </c>
      <c r="B40">
        <v>5.69</v>
      </c>
      <c r="C40">
        <v>7.43</v>
      </c>
      <c r="I40" s="9"/>
    </row>
    <row r="41" spans="1:9" x14ac:dyDescent="0.35">
      <c r="A41" t="s">
        <v>43</v>
      </c>
      <c r="B41">
        <v>5.69</v>
      </c>
      <c r="C41">
        <v>7.43</v>
      </c>
      <c r="I41" s="10"/>
    </row>
    <row r="42" spans="1:9" x14ac:dyDescent="0.35">
      <c r="A42" t="s">
        <v>44</v>
      </c>
      <c r="B42">
        <v>5.69</v>
      </c>
      <c r="C42">
        <v>7.4</v>
      </c>
      <c r="I42" s="10"/>
    </row>
    <row r="43" spans="1:9" x14ac:dyDescent="0.35">
      <c r="A43" t="s">
        <v>45</v>
      </c>
      <c r="B43">
        <v>5.63</v>
      </c>
      <c r="C43">
        <v>7.17</v>
      </c>
    </row>
    <row r="44" spans="1:9" x14ac:dyDescent="0.35">
      <c r="A44" t="s">
        <v>46</v>
      </c>
      <c r="B44">
        <v>5.66</v>
      </c>
      <c r="C44">
        <v>7.14</v>
      </c>
      <c r="I44" s="11"/>
    </row>
    <row r="45" spans="1:9" x14ac:dyDescent="0.35">
      <c r="A45" t="s">
        <v>48</v>
      </c>
      <c r="B45">
        <v>5.79</v>
      </c>
      <c r="C45">
        <v>7.86</v>
      </c>
      <c r="I45" s="12"/>
    </row>
    <row r="46" spans="1:9" x14ac:dyDescent="0.35">
      <c r="A46" t="s">
        <v>50</v>
      </c>
      <c r="B46">
        <v>5.57</v>
      </c>
      <c r="C46">
        <v>7.45</v>
      </c>
      <c r="I46" s="13"/>
    </row>
    <row r="47" spans="1:9" x14ac:dyDescent="0.35">
      <c r="A47" t="s">
        <v>52</v>
      </c>
      <c r="B47">
        <v>5.57</v>
      </c>
      <c r="C47">
        <v>7.45</v>
      </c>
    </row>
    <row r="48" spans="1:9" x14ac:dyDescent="0.35">
      <c r="A48" t="s">
        <v>53</v>
      </c>
      <c r="B48">
        <v>5.57</v>
      </c>
      <c r="C48">
        <v>7.45</v>
      </c>
    </row>
    <row r="49" spans="1:3" x14ac:dyDescent="0.35">
      <c r="A49" t="s">
        <v>54</v>
      </c>
      <c r="B49">
        <v>5.3</v>
      </c>
      <c r="C49">
        <v>7.33</v>
      </c>
    </row>
    <row r="50" spans="1:3" x14ac:dyDescent="0.35">
      <c r="A50" t="s">
        <v>55</v>
      </c>
      <c r="B50">
        <v>5.3</v>
      </c>
      <c r="C50">
        <v>7.33</v>
      </c>
    </row>
    <row r="51" spans="1:3" x14ac:dyDescent="0.35">
      <c r="A51" t="s">
        <v>56</v>
      </c>
      <c r="B51">
        <v>5.3</v>
      </c>
      <c r="C51">
        <v>7.33</v>
      </c>
    </row>
    <row r="52" spans="1:3" x14ac:dyDescent="0.35">
      <c r="A52" t="s">
        <v>57</v>
      </c>
      <c r="B52">
        <v>5.42</v>
      </c>
      <c r="C52">
        <v>7.33</v>
      </c>
    </row>
    <row r="53" spans="1:3" x14ac:dyDescent="0.35">
      <c r="A53" t="s">
        <v>58</v>
      </c>
      <c r="B53">
        <v>5.4</v>
      </c>
      <c r="C53">
        <v>7.53</v>
      </c>
    </row>
    <row r="54" spans="1:3" x14ac:dyDescent="0.35">
      <c r="A54" t="s">
        <v>59</v>
      </c>
      <c r="B54">
        <v>5.52</v>
      </c>
      <c r="C54">
        <v>7.53</v>
      </c>
    </row>
    <row r="55" spans="1:3" x14ac:dyDescent="0.35">
      <c r="A55" t="s">
        <v>60</v>
      </c>
      <c r="B55">
        <v>5.52</v>
      </c>
      <c r="C55">
        <v>7.53</v>
      </c>
    </row>
    <row r="56" spans="1:3" x14ac:dyDescent="0.35">
      <c r="A56" t="s">
        <v>61</v>
      </c>
      <c r="B56">
        <v>5.52</v>
      </c>
      <c r="C56">
        <v>7.21</v>
      </c>
    </row>
    <row r="57" spans="1:3" x14ac:dyDescent="0.35">
      <c r="A57" t="s">
        <v>62</v>
      </c>
      <c r="B57">
        <v>5.52</v>
      </c>
      <c r="C57">
        <v>7.21</v>
      </c>
    </row>
    <row r="58" spans="1:3" x14ac:dyDescent="0.35">
      <c r="A58" t="s">
        <v>63</v>
      </c>
      <c r="B58">
        <v>5.44</v>
      </c>
      <c r="C58">
        <v>7.16</v>
      </c>
    </row>
    <row r="59" spans="1:3" x14ac:dyDescent="0.35">
      <c r="A59" t="s">
        <v>64</v>
      </c>
      <c r="B59">
        <v>5.5</v>
      </c>
      <c r="C59">
        <v>7.16</v>
      </c>
    </row>
    <row r="60" spans="1:3" x14ac:dyDescent="0.35">
      <c r="A60" t="s">
        <v>65</v>
      </c>
      <c r="B60">
        <v>5.73</v>
      </c>
      <c r="C60">
        <v>7.16</v>
      </c>
    </row>
    <row r="61" spans="1:3" x14ac:dyDescent="0.35">
      <c r="A61" t="s">
        <v>66</v>
      </c>
      <c r="B61">
        <v>7.33</v>
      </c>
      <c r="C61">
        <v>7.95</v>
      </c>
    </row>
    <row r="62" spans="1:3" x14ac:dyDescent="0.35">
      <c r="A62" t="s">
        <v>67</v>
      </c>
      <c r="B62">
        <v>8.81</v>
      </c>
      <c r="C62">
        <v>9.52</v>
      </c>
    </row>
    <row r="63" spans="1:3" x14ac:dyDescent="0.35">
      <c r="A63" t="s">
        <v>68</v>
      </c>
      <c r="B63">
        <v>11.46</v>
      </c>
      <c r="C63">
        <v>11.78</v>
      </c>
    </row>
    <row r="64" spans="1:3" x14ac:dyDescent="0.35">
      <c r="A64" t="s">
        <v>69</v>
      </c>
      <c r="B64">
        <v>11.53</v>
      </c>
      <c r="C64">
        <v>11.78</v>
      </c>
    </row>
    <row r="65" spans="1:3" x14ac:dyDescent="0.35">
      <c r="A65" t="s">
        <v>70</v>
      </c>
      <c r="B65">
        <v>11.05</v>
      </c>
      <c r="C65">
        <v>12.66</v>
      </c>
    </row>
    <row r="66" spans="1:3" x14ac:dyDescent="0.35">
      <c r="A66" t="s">
        <v>71</v>
      </c>
      <c r="B66">
        <v>10.17</v>
      </c>
      <c r="C66">
        <v>12.59</v>
      </c>
    </row>
    <row r="67" spans="1:3" x14ac:dyDescent="0.35">
      <c r="A67" t="s">
        <v>72</v>
      </c>
      <c r="B67">
        <v>10.29</v>
      </c>
      <c r="C67">
        <v>12.16</v>
      </c>
    </row>
    <row r="68" spans="1:3" x14ac:dyDescent="0.35">
      <c r="A68" t="s">
        <v>73</v>
      </c>
      <c r="B68">
        <v>10.29</v>
      </c>
      <c r="C68">
        <v>12.18</v>
      </c>
    </row>
    <row r="69" spans="1:3" x14ac:dyDescent="0.35">
      <c r="A69" t="s">
        <v>74</v>
      </c>
      <c r="B69">
        <v>8.99</v>
      </c>
      <c r="C69">
        <v>11.33</v>
      </c>
    </row>
    <row r="70" spans="1:3" x14ac:dyDescent="0.35">
      <c r="A70" t="s">
        <v>75</v>
      </c>
      <c r="B70">
        <v>8.99</v>
      </c>
      <c r="C70">
        <v>11.09</v>
      </c>
    </row>
    <row r="71" spans="1:3" x14ac:dyDescent="0.35">
      <c r="A71" t="s">
        <v>76</v>
      </c>
      <c r="B71">
        <v>8.69</v>
      </c>
      <c r="C71">
        <v>10.84</v>
      </c>
    </row>
    <row r="72" spans="1:3" x14ac:dyDescent="0.35">
      <c r="A72" t="s">
        <v>77</v>
      </c>
      <c r="B72">
        <v>8.16</v>
      </c>
      <c r="C72">
        <v>10.4</v>
      </c>
    </row>
    <row r="73" spans="1:3" x14ac:dyDescent="0.35">
      <c r="A73" t="s">
        <v>78</v>
      </c>
      <c r="B73">
        <v>8.24</v>
      </c>
      <c r="C73">
        <v>10.119999999999999</v>
      </c>
    </row>
    <row r="74" spans="1:3" x14ac:dyDescent="0.35">
      <c r="A74" t="s">
        <v>79</v>
      </c>
      <c r="B74">
        <v>8</v>
      </c>
      <c r="C74">
        <v>10.24</v>
      </c>
    </row>
    <row r="75" spans="1:3" x14ac:dyDescent="0.35">
      <c r="A75" t="s">
        <v>80</v>
      </c>
      <c r="B75">
        <v>8</v>
      </c>
      <c r="C75">
        <v>10.26</v>
      </c>
    </row>
    <row r="76" spans="1:3" x14ac:dyDescent="0.35">
      <c r="A76" t="s">
        <v>81</v>
      </c>
      <c r="B76">
        <v>7.84</v>
      </c>
      <c r="C76">
        <v>10.17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7E21F-2A87-4732-BA16-94CD0E5C4CF5}">
  <dimension ref="A1:C49"/>
  <sheetViews>
    <sheetView workbookViewId="0">
      <selection activeCell="B5" sqref="B5"/>
    </sheetView>
  </sheetViews>
  <sheetFormatPr defaultRowHeight="14.5" x14ac:dyDescent="0.35"/>
  <cols>
    <col min="1" max="1" width="9.453125" customWidth="1"/>
  </cols>
  <sheetData>
    <row r="1" spans="1:3" x14ac:dyDescent="0.35">
      <c r="A1" t="s">
        <v>82</v>
      </c>
    </row>
    <row r="2" spans="1:3" x14ac:dyDescent="0.35">
      <c r="B2" t="s">
        <v>83</v>
      </c>
    </row>
    <row r="3" spans="1:3" x14ac:dyDescent="0.35">
      <c r="B3" t="s">
        <v>84</v>
      </c>
    </row>
    <row r="5" spans="1:3" x14ac:dyDescent="0.35">
      <c r="A5" t="s">
        <v>4</v>
      </c>
      <c r="B5" t="s">
        <v>85</v>
      </c>
      <c r="C5" t="s">
        <v>5</v>
      </c>
    </row>
    <row r="6" spans="1:3" x14ac:dyDescent="0.35">
      <c r="A6" s="1">
        <v>2008</v>
      </c>
      <c r="B6">
        <v>80</v>
      </c>
      <c r="C6">
        <f>B6*10/36</f>
        <v>22.222222222222221</v>
      </c>
    </row>
    <row r="7" spans="1:3" x14ac:dyDescent="0.35">
      <c r="A7" s="1">
        <f>A6+1</f>
        <v>2009</v>
      </c>
      <c r="B7">
        <v>42.5</v>
      </c>
      <c r="C7">
        <f t="shared" ref="C7:C23" si="0">B7*10/36</f>
        <v>11.805555555555555</v>
      </c>
    </row>
    <row r="8" spans="1:3" x14ac:dyDescent="0.35">
      <c r="A8" s="1">
        <f t="shared" ref="A8:A13" si="1">A7+1</f>
        <v>2010</v>
      </c>
      <c r="B8">
        <v>52.5</v>
      </c>
      <c r="C8">
        <f t="shared" si="0"/>
        <v>14.583333333333334</v>
      </c>
    </row>
    <row r="9" spans="1:3" x14ac:dyDescent="0.35">
      <c r="A9" s="1">
        <f t="shared" si="1"/>
        <v>2011</v>
      </c>
      <c r="B9">
        <v>62</v>
      </c>
      <c r="C9">
        <f t="shared" si="0"/>
        <v>17.222222222222221</v>
      </c>
    </row>
    <row r="10" spans="1:3" x14ac:dyDescent="0.35">
      <c r="A10" s="1">
        <f t="shared" si="1"/>
        <v>2012</v>
      </c>
      <c r="B10">
        <v>57.5</v>
      </c>
      <c r="C10">
        <f t="shared" si="0"/>
        <v>15.972222222222221</v>
      </c>
    </row>
    <row r="11" spans="1:3" x14ac:dyDescent="0.35">
      <c r="A11" s="1">
        <f t="shared" si="1"/>
        <v>2013</v>
      </c>
      <c r="B11">
        <v>58</v>
      </c>
      <c r="C11">
        <f t="shared" si="0"/>
        <v>16.111111111111111</v>
      </c>
    </row>
    <row r="12" spans="1:3" x14ac:dyDescent="0.35">
      <c r="A12" s="1">
        <f t="shared" si="1"/>
        <v>2014</v>
      </c>
      <c r="B12">
        <v>52.5</v>
      </c>
      <c r="C12">
        <f t="shared" si="0"/>
        <v>14.583333333333334</v>
      </c>
    </row>
    <row r="13" spans="1:3" x14ac:dyDescent="0.35">
      <c r="A13" s="1">
        <f t="shared" si="1"/>
        <v>2015</v>
      </c>
      <c r="B13">
        <v>45</v>
      </c>
      <c r="C13">
        <f t="shared" si="0"/>
        <v>12.5</v>
      </c>
    </row>
    <row r="14" spans="1:3" x14ac:dyDescent="0.35">
      <c r="A14" s="1">
        <v>2016</v>
      </c>
      <c r="B14">
        <v>47.5</v>
      </c>
      <c r="C14">
        <f t="shared" si="0"/>
        <v>13.194444444444445</v>
      </c>
    </row>
    <row r="15" spans="1:3" x14ac:dyDescent="0.35">
      <c r="A15" s="1">
        <v>2017</v>
      </c>
      <c r="B15">
        <v>57.5</v>
      </c>
      <c r="C15">
        <f t="shared" si="0"/>
        <v>15.972222222222221</v>
      </c>
    </row>
    <row r="16" spans="1:3" x14ac:dyDescent="0.35">
      <c r="A16" s="1">
        <v>2018</v>
      </c>
      <c r="B16">
        <v>72.23</v>
      </c>
      <c r="C16">
        <f t="shared" si="0"/>
        <v>20.06388888888889</v>
      </c>
    </row>
    <row r="17" spans="1:3" x14ac:dyDescent="0.35">
      <c r="A17" s="1">
        <v>2019</v>
      </c>
      <c r="B17">
        <v>50.18</v>
      </c>
      <c r="C17">
        <f t="shared" si="0"/>
        <v>13.93888888888889</v>
      </c>
    </row>
    <row r="18" spans="1:3" x14ac:dyDescent="0.35">
      <c r="A18" s="1">
        <v>2020</v>
      </c>
      <c r="B18">
        <v>37.67</v>
      </c>
      <c r="C18">
        <f t="shared" si="0"/>
        <v>10.46388888888889</v>
      </c>
    </row>
    <row r="19" spans="1:3" x14ac:dyDescent="0.35">
      <c r="A19" s="1">
        <v>2021</v>
      </c>
      <c r="B19">
        <v>135.75</v>
      </c>
      <c r="C19">
        <f t="shared" si="0"/>
        <v>37.708333333333336</v>
      </c>
    </row>
    <row r="20" spans="1:3" x14ac:dyDescent="0.35">
      <c r="A20" s="1">
        <v>2022</v>
      </c>
      <c r="B20">
        <v>226.53</v>
      </c>
      <c r="C20">
        <f t="shared" si="0"/>
        <v>62.925000000000004</v>
      </c>
    </row>
    <row r="21" spans="1:3" x14ac:dyDescent="0.35">
      <c r="A21" s="1">
        <v>2023</v>
      </c>
      <c r="B21">
        <v>121.91</v>
      </c>
      <c r="C21">
        <f t="shared" si="0"/>
        <v>33.863888888888887</v>
      </c>
    </row>
    <row r="22" spans="1:3" x14ac:dyDescent="0.35">
      <c r="A22" s="1">
        <v>2024</v>
      </c>
      <c r="B22">
        <v>108.91</v>
      </c>
      <c r="C22">
        <f t="shared" si="0"/>
        <v>30.252777777777776</v>
      </c>
    </row>
    <row r="23" spans="1:3" x14ac:dyDescent="0.35">
      <c r="A23" s="1">
        <v>2025</v>
      </c>
      <c r="B23">
        <v>113.83</v>
      </c>
      <c r="C23">
        <f t="shared" si="0"/>
        <v>31.619444444444444</v>
      </c>
    </row>
    <row r="24" spans="1:3" x14ac:dyDescent="0.35">
      <c r="A24" s="1" t="s">
        <v>86</v>
      </c>
      <c r="B24">
        <v>118.54</v>
      </c>
    </row>
    <row r="29" spans="1:3" x14ac:dyDescent="0.35">
      <c r="A29" s="10"/>
    </row>
    <row r="30" spans="1:3" x14ac:dyDescent="0.35">
      <c r="A30" s="9"/>
    </row>
    <row r="31" spans="1:3" x14ac:dyDescent="0.35">
      <c r="A31" s="9"/>
    </row>
    <row r="32" spans="1:3" x14ac:dyDescent="0.35">
      <c r="A32" s="10"/>
    </row>
    <row r="33" spans="1:1" x14ac:dyDescent="0.35">
      <c r="A33" s="8"/>
    </row>
    <row r="34" spans="1:1" x14ac:dyDescent="0.35">
      <c r="A34" s="10"/>
    </row>
    <row r="35" spans="1:1" x14ac:dyDescent="0.35">
      <c r="A35" s="10"/>
    </row>
    <row r="36" spans="1:1" x14ac:dyDescent="0.35">
      <c r="A36" s="8"/>
    </row>
    <row r="37" spans="1:1" x14ac:dyDescent="0.35">
      <c r="A37" s="9"/>
    </row>
    <row r="38" spans="1:1" x14ac:dyDescent="0.35">
      <c r="A38" s="9"/>
    </row>
    <row r="39" spans="1:1" x14ac:dyDescent="0.35">
      <c r="A39" s="10"/>
    </row>
    <row r="40" spans="1:1" x14ac:dyDescent="0.35">
      <c r="A40" s="10"/>
    </row>
    <row r="41" spans="1:1" x14ac:dyDescent="0.35">
      <c r="A41" s="9"/>
    </row>
    <row r="42" spans="1:1" x14ac:dyDescent="0.35">
      <c r="A42" s="9"/>
    </row>
    <row r="43" spans="1:1" x14ac:dyDescent="0.35">
      <c r="A43" s="10"/>
    </row>
    <row r="44" spans="1:1" x14ac:dyDescent="0.35">
      <c r="A44" s="10"/>
    </row>
    <row r="45" spans="1:1" x14ac:dyDescent="0.35">
      <c r="A45" s="9"/>
    </row>
    <row r="47" spans="1:1" x14ac:dyDescent="0.35">
      <c r="A47" s="11"/>
    </row>
    <row r="48" spans="1:1" x14ac:dyDescent="0.35">
      <c r="A48" s="12"/>
    </row>
    <row r="49" spans="1:1" x14ac:dyDescent="0.35">
      <c r="A49" s="1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E761-B168-4EB5-9ACF-29B3682F7A60}">
  <dimension ref="A1:S76"/>
  <sheetViews>
    <sheetView topLeftCell="H1" workbookViewId="0">
      <selection activeCell="R4" sqref="R4"/>
    </sheetView>
  </sheetViews>
  <sheetFormatPr defaultRowHeight="14.5" x14ac:dyDescent="0.35"/>
  <sheetData>
    <row r="1" spans="1:19" x14ac:dyDescent="0.35">
      <c r="A1" t="s">
        <v>1</v>
      </c>
    </row>
    <row r="3" spans="1:19" x14ac:dyDescent="0.35">
      <c r="B3" t="s">
        <v>87</v>
      </c>
      <c r="C3" t="s">
        <v>88</v>
      </c>
      <c r="J3" t="s">
        <v>89</v>
      </c>
      <c r="K3" t="s">
        <v>90</v>
      </c>
      <c r="Q3" s="2" t="s">
        <v>4</v>
      </c>
      <c r="R3" s="3" t="s">
        <v>128</v>
      </c>
      <c r="S3" t="s">
        <v>5</v>
      </c>
    </row>
    <row r="4" spans="1:19" x14ac:dyDescent="0.35">
      <c r="A4" t="s">
        <v>91</v>
      </c>
      <c r="B4">
        <v>3.74</v>
      </c>
      <c r="C4">
        <v>5.45</v>
      </c>
      <c r="I4" t="s">
        <v>6</v>
      </c>
      <c r="J4">
        <v>4.2</v>
      </c>
      <c r="K4">
        <v>5.45</v>
      </c>
      <c r="Q4" s="4">
        <v>2008</v>
      </c>
      <c r="R4" s="5">
        <f>AVERAGE(B4:C5,J4:K7)</f>
        <v>5.1100000000000003</v>
      </c>
      <c r="S4">
        <f>R4*100/36</f>
        <v>14.194444444444446</v>
      </c>
    </row>
    <row r="5" spans="1:19" x14ac:dyDescent="0.35">
      <c r="A5" t="s">
        <v>92</v>
      </c>
      <c r="B5">
        <v>4.12</v>
      </c>
      <c r="C5">
        <v>6.51</v>
      </c>
      <c r="I5" t="s">
        <v>7</v>
      </c>
      <c r="J5">
        <v>4.2</v>
      </c>
      <c r="K5">
        <v>5.45</v>
      </c>
      <c r="Q5" s="4">
        <f>Q4+1</f>
        <v>2009</v>
      </c>
      <c r="R5" s="5">
        <f>AVERAGE(B6:C7,J8:K11)</f>
        <v>4.8083333333333327</v>
      </c>
      <c r="S5">
        <f t="shared" ref="S5:S21" si="0">R5*100/36</f>
        <v>13.356481481481479</v>
      </c>
    </row>
    <row r="6" spans="1:19" x14ac:dyDescent="0.35">
      <c r="A6" t="s">
        <v>93</v>
      </c>
      <c r="B6">
        <v>3.73</v>
      </c>
      <c r="C6">
        <v>6.44</v>
      </c>
      <c r="I6" t="s">
        <v>8</v>
      </c>
      <c r="J6">
        <v>4.59</v>
      </c>
      <c r="K6">
        <v>6.51</v>
      </c>
      <c r="Q6" s="4">
        <f t="shared" ref="Q6:Q21" si="1">Q5+1</f>
        <v>2010</v>
      </c>
      <c r="R6" s="5">
        <f>AVERAGE(B8:C9,J12:K15)</f>
        <v>4.2408333333333337</v>
      </c>
      <c r="S6">
        <f t="shared" si="0"/>
        <v>11.780092592592593</v>
      </c>
    </row>
    <row r="7" spans="1:19" x14ac:dyDescent="0.35">
      <c r="A7" t="s">
        <v>94</v>
      </c>
      <c r="B7">
        <v>3.04</v>
      </c>
      <c r="C7">
        <v>5.51</v>
      </c>
      <c r="I7" t="s">
        <v>9</v>
      </c>
      <c r="J7">
        <v>4.59</v>
      </c>
      <c r="K7">
        <v>6.51</v>
      </c>
      <c r="Q7" s="4">
        <f t="shared" si="1"/>
        <v>2011</v>
      </c>
      <c r="R7" s="5">
        <f>AVERAGE(B10:C11,J16:K19)</f>
        <v>4.6991666666666667</v>
      </c>
      <c r="S7">
        <f t="shared" si="0"/>
        <v>13.05324074074074</v>
      </c>
    </row>
    <row r="8" spans="1:19" x14ac:dyDescent="0.35">
      <c r="A8" t="s">
        <v>95</v>
      </c>
      <c r="B8">
        <v>2.91</v>
      </c>
      <c r="C8">
        <v>4.97</v>
      </c>
      <c r="I8" t="s">
        <v>10</v>
      </c>
      <c r="J8">
        <v>4.1500000000000004</v>
      </c>
      <c r="K8">
        <v>6.44</v>
      </c>
      <c r="Q8" s="4">
        <f t="shared" si="1"/>
        <v>2012</v>
      </c>
      <c r="R8" s="5">
        <f>AVERAGE(B12:C13,J20:K23)</f>
        <v>5.2233333333333327</v>
      </c>
      <c r="S8">
        <f t="shared" si="0"/>
        <v>14.509259259259258</v>
      </c>
    </row>
    <row r="9" spans="1:19" x14ac:dyDescent="0.35">
      <c r="A9" t="s">
        <v>96</v>
      </c>
      <c r="B9">
        <v>3.35</v>
      </c>
      <c r="C9">
        <v>5.28</v>
      </c>
      <c r="I9" t="s">
        <v>11</v>
      </c>
      <c r="J9">
        <v>4.1500000000000004</v>
      </c>
      <c r="K9">
        <v>6.44</v>
      </c>
      <c r="Q9" s="4">
        <f t="shared" si="1"/>
        <v>2013</v>
      </c>
      <c r="R9" s="5">
        <f>AVERAGE(B14:C15,J24:K27)</f>
        <v>5.7333333333333334</v>
      </c>
      <c r="S9">
        <f t="shared" si="0"/>
        <v>15.925925925925927</v>
      </c>
    </row>
    <row r="10" spans="1:19" x14ac:dyDescent="0.35">
      <c r="A10" t="s">
        <v>97</v>
      </c>
      <c r="B10">
        <v>3.5</v>
      </c>
      <c r="C10">
        <v>5.0999999999999996</v>
      </c>
      <c r="I10" t="s">
        <v>12</v>
      </c>
      <c r="J10">
        <v>3.39</v>
      </c>
      <c r="K10">
        <v>5.51</v>
      </c>
      <c r="Q10" s="4">
        <f t="shared" si="1"/>
        <v>2014</v>
      </c>
      <c r="R10" s="5">
        <f>AVERAGE(B16:C17,J28:K31)</f>
        <v>5.7441666666666658</v>
      </c>
      <c r="S10">
        <f t="shared" si="0"/>
        <v>15.956018518518517</v>
      </c>
    </row>
    <row r="11" spans="1:19" x14ac:dyDescent="0.35">
      <c r="A11" t="s">
        <v>98</v>
      </c>
      <c r="B11">
        <v>3.53</v>
      </c>
      <c r="C11">
        <v>6.2</v>
      </c>
      <c r="I11" t="s">
        <v>13</v>
      </c>
      <c r="J11">
        <v>3.39</v>
      </c>
      <c r="K11">
        <v>5.51</v>
      </c>
      <c r="Q11" s="4">
        <f t="shared" si="1"/>
        <v>2015</v>
      </c>
      <c r="R11" s="5">
        <f>AVERAGE(B18:C19,J32:K35)</f>
        <v>5.5491666666666655</v>
      </c>
      <c r="S11">
        <f t="shared" si="0"/>
        <v>15.414351851851848</v>
      </c>
    </row>
    <row r="12" spans="1:19" x14ac:dyDescent="0.35">
      <c r="A12" t="s">
        <v>99</v>
      </c>
      <c r="B12">
        <v>3.45</v>
      </c>
      <c r="C12">
        <v>6.15</v>
      </c>
      <c r="I12" t="s">
        <v>14</v>
      </c>
      <c r="J12">
        <v>3.24</v>
      </c>
      <c r="K12">
        <v>4.97</v>
      </c>
      <c r="Q12" s="4">
        <f t="shared" si="1"/>
        <v>2016</v>
      </c>
      <c r="R12" s="5">
        <f>AVERAGE(B20:C21,J36:K39)</f>
        <v>5.1141666666666667</v>
      </c>
      <c r="S12">
        <f t="shared" si="0"/>
        <v>14.206018518518519</v>
      </c>
    </row>
    <row r="13" spans="1:19" x14ac:dyDescent="0.35">
      <c r="A13" t="s">
        <v>100</v>
      </c>
      <c r="B13">
        <v>4.05</v>
      </c>
      <c r="C13">
        <v>6.75</v>
      </c>
      <c r="I13" t="s">
        <v>15</v>
      </c>
      <c r="J13">
        <v>3.24</v>
      </c>
      <c r="K13">
        <v>4.97</v>
      </c>
      <c r="Q13" s="4">
        <f t="shared" si="1"/>
        <v>2017</v>
      </c>
      <c r="R13" s="5">
        <f>AVERAGE(B22:C23,J40:K43)</f>
        <v>5.0091666666666663</v>
      </c>
      <c r="S13">
        <f t="shared" si="0"/>
        <v>13.914351851851851</v>
      </c>
    </row>
    <row r="14" spans="1:19" x14ac:dyDescent="0.35">
      <c r="A14" t="s">
        <v>101</v>
      </c>
      <c r="B14">
        <v>4.16</v>
      </c>
      <c r="C14">
        <v>6.55</v>
      </c>
      <c r="I14" t="s">
        <v>16</v>
      </c>
      <c r="J14">
        <v>3.7</v>
      </c>
      <c r="K14">
        <v>5.28</v>
      </c>
      <c r="Q14" s="4">
        <f t="shared" si="1"/>
        <v>2018</v>
      </c>
      <c r="R14" s="5">
        <f>AVERAGE(B24:C25,J44:K47)</f>
        <v>5.379999999999999</v>
      </c>
      <c r="S14">
        <f t="shared" si="0"/>
        <v>14.944444444444441</v>
      </c>
    </row>
    <row r="15" spans="1:19" x14ac:dyDescent="0.35">
      <c r="A15" t="s">
        <v>102</v>
      </c>
      <c r="B15">
        <v>4.37</v>
      </c>
      <c r="C15">
        <v>7.28</v>
      </c>
      <c r="I15" t="s">
        <v>17</v>
      </c>
      <c r="J15">
        <v>3.7</v>
      </c>
      <c r="K15">
        <v>5.28</v>
      </c>
      <c r="Q15" s="4">
        <f t="shared" si="1"/>
        <v>2019</v>
      </c>
      <c r="R15" s="5">
        <f>AVERAGE(B26:C27,J48:K51)</f>
        <v>5.3475000000000001</v>
      </c>
      <c r="S15">
        <f t="shared" si="0"/>
        <v>14.854166666666666</v>
      </c>
    </row>
    <row r="16" spans="1:19" x14ac:dyDescent="0.35">
      <c r="A16" t="s">
        <v>103</v>
      </c>
      <c r="B16">
        <v>4.07</v>
      </c>
      <c r="C16">
        <v>6.84</v>
      </c>
      <c r="I16" t="s">
        <v>18</v>
      </c>
      <c r="J16">
        <v>3.86</v>
      </c>
      <c r="K16">
        <v>5.0999999999999996</v>
      </c>
      <c r="Q16" s="4">
        <f t="shared" si="1"/>
        <v>2020</v>
      </c>
      <c r="R16" s="5">
        <f>AVERAGE(B28:C29,J52:K55)</f>
        <v>4.9874999999999998</v>
      </c>
      <c r="S16">
        <f t="shared" si="0"/>
        <v>13.854166666666666</v>
      </c>
    </row>
    <row r="17" spans="1:19" x14ac:dyDescent="0.35">
      <c r="A17" t="s">
        <v>104</v>
      </c>
      <c r="B17">
        <v>4.01</v>
      </c>
      <c r="C17">
        <v>7.53</v>
      </c>
      <c r="I17" t="s">
        <v>19</v>
      </c>
      <c r="J17">
        <v>3.86</v>
      </c>
      <c r="K17">
        <v>5.0999999999999996</v>
      </c>
      <c r="Q17" s="4">
        <f t="shared" si="1"/>
        <v>2021</v>
      </c>
      <c r="R17" s="5">
        <f>AVERAGE(B30:C31,J56:K59)</f>
        <v>5.7650000000000006</v>
      </c>
      <c r="S17">
        <f t="shared" si="0"/>
        <v>16.013888888888889</v>
      </c>
    </row>
    <row r="18" spans="1:19" x14ac:dyDescent="0.35">
      <c r="A18" t="s">
        <v>105</v>
      </c>
      <c r="B18">
        <v>3.85</v>
      </c>
      <c r="C18">
        <v>6.77</v>
      </c>
      <c r="I18" t="s">
        <v>20</v>
      </c>
      <c r="J18">
        <v>3.87</v>
      </c>
      <c r="K18">
        <v>6.2</v>
      </c>
      <c r="Q18" s="4">
        <f t="shared" si="1"/>
        <v>2022</v>
      </c>
      <c r="R18" s="5">
        <f>AVERAGE(B32:C33,J60:K63)</f>
        <v>9.9583333333333339</v>
      </c>
      <c r="S18">
        <f t="shared" si="0"/>
        <v>27.662037037037038</v>
      </c>
    </row>
    <row r="19" spans="1:19" x14ac:dyDescent="0.35">
      <c r="A19" t="s">
        <v>106</v>
      </c>
      <c r="B19">
        <v>3.68</v>
      </c>
      <c r="C19">
        <v>7.33</v>
      </c>
      <c r="I19" t="s">
        <v>21</v>
      </c>
      <c r="J19">
        <v>3.87</v>
      </c>
      <c r="K19">
        <v>6.2</v>
      </c>
      <c r="Q19" s="4">
        <f t="shared" si="1"/>
        <v>2023</v>
      </c>
      <c r="R19" s="5">
        <f>AVERAGE(B34:C35,J64:K67)</f>
        <v>11.790000000000001</v>
      </c>
      <c r="S19">
        <f t="shared" si="0"/>
        <v>32.75</v>
      </c>
    </row>
    <row r="20" spans="1:19" x14ac:dyDescent="0.35">
      <c r="A20" t="s">
        <v>107</v>
      </c>
      <c r="B20">
        <v>3.36</v>
      </c>
      <c r="C20">
        <v>6.56</v>
      </c>
      <c r="I20" t="s">
        <v>22</v>
      </c>
      <c r="J20">
        <v>3.8</v>
      </c>
      <c r="K20">
        <v>6.15</v>
      </c>
      <c r="Q20" s="4">
        <f t="shared" si="1"/>
        <v>2024</v>
      </c>
      <c r="R20" s="5">
        <f>AVERAGE(B36:C37,J68:K71)</f>
        <v>10.055833333333334</v>
      </c>
      <c r="S20">
        <f t="shared" si="0"/>
        <v>27.93287037037037</v>
      </c>
    </row>
    <row r="21" spans="1:19" x14ac:dyDescent="0.35">
      <c r="A21" t="s">
        <v>108</v>
      </c>
      <c r="B21">
        <v>3.23</v>
      </c>
      <c r="C21">
        <v>6.86</v>
      </c>
      <c r="I21" t="s">
        <v>23</v>
      </c>
      <c r="J21">
        <v>3.8</v>
      </c>
      <c r="K21">
        <v>6.15</v>
      </c>
      <c r="Q21" s="6">
        <f t="shared" si="1"/>
        <v>2025</v>
      </c>
      <c r="R21" s="7">
        <f>AVERAGE(B38:C39,J72:K75)</f>
        <v>9.7750000000000004</v>
      </c>
      <c r="S21">
        <f t="shared" si="0"/>
        <v>27.152777777777779</v>
      </c>
    </row>
    <row r="22" spans="1:19" x14ac:dyDescent="0.35">
      <c r="A22" t="s">
        <v>109</v>
      </c>
      <c r="B22">
        <v>3.29</v>
      </c>
      <c r="C22">
        <v>6.37</v>
      </c>
      <c r="I22" t="s">
        <v>24</v>
      </c>
      <c r="J22">
        <v>4.4400000000000004</v>
      </c>
      <c r="K22">
        <v>6.75</v>
      </c>
    </row>
    <row r="23" spans="1:19" x14ac:dyDescent="0.35">
      <c r="A23" t="s">
        <v>110</v>
      </c>
      <c r="B23">
        <v>3.32</v>
      </c>
      <c r="C23">
        <v>6.57</v>
      </c>
      <c r="I23" t="s">
        <v>25</v>
      </c>
      <c r="J23">
        <v>4.4400000000000004</v>
      </c>
      <c r="K23">
        <v>6.75</v>
      </c>
    </row>
    <row r="24" spans="1:19" x14ac:dyDescent="0.35">
      <c r="A24" t="s">
        <v>111</v>
      </c>
      <c r="B24">
        <v>3.37</v>
      </c>
      <c r="C24">
        <v>6.36</v>
      </c>
      <c r="I24" t="s">
        <v>26</v>
      </c>
      <c r="J24">
        <v>4.57</v>
      </c>
      <c r="K24">
        <v>6.55</v>
      </c>
    </row>
    <row r="25" spans="1:19" x14ac:dyDescent="0.35">
      <c r="A25" t="s">
        <v>112</v>
      </c>
      <c r="B25">
        <v>3.45</v>
      </c>
      <c r="C25">
        <v>7.7</v>
      </c>
      <c r="I25" t="s">
        <v>27</v>
      </c>
      <c r="J25">
        <v>4.57</v>
      </c>
      <c r="K25">
        <v>6.55</v>
      </c>
    </row>
    <row r="26" spans="1:19" x14ac:dyDescent="0.35">
      <c r="A26" t="s">
        <v>113</v>
      </c>
      <c r="B26">
        <v>3.33</v>
      </c>
      <c r="C26">
        <v>6.83</v>
      </c>
      <c r="I26" t="s">
        <v>28</v>
      </c>
      <c r="J26">
        <v>4.82</v>
      </c>
      <c r="K26">
        <v>7.28</v>
      </c>
      <c r="Q26" s="10"/>
    </row>
    <row r="27" spans="1:19" x14ac:dyDescent="0.35">
      <c r="A27" t="s">
        <v>114</v>
      </c>
      <c r="B27">
        <v>3.09</v>
      </c>
      <c r="C27">
        <v>7.68</v>
      </c>
      <c r="I27" t="s">
        <v>29</v>
      </c>
      <c r="J27">
        <v>4.82</v>
      </c>
      <c r="K27">
        <v>7.28</v>
      </c>
      <c r="Q27" s="10"/>
    </row>
    <row r="28" spans="1:19" x14ac:dyDescent="0.35">
      <c r="A28" t="s">
        <v>115</v>
      </c>
      <c r="B28">
        <v>2.84</v>
      </c>
      <c r="C28">
        <v>6.73</v>
      </c>
      <c r="I28" t="s">
        <v>30</v>
      </c>
      <c r="J28">
        <v>4.47</v>
      </c>
      <c r="K28">
        <v>6.84</v>
      </c>
      <c r="Q28" s="9"/>
    </row>
    <row r="29" spans="1:19" x14ac:dyDescent="0.35">
      <c r="A29" t="s">
        <v>116</v>
      </c>
      <c r="B29">
        <v>3.03</v>
      </c>
      <c r="C29">
        <v>7.07</v>
      </c>
      <c r="I29" t="s">
        <v>31</v>
      </c>
      <c r="J29">
        <v>4.47</v>
      </c>
      <c r="K29">
        <v>6.84</v>
      </c>
      <c r="Q29" s="9"/>
    </row>
    <row r="30" spans="1:19" x14ac:dyDescent="0.35">
      <c r="A30" t="s">
        <v>117</v>
      </c>
      <c r="B30">
        <v>3.15</v>
      </c>
      <c r="C30">
        <v>6.24</v>
      </c>
      <c r="I30" t="s">
        <v>32</v>
      </c>
      <c r="J30">
        <v>4.4000000000000004</v>
      </c>
      <c r="K30">
        <v>7.53</v>
      </c>
      <c r="Q30" s="9"/>
    </row>
    <row r="31" spans="1:19" x14ac:dyDescent="0.35">
      <c r="A31" t="s">
        <v>118</v>
      </c>
      <c r="B31">
        <v>5.16</v>
      </c>
      <c r="C31">
        <v>7.93</v>
      </c>
      <c r="I31" t="s">
        <v>33</v>
      </c>
      <c r="J31">
        <v>4.4000000000000004</v>
      </c>
      <c r="K31">
        <v>7.53</v>
      </c>
      <c r="Q31" s="8"/>
    </row>
    <row r="32" spans="1:19" x14ac:dyDescent="0.35">
      <c r="A32" t="s">
        <v>119</v>
      </c>
      <c r="B32">
        <v>6.56</v>
      </c>
      <c r="C32">
        <v>8.51</v>
      </c>
      <c r="I32" t="s">
        <v>34</v>
      </c>
      <c r="J32">
        <v>4.3</v>
      </c>
      <c r="K32">
        <v>6.77</v>
      </c>
      <c r="Q32" s="10"/>
    </row>
    <row r="33" spans="1:17" x14ac:dyDescent="0.35">
      <c r="A33" t="s">
        <v>120</v>
      </c>
      <c r="B33">
        <v>8.4499999999999993</v>
      </c>
      <c r="C33">
        <v>15.48</v>
      </c>
      <c r="I33" t="s">
        <v>35</v>
      </c>
      <c r="J33">
        <v>4.3</v>
      </c>
      <c r="K33">
        <v>6.77</v>
      </c>
      <c r="Q33" s="10"/>
    </row>
    <row r="34" spans="1:17" x14ac:dyDescent="0.35">
      <c r="A34" t="s">
        <v>121</v>
      </c>
      <c r="B34">
        <v>8.02</v>
      </c>
      <c r="C34">
        <v>14.69</v>
      </c>
      <c r="I34" t="s">
        <v>36</v>
      </c>
      <c r="J34">
        <v>4.08</v>
      </c>
      <c r="K34">
        <v>7.33</v>
      </c>
      <c r="Q34" s="8"/>
    </row>
    <row r="35" spans="1:17" x14ac:dyDescent="0.35">
      <c r="A35" t="s">
        <v>122</v>
      </c>
      <c r="B35">
        <v>7.21</v>
      </c>
      <c r="C35">
        <v>16.5</v>
      </c>
      <c r="I35" t="s">
        <v>37</v>
      </c>
      <c r="J35">
        <v>4.08</v>
      </c>
      <c r="K35">
        <v>7.33</v>
      </c>
      <c r="Q35" s="9"/>
    </row>
    <row r="36" spans="1:17" x14ac:dyDescent="0.35">
      <c r="A36" t="s">
        <v>123</v>
      </c>
      <c r="B36">
        <v>6.61</v>
      </c>
      <c r="C36">
        <v>12.81</v>
      </c>
      <c r="I36" t="s">
        <v>38</v>
      </c>
      <c r="J36">
        <v>3.71</v>
      </c>
      <c r="K36">
        <v>6.56</v>
      </c>
      <c r="Q36" s="8"/>
    </row>
    <row r="37" spans="1:17" x14ac:dyDescent="0.35">
      <c r="A37" t="s">
        <v>124</v>
      </c>
      <c r="B37">
        <v>6.53</v>
      </c>
      <c r="C37">
        <v>13.68</v>
      </c>
      <c r="I37" t="s">
        <v>39</v>
      </c>
      <c r="J37">
        <v>3.71</v>
      </c>
      <c r="K37">
        <v>6.56</v>
      </c>
      <c r="Q37" s="10"/>
    </row>
    <row r="38" spans="1:17" x14ac:dyDescent="0.35">
      <c r="A38" t="s">
        <v>125</v>
      </c>
      <c r="B38">
        <v>6.88</v>
      </c>
      <c r="C38">
        <v>12.33</v>
      </c>
      <c r="I38" t="s">
        <v>40</v>
      </c>
      <c r="J38">
        <v>3.55</v>
      </c>
      <c r="K38">
        <v>6.86</v>
      </c>
      <c r="Q38" s="9"/>
    </row>
    <row r="39" spans="1:17" x14ac:dyDescent="0.35">
      <c r="I39" t="s">
        <v>41</v>
      </c>
      <c r="J39">
        <v>3.55</v>
      </c>
      <c r="K39">
        <v>6.86</v>
      </c>
      <c r="Q39" s="9"/>
    </row>
    <row r="40" spans="1:17" x14ac:dyDescent="0.35">
      <c r="I40" t="s">
        <v>42</v>
      </c>
      <c r="J40">
        <v>3.65</v>
      </c>
      <c r="K40">
        <v>6.37</v>
      </c>
      <c r="Q40" s="9"/>
    </row>
    <row r="41" spans="1:17" x14ac:dyDescent="0.35">
      <c r="I41" t="s">
        <v>43</v>
      </c>
      <c r="J41">
        <v>3.65</v>
      </c>
      <c r="K41">
        <v>6.37</v>
      </c>
      <c r="Q41" s="10"/>
    </row>
    <row r="42" spans="1:17" x14ac:dyDescent="0.35">
      <c r="I42" t="s">
        <v>44</v>
      </c>
      <c r="J42">
        <v>3.69</v>
      </c>
      <c r="K42">
        <v>6.57</v>
      </c>
      <c r="Q42" s="10"/>
    </row>
    <row r="43" spans="1:17" x14ac:dyDescent="0.35">
      <c r="I43" t="s">
        <v>45</v>
      </c>
      <c r="J43">
        <v>3.69</v>
      </c>
      <c r="K43">
        <v>6.57</v>
      </c>
    </row>
    <row r="44" spans="1:17" x14ac:dyDescent="0.35">
      <c r="I44" t="s">
        <v>46</v>
      </c>
      <c r="J44">
        <v>3.73</v>
      </c>
      <c r="K44">
        <v>6.36</v>
      </c>
      <c r="Q44" s="11"/>
    </row>
    <row r="45" spans="1:17" x14ac:dyDescent="0.35">
      <c r="I45" t="s">
        <v>48</v>
      </c>
      <c r="J45">
        <v>3.73</v>
      </c>
      <c r="K45">
        <v>6.36</v>
      </c>
      <c r="Q45" s="12"/>
    </row>
    <row r="46" spans="1:17" x14ac:dyDescent="0.35">
      <c r="I46" t="s">
        <v>50</v>
      </c>
      <c r="J46">
        <v>4.05</v>
      </c>
      <c r="K46">
        <v>7.7</v>
      </c>
      <c r="Q46" s="13"/>
    </row>
    <row r="47" spans="1:17" x14ac:dyDescent="0.35">
      <c r="I47" t="s">
        <v>52</v>
      </c>
      <c r="J47">
        <v>4.05</v>
      </c>
      <c r="K47">
        <v>7.7</v>
      </c>
    </row>
    <row r="48" spans="1:17" x14ac:dyDescent="0.35">
      <c r="I48" t="s">
        <v>53</v>
      </c>
      <c r="J48">
        <v>3.69</v>
      </c>
      <c r="K48">
        <v>6.83</v>
      </c>
    </row>
    <row r="49" spans="9:11" x14ac:dyDescent="0.35">
      <c r="I49" t="s">
        <v>54</v>
      </c>
      <c r="J49">
        <v>3.69</v>
      </c>
      <c r="K49">
        <v>6.83</v>
      </c>
    </row>
    <row r="50" spans="9:11" x14ac:dyDescent="0.35">
      <c r="I50" t="s">
        <v>55</v>
      </c>
      <c r="J50">
        <v>3.42</v>
      </c>
      <c r="K50">
        <v>7.68</v>
      </c>
    </row>
    <row r="51" spans="9:11" x14ac:dyDescent="0.35">
      <c r="I51" t="s">
        <v>56</v>
      </c>
      <c r="J51">
        <v>3.42</v>
      </c>
      <c r="K51">
        <v>7.68</v>
      </c>
    </row>
    <row r="52" spans="9:11" x14ac:dyDescent="0.35">
      <c r="I52" t="s">
        <v>57</v>
      </c>
      <c r="J52">
        <v>3.17</v>
      </c>
      <c r="K52">
        <v>6.73</v>
      </c>
    </row>
    <row r="53" spans="9:11" x14ac:dyDescent="0.35">
      <c r="I53" t="s">
        <v>58</v>
      </c>
      <c r="J53">
        <v>3.17</v>
      </c>
      <c r="K53">
        <v>6.73</v>
      </c>
    </row>
    <row r="54" spans="9:11" x14ac:dyDescent="0.35">
      <c r="I54" t="s">
        <v>59</v>
      </c>
      <c r="J54">
        <v>3.12</v>
      </c>
      <c r="K54">
        <v>7.07</v>
      </c>
    </row>
    <row r="55" spans="9:11" x14ac:dyDescent="0.35">
      <c r="I55" t="s">
        <v>60</v>
      </c>
      <c r="J55">
        <v>3.12</v>
      </c>
      <c r="K55">
        <v>7.07</v>
      </c>
    </row>
    <row r="56" spans="9:11" x14ac:dyDescent="0.35">
      <c r="I56" t="s">
        <v>61</v>
      </c>
      <c r="J56">
        <v>3.47</v>
      </c>
      <c r="K56">
        <v>6.24</v>
      </c>
    </row>
    <row r="57" spans="9:11" x14ac:dyDescent="0.35">
      <c r="I57" t="s">
        <v>62</v>
      </c>
      <c r="J57">
        <v>3.47</v>
      </c>
      <c r="K57">
        <v>6.24</v>
      </c>
    </row>
    <row r="58" spans="9:11" x14ac:dyDescent="0.35">
      <c r="I58" t="s">
        <v>63</v>
      </c>
      <c r="J58">
        <v>5.71</v>
      </c>
      <c r="K58">
        <v>7.93</v>
      </c>
    </row>
    <row r="59" spans="9:11" x14ac:dyDescent="0.35">
      <c r="I59" t="s">
        <v>64</v>
      </c>
      <c r="J59">
        <v>5.71</v>
      </c>
      <c r="K59">
        <v>7.93</v>
      </c>
    </row>
    <row r="60" spans="9:11" x14ac:dyDescent="0.35">
      <c r="I60" t="s">
        <v>65</v>
      </c>
      <c r="J60">
        <v>7.18</v>
      </c>
      <c r="K60">
        <v>8.51</v>
      </c>
    </row>
    <row r="61" spans="9:11" x14ac:dyDescent="0.35">
      <c r="I61" t="s">
        <v>66</v>
      </c>
      <c r="J61">
        <v>7.18</v>
      </c>
      <c r="K61">
        <v>8.51</v>
      </c>
    </row>
    <row r="62" spans="9:11" x14ac:dyDescent="0.35">
      <c r="I62" t="s">
        <v>67</v>
      </c>
      <c r="J62">
        <v>9.1</v>
      </c>
      <c r="K62">
        <v>15.48</v>
      </c>
    </row>
    <row r="63" spans="9:11" x14ac:dyDescent="0.35">
      <c r="I63" t="s">
        <v>68</v>
      </c>
      <c r="J63">
        <v>9.06</v>
      </c>
      <c r="K63">
        <v>15.48</v>
      </c>
    </row>
    <row r="64" spans="9:11" x14ac:dyDescent="0.35">
      <c r="I64" t="s">
        <v>69</v>
      </c>
      <c r="J64">
        <v>8.6199999999999992</v>
      </c>
      <c r="K64">
        <v>14.69</v>
      </c>
    </row>
    <row r="65" spans="9:11" x14ac:dyDescent="0.35">
      <c r="I65" t="s">
        <v>70</v>
      </c>
      <c r="J65">
        <v>8.6199999999999992</v>
      </c>
      <c r="K65">
        <v>14.69</v>
      </c>
    </row>
    <row r="66" spans="9:11" x14ac:dyDescent="0.35">
      <c r="I66" t="s">
        <v>71</v>
      </c>
      <c r="J66">
        <v>7.72</v>
      </c>
      <c r="K66">
        <v>16.5</v>
      </c>
    </row>
    <row r="67" spans="9:11" x14ac:dyDescent="0.35">
      <c r="I67" t="s">
        <v>72</v>
      </c>
      <c r="J67">
        <v>7.72</v>
      </c>
      <c r="K67">
        <v>16.5</v>
      </c>
    </row>
    <row r="68" spans="9:11" x14ac:dyDescent="0.35">
      <c r="I68" t="s">
        <v>73</v>
      </c>
      <c r="J68">
        <v>7.09</v>
      </c>
      <c r="K68">
        <v>12.81</v>
      </c>
    </row>
    <row r="69" spans="9:11" x14ac:dyDescent="0.35">
      <c r="I69" t="s">
        <v>74</v>
      </c>
      <c r="J69">
        <v>7.09</v>
      </c>
      <c r="K69">
        <v>12.81</v>
      </c>
    </row>
    <row r="70" spans="9:11" x14ac:dyDescent="0.35">
      <c r="I70" t="s">
        <v>75</v>
      </c>
      <c r="J70">
        <v>6.94</v>
      </c>
      <c r="K70">
        <v>13.68</v>
      </c>
    </row>
    <row r="71" spans="9:11" x14ac:dyDescent="0.35">
      <c r="I71" t="s">
        <v>76</v>
      </c>
      <c r="J71">
        <v>6.94</v>
      </c>
      <c r="K71">
        <v>13.68</v>
      </c>
    </row>
    <row r="72" spans="9:11" x14ac:dyDescent="0.35">
      <c r="I72" t="s">
        <v>77</v>
      </c>
      <c r="J72">
        <v>7.42</v>
      </c>
      <c r="K72">
        <v>12.3</v>
      </c>
    </row>
    <row r="73" spans="9:11" x14ac:dyDescent="0.35">
      <c r="I73" t="s">
        <v>78</v>
      </c>
      <c r="J73">
        <v>7.42</v>
      </c>
      <c r="K73">
        <v>12.3</v>
      </c>
    </row>
    <row r="74" spans="9:11" x14ac:dyDescent="0.35">
      <c r="I74" t="s">
        <v>79</v>
      </c>
    </row>
    <row r="75" spans="9:11" x14ac:dyDescent="0.35">
      <c r="I75" t="s">
        <v>80</v>
      </c>
    </row>
    <row r="76" spans="9:11" x14ac:dyDescent="0.35">
      <c r="I76" t="s">
        <v>81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CFC7-AED3-4301-989D-B0FDB5178422}">
  <dimension ref="A1:K76"/>
  <sheetViews>
    <sheetView workbookViewId="0">
      <selection activeCell="J4" sqref="J4"/>
    </sheetView>
  </sheetViews>
  <sheetFormatPr defaultRowHeight="14.5" x14ac:dyDescent="0.35"/>
  <sheetData>
    <row r="1" spans="1:11" x14ac:dyDescent="0.35">
      <c r="A1" t="s">
        <v>1</v>
      </c>
    </row>
    <row r="3" spans="1:11" x14ac:dyDescent="0.35">
      <c r="B3" t="s">
        <v>126</v>
      </c>
      <c r="C3" t="s">
        <v>127</v>
      </c>
      <c r="I3" s="2" t="s">
        <v>4</v>
      </c>
      <c r="J3" s="3" t="s">
        <v>128</v>
      </c>
      <c r="K3" t="s">
        <v>5</v>
      </c>
    </row>
    <row r="4" spans="1:11" x14ac:dyDescent="0.35">
      <c r="A4" t="s">
        <v>6</v>
      </c>
      <c r="B4">
        <v>7.88</v>
      </c>
      <c r="C4">
        <v>7.07</v>
      </c>
      <c r="I4" s="4">
        <v>2008</v>
      </c>
      <c r="J4" s="5">
        <f>AVERAGE(B4:C7)</f>
        <v>8.52</v>
      </c>
      <c r="K4">
        <f>J4*100/36</f>
        <v>23.666666666666668</v>
      </c>
    </row>
    <row r="5" spans="1:11" x14ac:dyDescent="0.35">
      <c r="A5" t="s">
        <v>7</v>
      </c>
      <c r="B5">
        <v>8.16</v>
      </c>
      <c r="C5">
        <v>7.49</v>
      </c>
      <c r="I5" s="4">
        <f>I4+1</f>
        <v>2009</v>
      </c>
      <c r="J5" s="5">
        <f>AVERAGE(B8:C11)</f>
        <v>6.0000000000000009</v>
      </c>
      <c r="K5">
        <f t="shared" ref="K5:K21" si="0">J5*100/36</f>
        <v>16.666666666666671</v>
      </c>
    </row>
    <row r="6" spans="1:11" x14ac:dyDescent="0.35">
      <c r="A6" t="s">
        <v>8</v>
      </c>
      <c r="B6">
        <v>9.92</v>
      </c>
      <c r="C6">
        <v>10.17</v>
      </c>
      <c r="I6" s="4">
        <f t="shared" ref="I6:I21" si="1">I5+1</f>
        <v>2010</v>
      </c>
      <c r="J6" s="5">
        <f>AVERAGE(B12:C15)</f>
        <v>7.6350000000000007</v>
      </c>
      <c r="K6">
        <f t="shared" si="0"/>
        <v>21.208333333333336</v>
      </c>
    </row>
    <row r="7" spans="1:11" x14ac:dyDescent="0.35">
      <c r="A7" t="s">
        <v>9</v>
      </c>
      <c r="B7">
        <v>8.69</v>
      </c>
      <c r="C7">
        <v>8.7799999999999994</v>
      </c>
      <c r="I7" s="4">
        <f t="shared" si="1"/>
        <v>2011</v>
      </c>
      <c r="J7" s="5">
        <f>AVERAGE(B16:C19)</f>
        <v>9.0987500000000008</v>
      </c>
      <c r="K7">
        <f t="shared" si="0"/>
        <v>25.274305555555557</v>
      </c>
    </row>
    <row r="8" spans="1:11" x14ac:dyDescent="0.35">
      <c r="A8" t="s">
        <v>10</v>
      </c>
      <c r="B8">
        <v>5.48</v>
      </c>
      <c r="C8">
        <v>5.52</v>
      </c>
      <c r="I8" s="4">
        <f t="shared" si="1"/>
        <v>2012</v>
      </c>
      <c r="J8" s="5">
        <f>AVERAGE(B20:C23)</f>
        <v>10.221250000000001</v>
      </c>
      <c r="K8">
        <f t="shared" si="0"/>
        <v>28.392361111111114</v>
      </c>
    </row>
    <row r="9" spans="1:11" x14ac:dyDescent="0.35">
      <c r="A9" t="s">
        <v>11</v>
      </c>
      <c r="B9">
        <v>5.85</v>
      </c>
      <c r="C9">
        <v>5.85</v>
      </c>
      <c r="I9" s="4">
        <f t="shared" si="1"/>
        <v>2013</v>
      </c>
      <c r="J9" s="5">
        <f>AVERAGE(B24:C27)</f>
        <v>10.03875</v>
      </c>
      <c r="K9">
        <f t="shared" si="0"/>
        <v>27.885416666666668</v>
      </c>
    </row>
    <row r="10" spans="1:11" x14ac:dyDescent="0.35">
      <c r="A10" t="s">
        <v>12</v>
      </c>
      <c r="B10">
        <v>6.33</v>
      </c>
      <c r="C10">
        <v>6.63</v>
      </c>
      <c r="I10" s="4">
        <f t="shared" si="1"/>
        <v>2014</v>
      </c>
      <c r="J10" s="5">
        <f>AVERAGE(B28:C31)</f>
        <v>9.8074999999999992</v>
      </c>
      <c r="K10">
        <f t="shared" si="0"/>
        <v>27.243055555555554</v>
      </c>
    </row>
    <row r="11" spans="1:11" x14ac:dyDescent="0.35">
      <c r="A11" t="s">
        <v>13</v>
      </c>
      <c r="B11">
        <v>6.27</v>
      </c>
      <c r="C11">
        <v>6.07</v>
      </c>
      <c r="I11" s="4">
        <f t="shared" si="1"/>
        <v>2015</v>
      </c>
      <c r="J11" s="5">
        <f>AVERAGE(B32:C35)</f>
        <v>7.8425000000000002</v>
      </c>
      <c r="K11">
        <f t="shared" si="0"/>
        <v>21.784722222222221</v>
      </c>
    </row>
    <row r="12" spans="1:11" x14ac:dyDescent="0.35">
      <c r="A12" t="s">
        <v>14</v>
      </c>
      <c r="B12">
        <v>6.92</v>
      </c>
      <c r="C12">
        <v>6.73</v>
      </c>
      <c r="I12" s="4">
        <f t="shared" si="1"/>
        <v>2016</v>
      </c>
      <c r="J12" s="5">
        <f>AVERAGE(B36:C39)</f>
        <v>6.8637499999999996</v>
      </c>
      <c r="K12">
        <f t="shared" si="0"/>
        <v>19.065972222222221</v>
      </c>
    </row>
    <row r="13" spans="1:11" x14ac:dyDescent="0.35">
      <c r="A13" t="s">
        <v>15</v>
      </c>
      <c r="B13">
        <v>7.41</v>
      </c>
      <c r="C13">
        <v>7.3</v>
      </c>
      <c r="I13" s="4">
        <f t="shared" si="1"/>
        <v>2017</v>
      </c>
      <c r="J13" s="5">
        <f>AVERAGE(B40:C43)</f>
        <v>7.7074999999999996</v>
      </c>
      <c r="K13">
        <f t="shared" si="0"/>
        <v>21.409722222222221</v>
      </c>
    </row>
    <row r="14" spans="1:11" x14ac:dyDescent="0.35">
      <c r="A14" t="s">
        <v>16</v>
      </c>
      <c r="B14">
        <v>8.17</v>
      </c>
      <c r="C14">
        <v>8.4600000000000009</v>
      </c>
      <c r="I14" s="4">
        <f t="shared" si="1"/>
        <v>2018</v>
      </c>
      <c r="J14" s="5">
        <f>AVERAGE(B44:C47)</f>
        <v>8.6662500000000016</v>
      </c>
      <c r="K14">
        <f t="shared" si="0"/>
        <v>24.072916666666671</v>
      </c>
    </row>
    <row r="15" spans="1:11" x14ac:dyDescent="0.35">
      <c r="A15" t="s">
        <v>17</v>
      </c>
      <c r="B15">
        <v>8.06</v>
      </c>
      <c r="C15">
        <v>8.0299999999999994</v>
      </c>
      <c r="I15" s="4">
        <f t="shared" si="1"/>
        <v>2019</v>
      </c>
      <c r="J15" s="5">
        <f>AVERAGE(B48:C51)</f>
        <v>8.2612500000000004</v>
      </c>
      <c r="K15">
        <f t="shared" si="0"/>
        <v>22.947916666666668</v>
      </c>
    </row>
    <row r="16" spans="1:11" x14ac:dyDescent="0.35">
      <c r="A16" t="s">
        <v>18</v>
      </c>
      <c r="B16">
        <v>8.48</v>
      </c>
      <c r="C16">
        <v>8.33</v>
      </c>
      <c r="I16" s="4">
        <f t="shared" si="1"/>
        <v>2020</v>
      </c>
      <c r="J16" s="5">
        <f>AVERAGE(B52:C55)</f>
        <v>7.0912500000000005</v>
      </c>
      <c r="K16">
        <f t="shared" si="0"/>
        <v>19.697916666666668</v>
      </c>
    </row>
    <row r="17" spans="1:11" x14ac:dyDescent="0.35">
      <c r="A17" t="s">
        <v>19</v>
      </c>
      <c r="B17">
        <v>8.9499999999999993</v>
      </c>
      <c r="C17">
        <v>9.73</v>
      </c>
      <c r="I17" s="4">
        <f t="shared" si="1"/>
        <v>2021</v>
      </c>
      <c r="J17" s="5">
        <f>AVERAGE(B56:C59)</f>
        <v>8.192499999999999</v>
      </c>
      <c r="K17">
        <f t="shared" si="0"/>
        <v>22.756944444444443</v>
      </c>
    </row>
    <row r="18" spans="1:11" x14ac:dyDescent="0.35">
      <c r="A18" t="s">
        <v>20</v>
      </c>
      <c r="B18">
        <v>9.16</v>
      </c>
      <c r="C18">
        <v>9.1199999999999992</v>
      </c>
      <c r="I18" s="4">
        <f t="shared" si="1"/>
        <v>2022</v>
      </c>
      <c r="J18" s="5">
        <f>AVERAGE(B60:C63)</f>
        <v>13.237499999999997</v>
      </c>
      <c r="K18">
        <f t="shared" si="0"/>
        <v>36.770833333333329</v>
      </c>
    </row>
    <row r="19" spans="1:11" x14ac:dyDescent="0.35">
      <c r="A19" t="s">
        <v>21</v>
      </c>
      <c r="B19">
        <v>9.58</v>
      </c>
      <c r="C19">
        <v>9.44</v>
      </c>
      <c r="I19" s="4">
        <f t="shared" si="1"/>
        <v>2023</v>
      </c>
      <c r="J19" s="5">
        <f>AVERAGE(B64:C67)</f>
        <v>12.001250000000001</v>
      </c>
      <c r="K19">
        <f t="shared" si="0"/>
        <v>33.336805555555557</v>
      </c>
    </row>
    <row r="20" spans="1:11" x14ac:dyDescent="0.35">
      <c r="A20" t="s">
        <v>22</v>
      </c>
      <c r="B20">
        <v>9.9600000000000009</v>
      </c>
      <c r="C20">
        <v>9.75</v>
      </c>
      <c r="I20" s="4">
        <f t="shared" si="1"/>
        <v>2024</v>
      </c>
      <c r="J20" s="5">
        <f>AVERAGE(B68:C71)</f>
        <v>11.6875</v>
      </c>
      <c r="K20">
        <f t="shared" si="0"/>
        <v>32.465277777777779</v>
      </c>
    </row>
    <row r="21" spans="1:11" x14ac:dyDescent="0.35">
      <c r="A21" t="s">
        <v>23</v>
      </c>
      <c r="B21">
        <v>10.42</v>
      </c>
      <c r="C21">
        <v>10.32</v>
      </c>
      <c r="I21" s="6">
        <f t="shared" si="1"/>
        <v>2025</v>
      </c>
      <c r="J21" s="7">
        <f>AVERAGE(B72:C75)</f>
        <v>11.2225</v>
      </c>
      <c r="K21">
        <f t="shared" si="0"/>
        <v>31.173611111111111</v>
      </c>
    </row>
    <row r="22" spans="1:11" x14ac:dyDescent="0.35">
      <c r="A22" t="s">
        <v>24</v>
      </c>
      <c r="B22">
        <v>10.45</v>
      </c>
      <c r="C22">
        <v>9.69</v>
      </c>
    </row>
    <row r="23" spans="1:11" x14ac:dyDescent="0.35">
      <c r="A23" t="s">
        <v>25</v>
      </c>
      <c r="B23">
        <v>10.68</v>
      </c>
      <c r="C23">
        <v>10.5</v>
      </c>
    </row>
    <row r="24" spans="1:11" x14ac:dyDescent="0.35">
      <c r="A24" t="s">
        <v>26</v>
      </c>
      <c r="B24">
        <v>10.17</v>
      </c>
      <c r="C24">
        <v>10.09</v>
      </c>
    </row>
    <row r="25" spans="1:11" x14ac:dyDescent="0.35">
      <c r="A25" t="s">
        <v>27</v>
      </c>
      <c r="B25">
        <v>10.3</v>
      </c>
      <c r="C25">
        <v>10.130000000000001</v>
      </c>
      <c r="I25" s="10"/>
    </row>
    <row r="26" spans="1:11" x14ac:dyDescent="0.35">
      <c r="A26" t="s">
        <v>28</v>
      </c>
      <c r="B26">
        <v>9.98</v>
      </c>
      <c r="C26">
        <v>9.69</v>
      </c>
      <c r="I26" s="9"/>
    </row>
    <row r="27" spans="1:11" x14ac:dyDescent="0.35">
      <c r="A27" t="s">
        <v>29</v>
      </c>
      <c r="B27">
        <v>10.14</v>
      </c>
      <c r="C27">
        <v>9.81</v>
      </c>
      <c r="I27" s="9"/>
    </row>
    <row r="28" spans="1:11" x14ac:dyDescent="0.35">
      <c r="A28" t="s">
        <v>30</v>
      </c>
      <c r="B28">
        <v>10.199999999999999</v>
      </c>
      <c r="C28">
        <v>9.92</v>
      </c>
      <c r="I28" s="9"/>
    </row>
    <row r="29" spans="1:11" x14ac:dyDescent="0.35">
      <c r="A29" t="s">
        <v>31</v>
      </c>
      <c r="B29">
        <v>9.89</v>
      </c>
      <c r="C29">
        <v>9.5299999999999994</v>
      </c>
      <c r="I29" s="8"/>
    </row>
    <row r="30" spans="1:11" x14ac:dyDescent="0.35">
      <c r="A30" t="s">
        <v>32</v>
      </c>
      <c r="B30">
        <v>10.039999999999999</v>
      </c>
      <c r="C30">
        <v>9.66</v>
      </c>
      <c r="I30" s="8"/>
    </row>
    <row r="31" spans="1:11" x14ac:dyDescent="0.35">
      <c r="A31" t="s">
        <v>33</v>
      </c>
      <c r="B31">
        <v>9.73</v>
      </c>
      <c r="C31">
        <v>9.49</v>
      </c>
      <c r="I31" s="10"/>
    </row>
    <row r="32" spans="1:11" x14ac:dyDescent="0.35">
      <c r="A32" t="s">
        <v>34</v>
      </c>
      <c r="B32">
        <v>7.84</v>
      </c>
      <c r="C32">
        <v>7.55</v>
      </c>
      <c r="I32" s="10"/>
    </row>
    <row r="33" spans="1:9" x14ac:dyDescent="0.35">
      <c r="A33" t="s">
        <v>35</v>
      </c>
      <c r="B33">
        <v>8.2100000000000009</v>
      </c>
      <c r="C33">
        <v>7.86</v>
      </c>
      <c r="I33" s="9"/>
    </row>
    <row r="34" spans="1:9" x14ac:dyDescent="0.35">
      <c r="A34" t="s">
        <v>36</v>
      </c>
      <c r="B34">
        <v>8.5</v>
      </c>
      <c r="C34">
        <v>8</v>
      </c>
      <c r="I34" s="9"/>
    </row>
    <row r="35" spans="1:9" x14ac:dyDescent="0.35">
      <c r="A35" t="s">
        <v>37</v>
      </c>
      <c r="B35">
        <v>7.66</v>
      </c>
      <c r="C35">
        <v>7.12</v>
      </c>
      <c r="I35" s="10"/>
    </row>
    <row r="36" spans="1:9" x14ac:dyDescent="0.35">
      <c r="A36" t="s">
        <v>38</v>
      </c>
      <c r="B36">
        <v>6.77</v>
      </c>
      <c r="C36">
        <v>6.33</v>
      </c>
      <c r="I36" s="10"/>
    </row>
    <row r="37" spans="1:9" x14ac:dyDescent="0.35">
      <c r="A37" t="s">
        <v>39</v>
      </c>
      <c r="B37">
        <v>6.83</v>
      </c>
      <c r="C37">
        <v>6.37</v>
      </c>
      <c r="I37" s="9"/>
    </row>
    <row r="38" spans="1:9" x14ac:dyDescent="0.35">
      <c r="A38" t="s">
        <v>40</v>
      </c>
      <c r="B38">
        <v>7.23</v>
      </c>
      <c r="C38">
        <v>6.86</v>
      </c>
      <c r="I38" s="9"/>
    </row>
    <row r="39" spans="1:9" x14ac:dyDescent="0.35">
      <c r="A39" t="s">
        <v>41</v>
      </c>
      <c r="B39">
        <v>7.52</v>
      </c>
      <c r="C39">
        <v>7</v>
      </c>
      <c r="I39" s="10"/>
    </row>
    <row r="40" spans="1:9" x14ac:dyDescent="0.35">
      <c r="A40" t="s">
        <v>42</v>
      </c>
      <c r="B40">
        <v>8.2899999999999991</v>
      </c>
      <c r="C40">
        <v>7.81</v>
      </c>
      <c r="I40" s="8"/>
    </row>
    <row r="41" spans="1:9" x14ac:dyDescent="0.35">
      <c r="A41" t="s">
        <v>43</v>
      </c>
      <c r="B41">
        <v>7.86</v>
      </c>
      <c r="C41">
        <v>7.46</v>
      </c>
      <c r="I41" s="10"/>
    </row>
    <row r="42" spans="1:9" x14ac:dyDescent="0.35">
      <c r="A42" t="s">
        <v>44</v>
      </c>
      <c r="B42">
        <v>7.49</v>
      </c>
      <c r="C42">
        <v>7.06</v>
      </c>
    </row>
    <row r="43" spans="1:9" x14ac:dyDescent="0.35">
      <c r="A43" t="s">
        <v>45</v>
      </c>
      <c r="B43">
        <v>8.08</v>
      </c>
      <c r="C43">
        <v>7.61</v>
      </c>
      <c r="I43" s="11"/>
    </row>
    <row r="44" spans="1:9" x14ac:dyDescent="0.35">
      <c r="A44" t="s">
        <v>46</v>
      </c>
      <c r="B44">
        <v>8.41</v>
      </c>
      <c r="C44">
        <v>7.98</v>
      </c>
      <c r="I44" s="12"/>
    </row>
    <row r="45" spans="1:9" x14ac:dyDescent="0.35">
      <c r="A45" t="s">
        <v>48</v>
      </c>
      <c r="B45">
        <v>8.4499999999999993</v>
      </c>
      <c r="C45">
        <v>8.01</v>
      </c>
      <c r="I45" s="13"/>
    </row>
    <row r="46" spans="1:9" x14ac:dyDescent="0.35">
      <c r="A46" t="s">
        <v>50</v>
      </c>
      <c r="B46">
        <v>9.16</v>
      </c>
      <c r="C46">
        <v>8.69</v>
      </c>
    </row>
    <row r="47" spans="1:9" x14ac:dyDescent="0.35">
      <c r="A47" t="s">
        <v>52</v>
      </c>
      <c r="B47">
        <v>9.4499999999999993</v>
      </c>
      <c r="C47">
        <v>9.18</v>
      </c>
    </row>
    <row r="48" spans="1:9" x14ac:dyDescent="0.35">
      <c r="A48" t="s">
        <v>53</v>
      </c>
      <c r="B48">
        <v>8.19</v>
      </c>
      <c r="C48">
        <v>7.61</v>
      </c>
    </row>
    <row r="49" spans="1:3" x14ac:dyDescent="0.35">
      <c r="A49" t="s">
        <v>54</v>
      </c>
      <c r="B49">
        <v>8.57</v>
      </c>
      <c r="C49">
        <v>8.24</v>
      </c>
    </row>
    <row r="50" spans="1:3" x14ac:dyDescent="0.35">
      <c r="A50" t="s">
        <v>55</v>
      </c>
      <c r="B50">
        <v>8.75</v>
      </c>
      <c r="C50">
        <v>8.44</v>
      </c>
    </row>
    <row r="51" spans="1:3" x14ac:dyDescent="0.35">
      <c r="A51" t="s">
        <v>56</v>
      </c>
      <c r="B51">
        <v>8.8800000000000008</v>
      </c>
      <c r="C51">
        <v>7.41</v>
      </c>
    </row>
    <row r="52" spans="1:3" x14ac:dyDescent="0.35">
      <c r="A52" t="s">
        <v>57</v>
      </c>
      <c r="B52">
        <v>8.92</v>
      </c>
      <c r="C52">
        <v>8.6</v>
      </c>
    </row>
    <row r="53" spans="1:3" x14ac:dyDescent="0.35">
      <c r="A53" t="s">
        <v>58</v>
      </c>
      <c r="B53">
        <v>7.19</v>
      </c>
      <c r="C53">
        <v>5.86</v>
      </c>
    </row>
    <row r="54" spans="1:3" x14ac:dyDescent="0.35">
      <c r="A54" t="s">
        <v>59</v>
      </c>
      <c r="B54">
        <v>7.18</v>
      </c>
      <c r="C54">
        <v>6.15</v>
      </c>
    </row>
    <row r="55" spans="1:3" x14ac:dyDescent="0.35">
      <c r="A55" t="s">
        <v>60</v>
      </c>
      <c r="B55">
        <v>6.91</v>
      </c>
      <c r="C55">
        <v>5.92</v>
      </c>
    </row>
    <row r="56" spans="1:3" x14ac:dyDescent="0.35">
      <c r="A56" t="s">
        <v>61</v>
      </c>
      <c r="B56">
        <v>7.22</v>
      </c>
      <c r="C56">
        <v>6.76</v>
      </c>
    </row>
    <row r="57" spans="1:3" x14ac:dyDescent="0.35">
      <c r="A57" t="s">
        <v>62</v>
      </c>
      <c r="B57">
        <v>8.08</v>
      </c>
      <c r="C57">
        <v>7.57</v>
      </c>
    </row>
    <row r="58" spans="1:3" x14ac:dyDescent="0.35">
      <c r="A58" t="s">
        <v>63</v>
      </c>
      <c r="B58">
        <v>8.8699999999999992</v>
      </c>
      <c r="C58">
        <v>8.3699999999999992</v>
      </c>
    </row>
    <row r="59" spans="1:3" x14ac:dyDescent="0.35">
      <c r="A59" t="s">
        <v>64</v>
      </c>
      <c r="B59">
        <v>9.5</v>
      </c>
      <c r="C59">
        <v>9.17</v>
      </c>
    </row>
    <row r="60" spans="1:3" x14ac:dyDescent="0.35">
      <c r="A60" t="s">
        <v>65</v>
      </c>
      <c r="B60">
        <v>9.83</v>
      </c>
      <c r="C60">
        <v>9.82</v>
      </c>
    </row>
    <row r="61" spans="1:3" x14ac:dyDescent="0.35">
      <c r="A61" t="s">
        <v>66</v>
      </c>
      <c r="B61">
        <v>13.51</v>
      </c>
      <c r="C61">
        <v>13.91</v>
      </c>
    </row>
    <row r="62" spans="1:3" x14ac:dyDescent="0.35">
      <c r="A62" t="s">
        <v>67</v>
      </c>
      <c r="B62">
        <v>15.41</v>
      </c>
      <c r="C62">
        <v>15.49</v>
      </c>
    </row>
    <row r="63" spans="1:3" x14ac:dyDescent="0.35">
      <c r="A63" t="s">
        <v>68</v>
      </c>
      <c r="B63">
        <v>14.27</v>
      </c>
      <c r="C63">
        <v>13.66</v>
      </c>
    </row>
    <row r="64" spans="1:3" x14ac:dyDescent="0.35">
      <c r="A64" t="s">
        <v>69</v>
      </c>
      <c r="B64">
        <v>12.47</v>
      </c>
      <c r="C64">
        <v>12.58</v>
      </c>
    </row>
    <row r="65" spans="1:3" x14ac:dyDescent="0.35">
      <c r="A65" t="s">
        <v>70</v>
      </c>
      <c r="B65">
        <v>11.03</v>
      </c>
      <c r="C65">
        <v>11.16</v>
      </c>
    </row>
    <row r="66" spans="1:3" x14ac:dyDescent="0.35">
      <c r="A66" t="s">
        <v>71</v>
      </c>
      <c r="B66">
        <v>10.65</v>
      </c>
      <c r="C66">
        <v>11.05</v>
      </c>
    </row>
    <row r="67" spans="1:3" x14ac:dyDescent="0.35">
      <c r="A67" t="s">
        <v>72</v>
      </c>
      <c r="B67">
        <v>13.34</v>
      </c>
      <c r="C67">
        <v>13.73</v>
      </c>
    </row>
    <row r="68" spans="1:3" x14ac:dyDescent="0.35">
      <c r="A68" t="s">
        <v>73</v>
      </c>
      <c r="B68">
        <v>11.45</v>
      </c>
      <c r="C68">
        <v>11.84</v>
      </c>
    </row>
    <row r="69" spans="1:3" x14ac:dyDescent="0.35">
      <c r="A69" t="s">
        <v>74</v>
      </c>
      <c r="B69">
        <v>11.99</v>
      </c>
      <c r="C69">
        <v>12.05</v>
      </c>
    </row>
    <row r="70" spans="1:3" x14ac:dyDescent="0.35">
      <c r="A70" t="s">
        <v>75</v>
      </c>
      <c r="B70">
        <v>12.03</v>
      </c>
      <c r="C70">
        <v>12.34</v>
      </c>
    </row>
    <row r="71" spans="1:3" x14ac:dyDescent="0.35">
      <c r="A71" t="s">
        <v>76</v>
      </c>
      <c r="B71">
        <v>10.98</v>
      </c>
      <c r="C71">
        <v>10.82</v>
      </c>
    </row>
    <row r="72" spans="1:3" x14ac:dyDescent="0.35">
      <c r="A72" t="s">
        <v>77</v>
      </c>
      <c r="B72">
        <v>11.49</v>
      </c>
      <c r="C72">
        <v>11.42</v>
      </c>
    </row>
    <row r="73" spans="1:3" x14ac:dyDescent="0.35">
      <c r="A73" t="s">
        <v>78</v>
      </c>
      <c r="B73">
        <v>11.3</v>
      </c>
      <c r="C73">
        <v>11.35</v>
      </c>
    </row>
    <row r="74" spans="1:3" x14ac:dyDescent="0.35">
      <c r="A74" t="s">
        <v>79</v>
      </c>
      <c r="B74">
        <v>10.97</v>
      </c>
      <c r="C74">
        <v>10.9</v>
      </c>
    </row>
    <row r="75" spans="1:3" x14ac:dyDescent="0.35">
      <c r="A75" t="s">
        <v>80</v>
      </c>
      <c r="B75">
        <v>11.24</v>
      </c>
      <c r="C75">
        <v>11.11</v>
      </c>
    </row>
    <row r="76" spans="1:3" x14ac:dyDescent="0.35">
      <c r="A76" t="s">
        <v>81</v>
      </c>
      <c r="B76">
        <v>10.75</v>
      </c>
      <c r="C76">
        <v>10.86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A23E9-F772-4D68-A113-3A36DA99E122}">
  <sheetPr>
    <tabColor rgb="FFE56B6F"/>
  </sheetPr>
  <dimension ref="A1:F626"/>
  <sheetViews>
    <sheetView workbookViewId="0">
      <selection activeCell="H31" sqref="H31"/>
    </sheetView>
  </sheetViews>
  <sheetFormatPr defaultRowHeight="14.5" x14ac:dyDescent="0.35"/>
  <cols>
    <col min="1" max="4" width="8.7265625" style="1"/>
    <col min="5" max="5" width="30.453125" style="1" customWidth="1"/>
    <col min="6" max="6" width="14.90625" style="1" customWidth="1"/>
  </cols>
  <sheetData>
    <row r="1" spans="1:6" x14ac:dyDescent="0.35">
      <c r="A1" s="1" t="s">
        <v>4</v>
      </c>
      <c r="B1" s="1" t="s">
        <v>129</v>
      </c>
      <c r="C1" s="1" t="s">
        <v>130</v>
      </c>
      <c r="D1" s="1" t="s">
        <v>131</v>
      </c>
      <c r="E1" s="1" t="s">
        <v>132</v>
      </c>
      <c r="F1" s="14" t="s">
        <v>133</v>
      </c>
    </row>
    <row r="2" spans="1:6" x14ac:dyDescent="0.35">
      <c r="A2" s="1">
        <v>2026</v>
      </c>
      <c r="B2" s="1">
        <v>33.472539153766967</v>
      </c>
      <c r="C2" s="1">
        <v>34.062781323454438</v>
      </c>
      <c r="D2" s="1">
        <v>34.868154847434539</v>
      </c>
      <c r="E2" s="1" t="s">
        <v>134</v>
      </c>
      <c r="F2" s="1">
        <v>1</v>
      </c>
    </row>
    <row r="3" spans="1:6" x14ac:dyDescent="0.35">
      <c r="A3" s="1">
        <v>2027</v>
      </c>
      <c r="B3" s="1">
        <v>30.913939377275611</v>
      </c>
      <c r="C3" s="1">
        <v>32.102547116089937</v>
      </c>
      <c r="D3" s="1">
        <v>35.482677594054962</v>
      </c>
      <c r="E3" s="1" t="s">
        <v>134</v>
      </c>
      <c r="F3" s="1">
        <v>1</v>
      </c>
    </row>
    <row r="4" spans="1:6" x14ac:dyDescent="0.35">
      <c r="A4" s="1">
        <v>2028</v>
      </c>
      <c r="B4" s="1">
        <v>30.348104744659221</v>
      </c>
      <c r="C4" s="1">
        <v>33.084908249435017</v>
      </c>
      <c r="D4" s="1">
        <v>34.615997240477142</v>
      </c>
      <c r="E4" s="1" t="s">
        <v>134</v>
      </c>
      <c r="F4" s="1">
        <v>1</v>
      </c>
    </row>
    <row r="5" spans="1:6" x14ac:dyDescent="0.35">
      <c r="A5" s="1">
        <v>2029</v>
      </c>
      <c r="B5" s="1">
        <v>29.99723850556116</v>
      </c>
      <c r="C5" s="1">
        <v>33.225285739796902</v>
      </c>
      <c r="D5" s="1">
        <v>35.017608865014147</v>
      </c>
      <c r="E5" s="1" t="s">
        <v>134</v>
      </c>
      <c r="F5" s="1">
        <v>1</v>
      </c>
    </row>
    <row r="6" spans="1:6" x14ac:dyDescent="0.35">
      <c r="A6" s="1">
        <v>2030</v>
      </c>
      <c r="B6" s="1">
        <v>30.45934084250165</v>
      </c>
      <c r="C6" s="1">
        <v>33.422671338795091</v>
      </c>
      <c r="D6" s="1">
        <v>36.874189997108509</v>
      </c>
      <c r="E6" s="1" t="s">
        <v>134</v>
      </c>
      <c r="F6" s="1">
        <v>1</v>
      </c>
    </row>
    <row r="7" spans="1:6" x14ac:dyDescent="0.35">
      <c r="A7" s="1">
        <v>2031</v>
      </c>
      <c r="B7" s="1">
        <v>30.230580029574089</v>
      </c>
      <c r="C7" s="1">
        <v>33.180261791721783</v>
      </c>
      <c r="D7" s="1">
        <v>36.925534981025613</v>
      </c>
      <c r="E7" s="1" t="s">
        <v>134</v>
      </c>
      <c r="F7" s="1">
        <v>1</v>
      </c>
    </row>
    <row r="8" spans="1:6" x14ac:dyDescent="0.35">
      <c r="A8" s="1">
        <v>2032</v>
      </c>
      <c r="B8" s="1">
        <v>30.65605147650022</v>
      </c>
      <c r="C8" s="1">
        <v>32.454935383797647</v>
      </c>
      <c r="D8" s="1">
        <v>36.651247166644467</v>
      </c>
      <c r="E8" s="1" t="s">
        <v>134</v>
      </c>
      <c r="F8" s="1">
        <v>1</v>
      </c>
    </row>
    <row r="9" spans="1:6" x14ac:dyDescent="0.35">
      <c r="A9" s="1">
        <v>2033</v>
      </c>
      <c r="B9" s="1">
        <v>30.314680653785111</v>
      </c>
      <c r="C9" s="1">
        <v>32.39366144543262</v>
      </c>
      <c r="D9" s="1">
        <v>36.616350971727812</v>
      </c>
      <c r="E9" s="1" t="s">
        <v>134</v>
      </c>
      <c r="F9" s="1">
        <v>1</v>
      </c>
    </row>
    <row r="10" spans="1:6" x14ac:dyDescent="0.35">
      <c r="A10" s="1">
        <v>2034</v>
      </c>
      <c r="B10" s="1">
        <v>29.9146881945003</v>
      </c>
      <c r="C10" s="1">
        <v>32.941377465012302</v>
      </c>
      <c r="D10" s="1">
        <v>36.351310515037277</v>
      </c>
      <c r="E10" s="1" t="s">
        <v>134</v>
      </c>
      <c r="F10" s="1">
        <v>1</v>
      </c>
    </row>
    <row r="11" spans="1:6" x14ac:dyDescent="0.35">
      <c r="A11" s="1">
        <v>2035</v>
      </c>
      <c r="B11" s="1">
        <v>29.344394782215581</v>
      </c>
      <c r="C11" s="1">
        <v>34.032857642617863</v>
      </c>
      <c r="D11" s="1">
        <v>36.760775201562588</v>
      </c>
      <c r="E11" s="1" t="s">
        <v>134</v>
      </c>
      <c r="F11" s="1">
        <v>1</v>
      </c>
    </row>
    <row r="12" spans="1:6" x14ac:dyDescent="0.35">
      <c r="A12" s="1">
        <v>2036</v>
      </c>
      <c r="B12" s="1">
        <v>28.873325936021399</v>
      </c>
      <c r="C12" s="1">
        <v>33.622999675358052</v>
      </c>
      <c r="D12" s="1">
        <v>37.655993551038392</v>
      </c>
      <c r="E12" s="1" t="s">
        <v>134</v>
      </c>
      <c r="F12" s="1">
        <v>1</v>
      </c>
    </row>
    <row r="13" spans="1:6" x14ac:dyDescent="0.35">
      <c r="A13" s="1">
        <v>2037</v>
      </c>
      <c r="B13" s="1">
        <v>28.841691497729549</v>
      </c>
      <c r="C13" s="1">
        <v>33.081337109272432</v>
      </c>
      <c r="D13" s="1">
        <v>37.188720162797928</v>
      </c>
      <c r="E13" s="1" t="s">
        <v>134</v>
      </c>
      <c r="F13" s="1">
        <v>1</v>
      </c>
    </row>
    <row r="14" spans="1:6" x14ac:dyDescent="0.35">
      <c r="A14" s="1">
        <v>2038</v>
      </c>
      <c r="B14" s="1">
        <v>28.357794517997728</v>
      </c>
      <c r="C14" s="1">
        <v>31.885650536863881</v>
      </c>
      <c r="D14" s="1">
        <v>37.859937788989107</v>
      </c>
      <c r="E14" s="1" t="s">
        <v>134</v>
      </c>
      <c r="F14" s="1">
        <v>1</v>
      </c>
    </row>
    <row r="15" spans="1:6" x14ac:dyDescent="0.35">
      <c r="A15" s="1">
        <v>2039</v>
      </c>
      <c r="B15" s="1">
        <v>29.239912318192669</v>
      </c>
      <c r="C15" s="1">
        <v>32.321936826403437</v>
      </c>
      <c r="D15" s="1">
        <v>37.089739004704782</v>
      </c>
      <c r="E15" s="1" t="s">
        <v>134</v>
      </c>
      <c r="F15" s="1">
        <v>1</v>
      </c>
    </row>
    <row r="16" spans="1:6" x14ac:dyDescent="0.35">
      <c r="A16" s="1">
        <v>2040</v>
      </c>
      <c r="B16" s="1">
        <v>28.715422253510429</v>
      </c>
      <c r="C16" s="1">
        <v>32.458622143559651</v>
      </c>
      <c r="D16" s="1">
        <v>36.946329680154577</v>
      </c>
      <c r="E16" s="1" t="s">
        <v>134</v>
      </c>
      <c r="F16" s="1">
        <v>1</v>
      </c>
    </row>
    <row r="17" spans="1:6" x14ac:dyDescent="0.35">
      <c r="A17" s="1">
        <v>2041</v>
      </c>
      <c r="B17" s="1">
        <v>28.914799763083568</v>
      </c>
      <c r="C17" s="1">
        <v>33.45473347165747</v>
      </c>
      <c r="D17" s="1">
        <v>36.65649478520205</v>
      </c>
      <c r="E17" s="1" t="s">
        <v>134</v>
      </c>
      <c r="F17" s="1">
        <v>1</v>
      </c>
    </row>
    <row r="18" spans="1:6" x14ac:dyDescent="0.35">
      <c r="A18" s="1">
        <v>2042</v>
      </c>
      <c r="B18" s="1">
        <v>29.023639669566752</v>
      </c>
      <c r="C18" s="1">
        <v>33.088410377629224</v>
      </c>
      <c r="D18" s="1">
        <v>36.91702474705761</v>
      </c>
      <c r="E18" s="1" t="s">
        <v>134</v>
      </c>
      <c r="F18" s="1">
        <v>1</v>
      </c>
    </row>
    <row r="19" spans="1:6" x14ac:dyDescent="0.35">
      <c r="A19" s="1">
        <v>2043</v>
      </c>
      <c r="B19" s="1">
        <v>28.47844327280896</v>
      </c>
      <c r="C19" s="1">
        <v>32.859657271407677</v>
      </c>
      <c r="D19" s="1">
        <v>37.112504360244642</v>
      </c>
      <c r="E19" s="1" t="s">
        <v>134</v>
      </c>
      <c r="F19" s="1">
        <v>1</v>
      </c>
    </row>
    <row r="20" spans="1:6" x14ac:dyDescent="0.35">
      <c r="A20" s="1">
        <v>2044</v>
      </c>
      <c r="B20" s="1">
        <v>28.72614955655493</v>
      </c>
      <c r="C20" s="1">
        <v>33.185639235274699</v>
      </c>
      <c r="D20" s="1">
        <v>37.192137884730613</v>
      </c>
      <c r="E20" s="1" t="s">
        <v>134</v>
      </c>
      <c r="F20" s="1">
        <v>1</v>
      </c>
    </row>
    <row r="21" spans="1:6" x14ac:dyDescent="0.35">
      <c r="A21" s="1">
        <v>2045</v>
      </c>
      <c r="B21" s="1">
        <v>28.961399565720701</v>
      </c>
      <c r="C21" s="1">
        <v>32.360501756163998</v>
      </c>
      <c r="D21" s="1">
        <v>37.028215293947603</v>
      </c>
      <c r="E21" s="1" t="s">
        <v>134</v>
      </c>
      <c r="F21" s="1">
        <v>1</v>
      </c>
    </row>
    <row r="22" spans="1:6" x14ac:dyDescent="0.35">
      <c r="A22" s="1">
        <v>2046</v>
      </c>
      <c r="B22" s="1">
        <v>28.765292645081932</v>
      </c>
      <c r="C22" s="1">
        <v>33.130084345590546</v>
      </c>
      <c r="D22" s="1">
        <v>37.169261733005527</v>
      </c>
      <c r="E22" s="1" t="s">
        <v>134</v>
      </c>
      <c r="F22" s="1">
        <v>1</v>
      </c>
    </row>
    <row r="23" spans="1:6" x14ac:dyDescent="0.35">
      <c r="A23" s="1">
        <v>2047</v>
      </c>
      <c r="B23" s="1">
        <v>28.25608095055825</v>
      </c>
      <c r="C23" s="1">
        <v>33.462875881748907</v>
      </c>
      <c r="D23" s="1">
        <v>37.728630205958062</v>
      </c>
      <c r="E23" s="1" t="s">
        <v>134</v>
      </c>
      <c r="F23" s="1">
        <v>1</v>
      </c>
    </row>
    <row r="24" spans="1:6" x14ac:dyDescent="0.35">
      <c r="A24" s="1">
        <v>2048</v>
      </c>
      <c r="B24" s="1">
        <v>28.811067061192642</v>
      </c>
      <c r="C24" s="1">
        <v>33.396995934836283</v>
      </c>
      <c r="D24" s="1">
        <v>38.409136744512253</v>
      </c>
      <c r="E24" s="1" t="s">
        <v>134</v>
      </c>
      <c r="F24" s="1">
        <v>1</v>
      </c>
    </row>
    <row r="25" spans="1:6" x14ac:dyDescent="0.35">
      <c r="A25" s="1">
        <v>2049</v>
      </c>
      <c r="B25" s="1">
        <v>28.798871241747921</v>
      </c>
      <c r="C25" s="1">
        <v>33.072110437490153</v>
      </c>
      <c r="D25" s="1">
        <v>37.380428678130258</v>
      </c>
      <c r="E25" s="1" t="s">
        <v>134</v>
      </c>
      <c r="F25" s="1">
        <v>1</v>
      </c>
    </row>
    <row r="26" spans="1:6" x14ac:dyDescent="0.35">
      <c r="A26" s="1">
        <v>2050</v>
      </c>
      <c r="B26" s="1">
        <v>29.122686738186001</v>
      </c>
      <c r="C26" s="1">
        <v>32.970740841435799</v>
      </c>
      <c r="D26" s="1">
        <v>37.564708537454649</v>
      </c>
      <c r="E26" s="1" t="s">
        <v>134</v>
      </c>
      <c r="F26" s="1">
        <v>1</v>
      </c>
    </row>
    <row r="27" spans="1:6" x14ac:dyDescent="0.35">
      <c r="A27" s="1">
        <v>2026</v>
      </c>
      <c r="B27" s="1">
        <v>24.62007031390683</v>
      </c>
      <c r="C27" s="1">
        <v>25.254901015387389</v>
      </c>
      <c r="D27" s="1">
        <v>25.685279003237749</v>
      </c>
      <c r="E27" s="1" t="s">
        <v>135</v>
      </c>
      <c r="F27" s="1">
        <v>1</v>
      </c>
    </row>
    <row r="28" spans="1:6" x14ac:dyDescent="0.35">
      <c r="A28" s="1">
        <v>2027</v>
      </c>
      <c r="B28" s="1">
        <v>24.61899589458924</v>
      </c>
      <c r="C28" s="1">
        <v>25.39860942571466</v>
      </c>
      <c r="D28" s="1">
        <v>25.804512133798131</v>
      </c>
      <c r="E28" s="1" t="s">
        <v>135</v>
      </c>
      <c r="F28" s="1">
        <v>1</v>
      </c>
    </row>
    <row r="29" spans="1:6" x14ac:dyDescent="0.35">
      <c r="A29" s="1">
        <v>2028</v>
      </c>
      <c r="B29" s="1">
        <v>24.404235774005279</v>
      </c>
      <c r="C29" s="1">
        <v>25.734670629527599</v>
      </c>
      <c r="D29" s="1">
        <v>26.05509486801639</v>
      </c>
      <c r="E29" s="1" t="s">
        <v>135</v>
      </c>
      <c r="F29" s="1">
        <v>1</v>
      </c>
    </row>
    <row r="30" spans="1:6" x14ac:dyDescent="0.35">
      <c r="A30" s="1">
        <v>2029</v>
      </c>
      <c r="B30" s="1">
        <v>24.276252348067739</v>
      </c>
      <c r="C30" s="1">
        <v>25.640057905607929</v>
      </c>
      <c r="D30" s="1">
        <v>26.449174102827008</v>
      </c>
      <c r="E30" s="1" t="s">
        <v>135</v>
      </c>
      <c r="F30" s="1">
        <v>1</v>
      </c>
    </row>
    <row r="31" spans="1:6" x14ac:dyDescent="0.35">
      <c r="A31" s="1">
        <v>2030</v>
      </c>
      <c r="B31" s="1">
        <v>24.124019297434501</v>
      </c>
      <c r="C31" s="1">
        <v>25.57277477084147</v>
      </c>
      <c r="D31" s="1">
        <v>26.385562519517329</v>
      </c>
      <c r="E31" s="1" t="s">
        <v>135</v>
      </c>
      <c r="F31" s="1">
        <v>1</v>
      </c>
    </row>
    <row r="32" spans="1:6" x14ac:dyDescent="0.35">
      <c r="A32" s="1">
        <v>2031</v>
      </c>
      <c r="B32" s="1">
        <v>32.556600175382812</v>
      </c>
      <c r="C32" s="1">
        <v>35.326375316849763</v>
      </c>
      <c r="D32" s="1">
        <v>36.650368907418539</v>
      </c>
      <c r="E32" s="1" t="s">
        <v>135</v>
      </c>
      <c r="F32" s="1">
        <v>1</v>
      </c>
    </row>
    <row r="33" spans="1:6" x14ac:dyDescent="0.35">
      <c r="A33" s="1">
        <v>2032</v>
      </c>
      <c r="B33" s="1">
        <v>30.94119512477155</v>
      </c>
      <c r="C33" s="1">
        <v>32.736687270578777</v>
      </c>
      <c r="D33" s="1">
        <v>37.39907553368311</v>
      </c>
      <c r="E33" s="1" t="s">
        <v>135</v>
      </c>
      <c r="F33" s="1">
        <v>1</v>
      </c>
    </row>
    <row r="34" spans="1:6" x14ac:dyDescent="0.35">
      <c r="A34" s="1">
        <v>2033</v>
      </c>
      <c r="B34" s="1">
        <v>30.185323374893649</v>
      </c>
      <c r="C34" s="1">
        <v>32.973546840030188</v>
      </c>
      <c r="D34" s="1">
        <v>36.226705443862549</v>
      </c>
      <c r="E34" s="1" t="s">
        <v>135</v>
      </c>
      <c r="F34" s="1">
        <v>1</v>
      </c>
    </row>
    <row r="35" spans="1:6" x14ac:dyDescent="0.35">
      <c r="A35" s="1">
        <v>2034</v>
      </c>
      <c r="B35" s="1">
        <v>30.072185480090489</v>
      </c>
      <c r="C35" s="1">
        <v>33.684068356677109</v>
      </c>
      <c r="D35" s="1">
        <v>35.656445293316729</v>
      </c>
      <c r="E35" s="1" t="s">
        <v>135</v>
      </c>
      <c r="F35" s="1">
        <v>1</v>
      </c>
    </row>
    <row r="36" spans="1:6" x14ac:dyDescent="0.35">
      <c r="A36" s="1">
        <v>2035</v>
      </c>
      <c r="B36" s="1">
        <v>29.532923007416169</v>
      </c>
      <c r="C36" s="1">
        <v>33.649050935383492</v>
      </c>
      <c r="D36" s="1">
        <v>36.066389239007798</v>
      </c>
      <c r="E36" s="1" t="s">
        <v>135</v>
      </c>
      <c r="F36" s="1">
        <v>1</v>
      </c>
    </row>
    <row r="37" spans="1:6" x14ac:dyDescent="0.35">
      <c r="A37" s="1">
        <v>2036</v>
      </c>
      <c r="B37" s="1">
        <v>29.385503733461249</v>
      </c>
      <c r="C37" s="1">
        <v>32.549136392212702</v>
      </c>
      <c r="D37" s="1">
        <v>35.91250730743139</v>
      </c>
      <c r="E37" s="1" t="s">
        <v>135</v>
      </c>
      <c r="F37" s="1">
        <v>1</v>
      </c>
    </row>
    <row r="38" spans="1:6" x14ac:dyDescent="0.35">
      <c r="A38" s="1">
        <v>2037</v>
      </c>
      <c r="B38" s="1">
        <v>29.79581414533568</v>
      </c>
      <c r="C38" s="1">
        <v>32.694895205250759</v>
      </c>
      <c r="D38" s="1">
        <v>35.793435107747428</v>
      </c>
      <c r="E38" s="1" t="s">
        <v>135</v>
      </c>
      <c r="F38" s="1">
        <v>1</v>
      </c>
    </row>
    <row r="39" spans="1:6" x14ac:dyDescent="0.35">
      <c r="A39" s="1">
        <v>2038</v>
      </c>
      <c r="B39" s="1">
        <v>30.00800848756181</v>
      </c>
      <c r="C39" s="1">
        <v>32.791016030014497</v>
      </c>
      <c r="D39" s="1">
        <v>36.398512806493919</v>
      </c>
      <c r="E39" s="1" t="s">
        <v>135</v>
      </c>
      <c r="F39" s="1">
        <v>1</v>
      </c>
    </row>
    <row r="40" spans="1:6" x14ac:dyDescent="0.35">
      <c r="A40" s="1">
        <v>2039</v>
      </c>
      <c r="B40" s="1">
        <v>29.624469138324969</v>
      </c>
      <c r="C40" s="1">
        <v>33.763669206893688</v>
      </c>
      <c r="D40" s="1">
        <v>36.667225155952607</v>
      </c>
      <c r="E40" s="1" t="s">
        <v>135</v>
      </c>
      <c r="F40" s="1">
        <v>1</v>
      </c>
    </row>
    <row r="41" spans="1:6" x14ac:dyDescent="0.35">
      <c r="A41" s="1">
        <v>2040</v>
      </c>
      <c r="B41" s="1">
        <v>29.498914687764291</v>
      </c>
      <c r="C41" s="1">
        <v>33.058213781749757</v>
      </c>
      <c r="D41" s="1">
        <v>37.854115940941398</v>
      </c>
      <c r="E41" s="1" t="s">
        <v>135</v>
      </c>
      <c r="F41" s="1">
        <v>1</v>
      </c>
    </row>
    <row r="42" spans="1:6" x14ac:dyDescent="0.35">
      <c r="A42" s="1">
        <v>2041</v>
      </c>
      <c r="B42" s="1">
        <v>28.974687776770839</v>
      </c>
      <c r="C42" s="1">
        <v>33.069308680756507</v>
      </c>
      <c r="D42" s="1">
        <v>37.747597829514397</v>
      </c>
      <c r="E42" s="1" t="s">
        <v>135</v>
      </c>
      <c r="F42" s="1">
        <v>1</v>
      </c>
    </row>
    <row r="43" spans="1:6" x14ac:dyDescent="0.35">
      <c r="A43" s="1">
        <v>2042</v>
      </c>
      <c r="B43" s="1">
        <v>28.460650259728851</v>
      </c>
      <c r="C43" s="1">
        <v>32.767781773135077</v>
      </c>
      <c r="D43" s="1">
        <v>37.483671539734111</v>
      </c>
      <c r="E43" s="1" t="s">
        <v>135</v>
      </c>
      <c r="F43" s="1">
        <v>1</v>
      </c>
    </row>
    <row r="44" spans="1:6" x14ac:dyDescent="0.35">
      <c r="A44" s="1">
        <v>2043</v>
      </c>
      <c r="B44" s="1">
        <v>28.69472467913883</v>
      </c>
      <c r="C44" s="1">
        <v>32.626929801287467</v>
      </c>
      <c r="D44" s="1">
        <v>36.779025695986682</v>
      </c>
      <c r="E44" s="1" t="s">
        <v>135</v>
      </c>
      <c r="F44" s="1">
        <v>1</v>
      </c>
    </row>
    <row r="45" spans="1:6" x14ac:dyDescent="0.35">
      <c r="A45" s="1">
        <v>2044</v>
      </c>
      <c r="B45" s="1">
        <v>28.304686567361649</v>
      </c>
      <c r="C45" s="1">
        <v>32.873136373316811</v>
      </c>
      <c r="D45" s="1">
        <v>37.451489489651763</v>
      </c>
      <c r="E45" s="1" t="s">
        <v>135</v>
      </c>
      <c r="F45" s="1">
        <v>1</v>
      </c>
    </row>
    <row r="46" spans="1:6" x14ac:dyDescent="0.35">
      <c r="A46" s="1">
        <v>2045</v>
      </c>
      <c r="B46" s="1">
        <v>28.382633368024511</v>
      </c>
      <c r="C46" s="1">
        <v>32.683091004925068</v>
      </c>
      <c r="D46" s="1">
        <v>37.601750206768237</v>
      </c>
      <c r="E46" s="1" t="s">
        <v>135</v>
      </c>
      <c r="F46" s="1">
        <v>1</v>
      </c>
    </row>
    <row r="47" spans="1:6" x14ac:dyDescent="0.35">
      <c r="A47" s="1">
        <v>2046</v>
      </c>
      <c r="B47" s="1">
        <v>28.845436122381209</v>
      </c>
      <c r="C47" s="1">
        <v>33.149303760478503</v>
      </c>
      <c r="D47" s="1">
        <v>37.537258623302172</v>
      </c>
      <c r="E47" s="1" t="s">
        <v>135</v>
      </c>
      <c r="F47" s="1">
        <v>1</v>
      </c>
    </row>
    <row r="48" spans="1:6" x14ac:dyDescent="0.35">
      <c r="A48" s="1">
        <v>2047</v>
      </c>
      <c r="B48" s="1">
        <v>28.842280954280451</v>
      </c>
      <c r="C48" s="1">
        <v>33.015365973994292</v>
      </c>
      <c r="D48" s="1">
        <v>37.798477027157077</v>
      </c>
      <c r="E48" s="1" t="s">
        <v>135</v>
      </c>
      <c r="F48" s="1">
        <v>1</v>
      </c>
    </row>
    <row r="49" spans="1:6" x14ac:dyDescent="0.35">
      <c r="A49" s="1">
        <v>2048</v>
      </c>
      <c r="B49" s="1">
        <v>28.519789599473249</v>
      </c>
      <c r="C49" s="1">
        <v>33.500760359356818</v>
      </c>
      <c r="D49" s="1">
        <v>38.301511852330798</v>
      </c>
      <c r="E49" s="1" t="s">
        <v>135</v>
      </c>
      <c r="F49" s="1">
        <v>1</v>
      </c>
    </row>
    <row r="50" spans="1:6" x14ac:dyDescent="0.35">
      <c r="A50" s="1">
        <v>2049</v>
      </c>
      <c r="B50" s="1">
        <v>28.84703623115302</v>
      </c>
      <c r="C50" s="1">
        <v>33.081067307491239</v>
      </c>
      <c r="D50" s="1">
        <v>38.444385558477812</v>
      </c>
      <c r="E50" s="1" t="s">
        <v>135</v>
      </c>
      <c r="F50" s="1">
        <v>1</v>
      </c>
    </row>
    <row r="51" spans="1:6" x14ac:dyDescent="0.35">
      <c r="A51" s="1">
        <v>2050</v>
      </c>
      <c r="B51" s="1">
        <v>29.12702263790931</v>
      </c>
      <c r="C51" s="1">
        <v>33.648312631198188</v>
      </c>
      <c r="D51" s="1">
        <v>38.261727323291588</v>
      </c>
      <c r="E51" s="1" t="s">
        <v>135</v>
      </c>
      <c r="F51" s="1">
        <v>1</v>
      </c>
    </row>
    <row r="52" spans="1:6" x14ac:dyDescent="0.35">
      <c r="A52" s="1">
        <v>2026</v>
      </c>
      <c r="B52" s="1">
        <v>24.62007031390683</v>
      </c>
      <c r="C52" s="1">
        <v>25.018936129666319</v>
      </c>
      <c r="D52" s="1">
        <v>26.04804341510922</v>
      </c>
      <c r="E52" s="1" t="s">
        <v>136</v>
      </c>
      <c r="F52" s="1">
        <v>1</v>
      </c>
    </row>
    <row r="53" spans="1:6" x14ac:dyDescent="0.35">
      <c r="A53" s="1">
        <v>2027</v>
      </c>
      <c r="B53" s="1">
        <v>24.61899589458924</v>
      </c>
      <c r="C53" s="1">
        <v>24.507611472248609</v>
      </c>
      <c r="D53" s="1">
        <v>26.107325087823021</v>
      </c>
      <c r="E53" s="1" t="s">
        <v>136</v>
      </c>
      <c r="F53" s="1">
        <v>1</v>
      </c>
    </row>
    <row r="54" spans="1:6" x14ac:dyDescent="0.35">
      <c r="A54" s="1">
        <v>2028</v>
      </c>
      <c r="B54" s="1">
        <v>24.404235774005279</v>
      </c>
      <c r="C54" s="1">
        <v>24.673780277698931</v>
      </c>
      <c r="D54" s="1">
        <v>26.267137120356349</v>
      </c>
      <c r="E54" s="1" t="s">
        <v>136</v>
      </c>
      <c r="F54" s="1">
        <v>1</v>
      </c>
    </row>
    <row r="55" spans="1:6" x14ac:dyDescent="0.35">
      <c r="A55" s="1">
        <v>2029</v>
      </c>
      <c r="B55" s="1">
        <v>24.276252348067739</v>
      </c>
      <c r="C55" s="1">
        <v>24.922301612215239</v>
      </c>
      <c r="D55" s="1">
        <v>26.785697425889769</v>
      </c>
      <c r="E55" s="1" t="s">
        <v>136</v>
      </c>
      <c r="F55" s="1">
        <v>1</v>
      </c>
    </row>
    <row r="56" spans="1:6" x14ac:dyDescent="0.35">
      <c r="A56" s="1">
        <v>2030</v>
      </c>
      <c r="B56" s="1">
        <v>24.124019297434501</v>
      </c>
      <c r="C56" s="1">
        <v>25.516022072417432</v>
      </c>
      <c r="D56" s="1">
        <v>26.503277105763981</v>
      </c>
      <c r="E56" s="1" t="s">
        <v>136</v>
      </c>
      <c r="F56" s="1">
        <v>1</v>
      </c>
    </row>
    <row r="57" spans="1:6" x14ac:dyDescent="0.35">
      <c r="A57" s="1">
        <v>2031</v>
      </c>
      <c r="B57" s="1">
        <v>24.14415206391357</v>
      </c>
      <c r="C57" s="1">
        <v>25.888918618013872</v>
      </c>
      <c r="D57" s="1">
        <v>26.127595798056781</v>
      </c>
      <c r="E57" s="1" t="s">
        <v>136</v>
      </c>
      <c r="F57" s="1">
        <v>1</v>
      </c>
    </row>
    <row r="58" spans="1:6" x14ac:dyDescent="0.35">
      <c r="A58" s="1">
        <v>2032</v>
      </c>
      <c r="B58" s="1">
        <v>24.110224049286568</v>
      </c>
      <c r="C58" s="1">
        <v>25.49790678779539</v>
      </c>
      <c r="D58" s="1">
        <v>26.197110552077071</v>
      </c>
      <c r="E58" s="1" t="s">
        <v>136</v>
      </c>
      <c r="F58" s="1">
        <v>1</v>
      </c>
    </row>
    <row r="59" spans="1:6" x14ac:dyDescent="0.35">
      <c r="A59" s="1">
        <v>2033</v>
      </c>
      <c r="B59" s="1">
        <v>23.521228143711731</v>
      </c>
      <c r="C59" s="1">
        <v>25.550723229161228</v>
      </c>
      <c r="D59" s="1">
        <v>26.594382692546951</v>
      </c>
      <c r="E59" s="1" t="s">
        <v>136</v>
      </c>
      <c r="F59" s="1">
        <v>1</v>
      </c>
    </row>
    <row r="60" spans="1:6" x14ac:dyDescent="0.35">
      <c r="A60" s="1">
        <v>2034</v>
      </c>
      <c r="B60" s="1">
        <v>23.4330680070018</v>
      </c>
      <c r="C60" s="1">
        <v>25.334903038645709</v>
      </c>
      <c r="D60" s="1">
        <v>27.708404808590629</v>
      </c>
      <c r="E60" s="1" t="s">
        <v>136</v>
      </c>
      <c r="F60" s="1">
        <v>1</v>
      </c>
    </row>
    <row r="61" spans="1:6" x14ac:dyDescent="0.35">
      <c r="A61" s="1">
        <v>2035</v>
      </c>
      <c r="B61" s="1">
        <v>23.01285996445139</v>
      </c>
      <c r="C61" s="1">
        <v>25.570425753013989</v>
      </c>
      <c r="D61" s="1">
        <v>27.683332152859141</v>
      </c>
      <c r="E61" s="1" t="s">
        <v>136</v>
      </c>
      <c r="F61" s="1">
        <v>1</v>
      </c>
    </row>
    <row r="62" spans="1:6" x14ac:dyDescent="0.35">
      <c r="A62" s="1">
        <v>2036</v>
      </c>
      <c r="B62" s="1">
        <v>22.897986841099069</v>
      </c>
      <c r="C62" s="1">
        <v>25.867378187985079</v>
      </c>
      <c r="D62" s="1">
        <v>27.38313514426153</v>
      </c>
      <c r="E62" s="1" t="s">
        <v>136</v>
      </c>
      <c r="F62" s="1">
        <v>1</v>
      </c>
    </row>
    <row r="63" spans="1:6" x14ac:dyDescent="0.35">
      <c r="A63" s="1">
        <v>2037</v>
      </c>
      <c r="B63" s="1">
        <v>23.21771191701017</v>
      </c>
      <c r="C63" s="1">
        <v>25.458535043885501</v>
      </c>
      <c r="D63" s="1">
        <v>26.976010472653041</v>
      </c>
      <c r="E63" s="1" t="s">
        <v>136</v>
      </c>
      <c r="F63" s="1">
        <v>1</v>
      </c>
    </row>
    <row r="64" spans="1:6" x14ac:dyDescent="0.35">
      <c r="A64" s="1">
        <v>2038</v>
      </c>
      <c r="B64" s="1">
        <v>31.519755561531259</v>
      </c>
      <c r="C64" s="1">
        <v>34.560859632662591</v>
      </c>
      <c r="D64" s="1">
        <v>37.19864205948214</v>
      </c>
      <c r="E64" s="1" t="s">
        <v>136</v>
      </c>
      <c r="F64" s="1">
        <v>1</v>
      </c>
    </row>
    <row r="65" spans="1:6" x14ac:dyDescent="0.35">
      <c r="A65" s="1">
        <v>2039</v>
      </c>
      <c r="B65" s="1">
        <v>29.16617397085205</v>
      </c>
      <c r="C65" s="1">
        <v>33.498168691609813</v>
      </c>
      <c r="D65" s="1">
        <v>36.987981334041073</v>
      </c>
      <c r="E65" s="1" t="s">
        <v>136</v>
      </c>
      <c r="F65" s="1">
        <v>1</v>
      </c>
    </row>
    <row r="66" spans="1:6" x14ac:dyDescent="0.35">
      <c r="A66" s="1">
        <v>2040</v>
      </c>
      <c r="B66" s="1">
        <v>29.042561867264009</v>
      </c>
      <c r="C66" s="1">
        <v>33.699536693840592</v>
      </c>
      <c r="D66" s="1">
        <v>36.793072011852921</v>
      </c>
      <c r="E66" s="1" t="s">
        <v>136</v>
      </c>
      <c r="F66" s="1">
        <v>1</v>
      </c>
    </row>
    <row r="67" spans="1:6" x14ac:dyDescent="0.35">
      <c r="A67" s="1">
        <v>2041</v>
      </c>
      <c r="B67" s="1">
        <v>28.526444828513181</v>
      </c>
      <c r="C67" s="1">
        <v>32.494261679700607</v>
      </c>
      <c r="D67" s="1">
        <v>36.82746830375762</v>
      </c>
      <c r="E67" s="1" t="s">
        <v>136</v>
      </c>
      <c r="F67" s="1">
        <v>1</v>
      </c>
    </row>
    <row r="68" spans="1:6" x14ac:dyDescent="0.35">
      <c r="A68" s="1">
        <v>2042</v>
      </c>
      <c r="B68" s="1">
        <v>28.02035955219694</v>
      </c>
      <c r="C68" s="1">
        <v>32.371676120503537</v>
      </c>
      <c r="D68" s="1">
        <v>37.797819175023847</v>
      </c>
      <c r="E68" s="1" t="s">
        <v>136</v>
      </c>
      <c r="F68" s="1">
        <v>1</v>
      </c>
    </row>
    <row r="69" spans="1:6" x14ac:dyDescent="0.35">
      <c r="A69" s="1">
        <v>2043</v>
      </c>
      <c r="B69" s="1">
        <v>28.25081280375597</v>
      </c>
      <c r="C69" s="1">
        <v>32.151238393304951</v>
      </c>
      <c r="D69" s="1">
        <v>37.412911202017838</v>
      </c>
      <c r="E69" s="1" t="s">
        <v>136</v>
      </c>
      <c r="F69" s="1">
        <v>1</v>
      </c>
    </row>
    <row r="70" spans="1:6" x14ac:dyDescent="0.35">
      <c r="A70" s="1">
        <v>2044</v>
      </c>
      <c r="B70" s="1">
        <v>27.866808642525658</v>
      </c>
      <c r="C70" s="1">
        <v>32.645667133506521</v>
      </c>
      <c r="D70" s="1">
        <v>37.46321411905857</v>
      </c>
      <c r="E70" s="1" t="s">
        <v>136</v>
      </c>
      <c r="F70" s="1">
        <v>1</v>
      </c>
    </row>
    <row r="71" spans="1:6" x14ac:dyDescent="0.35">
      <c r="A71" s="1">
        <v>2045</v>
      </c>
      <c r="B71" s="1">
        <v>27.943549594000231</v>
      </c>
      <c r="C71" s="1">
        <v>33.184827427983492</v>
      </c>
      <c r="D71" s="1">
        <v>36.436957687907451</v>
      </c>
      <c r="E71" s="1" t="s">
        <v>136</v>
      </c>
      <c r="F71" s="1">
        <v>1</v>
      </c>
    </row>
    <row r="72" spans="1:6" x14ac:dyDescent="0.35">
      <c r="A72" s="1">
        <v>2046</v>
      </c>
      <c r="B72" s="1">
        <v>28.39919271741724</v>
      </c>
      <c r="C72" s="1">
        <v>33.117990904005708</v>
      </c>
      <c r="D72" s="1">
        <v>35.987516286348963</v>
      </c>
      <c r="E72" s="1" t="s">
        <v>136</v>
      </c>
      <c r="F72" s="1">
        <v>1</v>
      </c>
    </row>
    <row r="73" spans="1:6" x14ac:dyDescent="0.35">
      <c r="A73" s="1">
        <v>2047</v>
      </c>
      <c r="B73" s="1">
        <v>28.39608636026011</v>
      </c>
      <c r="C73" s="1">
        <v>32.79357097637665</v>
      </c>
      <c r="D73" s="1">
        <v>37.583140146718421</v>
      </c>
      <c r="E73" s="1" t="s">
        <v>136</v>
      </c>
      <c r="F73" s="1">
        <v>1</v>
      </c>
    </row>
    <row r="74" spans="1:6" x14ac:dyDescent="0.35">
      <c r="A74" s="1">
        <v>2048</v>
      </c>
      <c r="B74" s="1">
        <v>28.078583997112801</v>
      </c>
      <c r="C74" s="1">
        <v>32.994982908834999</v>
      </c>
      <c r="D74" s="1">
        <v>37.004027773292023</v>
      </c>
      <c r="E74" s="1" t="s">
        <v>136</v>
      </c>
      <c r="F74" s="1">
        <v>1</v>
      </c>
    </row>
    <row r="75" spans="1:6" x14ac:dyDescent="0.35">
      <c r="A75" s="1">
        <v>2049</v>
      </c>
      <c r="B75" s="1">
        <v>28.40076807225627</v>
      </c>
      <c r="C75" s="1">
        <v>33.361944630299327</v>
      </c>
      <c r="D75" s="1">
        <v>37.93025063398678</v>
      </c>
      <c r="E75" s="1" t="s">
        <v>136</v>
      </c>
      <c r="F75" s="1">
        <v>1</v>
      </c>
    </row>
    <row r="76" spans="1:6" x14ac:dyDescent="0.35">
      <c r="A76" s="1">
        <v>2050</v>
      </c>
      <c r="B76" s="1">
        <v>28.676423045541959</v>
      </c>
      <c r="C76" s="1">
        <v>32.816362354669558</v>
      </c>
      <c r="D76" s="1">
        <v>38.282475404202842</v>
      </c>
      <c r="E76" s="1" t="s">
        <v>136</v>
      </c>
      <c r="F76" s="1">
        <v>1</v>
      </c>
    </row>
    <row r="77" spans="1:6" x14ac:dyDescent="0.35">
      <c r="A77" s="1">
        <v>2026</v>
      </c>
      <c r="B77" s="1">
        <v>24.784904483588591</v>
      </c>
      <c r="C77" s="1">
        <v>24.79504185674508</v>
      </c>
      <c r="D77" s="1">
        <v>26.097683400799781</v>
      </c>
      <c r="E77" s="1" t="s">
        <v>137</v>
      </c>
      <c r="F77" s="1">
        <v>1</v>
      </c>
    </row>
    <row r="78" spans="1:6" x14ac:dyDescent="0.35">
      <c r="A78" s="1">
        <v>2027</v>
      </c>
      <c r="B78" s="1">
        <v>24.448052208375479</v>
      </c>
      <c r="C78" s="1">
        <v>24.836040978982691</v>
      </c>
      <c r="D78" s="1">
        <v>26.259008993757721</v>
      </c>
      <c r="E78" s="1" t="s">
        <v>137</v>
      </c>
      <c r="F78" s="1">
        <v>1</v>
      </c>
    </row>
    <row r="79" spans="1:6" x14ac:dyDescent="0.35">
      <c r="A79" s="1">
        <v>2028</v>
      </c>
      <c r="B79" s="1">
        <v>24.000566222500719</v>
      </c>
      <c r="C79" s="1">
        <v>24.57727195724917</v>
      </c>
      <c r="D79" s="1">
        <v>25.764789716682561</v>
      </c>
      <c r="E79" s="1" t="s">
        <v>137</v>
      </c>
      <c r="F79" s="1">
        <v>1</v>
      </c>
    </row>
    <row r="80" spans="1:6" x14ac:dyDescent="0.35">
      <c r="A80" s="1">
        <v>2029</v>
      </c>
      <c r="B80" s="1">
        <v>23.72308634434804</v>
      </c>
      <c r="C80" s="1">
        <v>24.948905857525219</v>
      </c>
      <c r="D80" s="1">
        <v>26.22598693089742</v>
      </c>
      <c r="E80" s="1" t="s">
        <v>137</v>
      </c>
      <c r="F80" s="1">
        <v>1</v>
      </c>
    </row>
    <row r="81" spans="1:6" x14ac:dyDescent="0.35">
      <c r="A81" s="1">
        <v>2030</v>
      </c>
      <c r="B81" s="1">
        <v>24.088536438600279</v>
      </c>
      <c r="C81" s="1">
        <v>25.64176824348333</v>
      </c>
      <c r="D81" s="1">
        <v>26.64830283527402</v>
      </c>
      <c r="E81" s="1" t="s">
        <v>137</v>
      </c>
      <c r="F81" s="1">
        <v>1</v>
      </c>
    </row>
    <row r="82" spans="1:6" x14ac:dyDescent="0.35">
      <c r="A82" s="1">
        <v>2031</v>
      </c>
      <c r="B82" s="1">
        <v>23.907622701614869</v>
      </c>
      <c r="C82" s="1">
        <v>25.587294991626401</v>
      </c>
      <c r="D82" s="1">
        <v>25.58452800183688</v>
      </c>
      <c r="E82" s="1" t="s">
        <v>137</v>
      </c>
      <c r="F82" s="1">
        <v>1</v>
      </c>
    </row>
    <row r="83" spans="1:6" x14ac:dyDescent="0.35">
      <c r="A83" s="1">
        <v>2032</v>
      </c>
      <c r="B83" s="1">
        <v>24.244103537029499</v>
      </c>
      <c r="C83" s="1">
        <v>25.4736699229096</v>
      </c>
      <c r="D83" s="1">
        <v>26.70628490549619</v>
      </c>
      <c r="E83" s="1" t="s">
        <v>137</v>
      </c>
      <c r="F83" s="1">
        <v>1</v>
      </c>
    </row>
    <row r="84" spans="1:6" x14ac:dyDescent="0.35">
      <c r="A84" s="1">
        <v>2033</v>
      </c>
      <c r="B84" s="1">
        <v>23.974133036204559</v>
      </c>
      <c r="C84" s="1">
        <v>25.36812029695556</v>
      </c>
      <c r="D84" s="1">
        <v>26.834754285954599</v>
      </c>
      <c r="E84" s="1" t="s">
        <v>137</v>
      </c>
      <c r="F84" s="1">
        <v>1</v>
      </c>
    </row>
    <row r="85" spans="1:6" x14ac:dyDescent="0.35">
      <c r="A85" s="1">
        <v>2034</v>
      </c>
      <c r="B85" s="1">
        <v>23.657802063040389</v>
      </c>
      <c r="C85" s="1">
        <v>25.046177844365001</v>
      </c>
      <c r="D85" s="1">
        <v>26.990491175252391</v>
      </c>
      <c r="E85" s="1" t="s">
        <v>137</v>
      </c>
      <c r="F85" s="1">
        <v>1</v>
      </c>
    </row>
    <row r="86" spans="1:6" x14ac:dyDescent="0.35">
      <c r="A86" s="1">
        <v>2035</v>
      </c>
      <c r="B86" s="1">
        <v>23.206789885411609</v>
      </c>
      <c r="C86" s="1">
        <v>25.812862635273621</v>
      </c>
      <c r="D86" s="1">
        <v>28.001811719777429</v>
      </c>
      <c r="E86" s="1" t="s">
        <v>137</v>
      </c>
      <c r="F86" s="1">
        <v>1</v>
      </c>
    </row>
    <row r="87" spans="1:6" x14ac:dyDescent="0.35">
      <c r="A87" s="1">
        <v>2036</v>
      </c>
      <c r="B87" s="1">
        <v>22.834248695984279</v>
      </c>
      <c r="C87" s="1">
        <v>25.979312710895499</v>
      </c>
      <c r="D87" s="1">
        <v>27.595818154017081</v>
      </c>
      <c r="E87" s="1" t="s">
        <v>137</v>
      </c>
      <c r="F87" s="1">
        <v>1</v>
      </c>
    </row>
    <row r="88" spans="1:6" x14ac:dyDescent="0.35">
      <c r="A88" s="1">
        <v>2037</v>
      </c>
      <c r="B88" s="1">
        <v>22.809230842727111</v>
      </c>
      <c r="C88" s="1">
        <v>25.79863128018464</v>
      </c>
      <c r="D88" s="1">
        <v>28.152342789143749</v>
      </c>
      <c r="E88" s="1" t="s">
        <v>137</v>
      </c>
      <c r="F88" s="1">
        <v>1</v>
      </c>
    </row>
    <row r="89" spans="1:6" x14ac:dyDescent="0.35">
      <c r="A89" s="1">
        <v>2038</v>
      </c>
      <c r="B89" s="1">
        <v>22.4265446221332</v>
      </c>
      <c r="C89" s="1">
        <v>25.384648662084889</v>
      </c>
      <c r="D89" s="1">
        <v>28.30142483891817</v>
      </c>
      <c r="E89" s="1" t="s">
        <v>137</v>
      </c>
      <c r="F89" s="1">
        <v>1</v>
      </c>
    </row>
    <row r="90" spans="1:6" x14ac:dyDescent="0.35">
      <c r="A90" s="1">
        <v>2039</v>
      </c>
      <c r="B90" s="1">
        <v>23.124160728896872</v>
      </c>
      <c r="C90" s="1">
        <v>25.567259967980789</v>
      </c>
      <c r="D90" s="1">
        <v>28.05729688094916</v>
      </c>
      <c r="E90" s="1" t="s">
        <v>137</v>
      </c>
      <c r="F90" s="1">
        <v>1</v>
      </c>
    </row>
    <row r="91" spans="1:6" x14ac:dyDescent="0.35">
      <c r="A91" s="1">
        <v>2040</v>
      </c>
      <c r="B91" s="1">
        <v>22.70937177794384</v>
      </c>
      <c r="C91" s="1">
        <v>26.308587019475059</v>
      </c>
      <c r="D91" s="1">
        <v>28.233690680976569</v>
      </c>
      <c r="E91" s="1" t="s">
        <v>137</v>
      </c>
      <c r="F91" s="1">
        <v>1</v>
      </c>
    </row>
    <row r="92" spans="1:6" x14ac:dyDescent="0.35">
      <c r="A92" s="1">
        <v>2041</v>
      </c>
      <c r="B92" s="1">
        <v>22.86704795449749</v>
      </c>
      <c r="C92" s="1">
        <v>26.25152235137174</v>
      </c>
      <c r="D92" s="1">
        <v>28.08827925556</v>
      </c>
      <c r="E92" s="1" t="s">
        <v>137</v>
      </c>
      <c r="F92" s="1">
        <v>1</v>
      </c>
    </row>
    <row r="93" spans="1:6" x14ac:dyDescent="0.35">
      <c r="A93" s="1">
        <v>2042</v>
      </c>
      <c r="B93" s="1">
        <v>30.945743681260119</v>
      </c>
      <c r="C93" s="1">
        <v>34.997824619176988</v>
      </c>
      <c r="D93" s="1">
        <v>37.572665464400657</v>
      </c>
      <c r="E93" s="1" t="s">
        <v>137</v>
      </c>
      <c r="F93" s="1">
        <v>1</v>
      </c>
    </row>
    <row r="94" spans="1:6" x14ac:dyDescent="0.35">
      <c r="A94" s="1">
        <v>2043</v>
      </c>
      <c r="B94" s="1">
        <v>28.230674570414621</v>
      </c>
      <c r="C94" s="1">
        <v>32.582385988846838</v>
      </c>
      <c r="D94" s="1">
        <v>37.519215736512187</v>
      </c>
      <c r="E94" s="1" t="s">
        <v>137</v>
      </c>
      <c r="F94" s="1">
        <v>1</v>
      </c>
    </row>
    <row r="95" spans="1:6" x14ac:dyDescent="0.35">
      <c r="A95" s="1">
        <v>2044</v>
      </c>
      <c r="B95" s="1">
        <v>28.476225755164801</v>
      </c>
      <c r="C95" s="1">
        <v>32.728061837306363</v>
      </c>
      <c r="D95" s="1">
        <v>37.884732157869983</v>
      </c>
      <c r="E95" s="1" t="s">
        <v>137</v>
      </c>
      <c r="F95" s="1">
        <v>1</v>
      </c>
    </row>
    <row r="96" spans="1:6" x14ac:dyDescent="0.35">
      <c r="A96" s="1">
        <v>2045</v>
      </c>
      <c r="B96" s="1">
        <v>28.709429037655561</v>
      </c>
      <c r="C96" s="1">
        <v>32.814559513186651</v>
      </c>
      <c r="D96" s="1">
        <v>37.326807475060633</v>
      </c>
      <c r="E96" s="1" t="s">
        <v>137</v>
      </c>
      <c r="F96" s="1">
        <v>1</v>
      </c>
    </row>
    <row r="97" spans="1:6" x14ac:dyDescent="0.35">
      <c r="A97" s="1">
        <v>2046</v>
      </c>
      <c r="B97" s="1">
        <v>28.51502829023671</v>
      </c>
      <c r="C97" s="1">
        <v>33.091228503595943</v>
      </c>
      <c r="D97" s="1">
        <v>37.620537068641191</v>
      </c>
      <c r="E97" s="1" t="s">
        <v>137</v>
      </c>
      <c r="F97" s="1">
        <v>1</v>
      </c>
    </row>
    <row r="98" spans="1:6" x14ac:dyDescent="0.35">
      <c r="A98" s="1">
        <v>2047</v>
      </c>
      <c r="B98" s="1">
        <v>28.010246849136209</v>
      </c>
      <c r="C98" s="1">
        <v>32.634881787330642</v>
      </c>
      <c r="D98" s="1">
        <v>36.625344907745237</v>
      </c>
      <c r="E98" s="1" t="s">
        <v>137</v>
      </c>
      <c r="F98" s="1">
        <v>1</v>
      </c>
    </row>
    <row r="99" spans="1:6" x14ac:dyDescent="0.35">
      <c r="A99" s="1">
        <v>2048</v>
      </c>
      <c r="B99" s="1">
        <v>28.56040445888797</v>
      </c>
      <c r="C99" s="1">
        <v>32.547250026090168</v>
      </c>
      <c r="D99" s="1">
        <v>37.624714810964697</v>
      </c>
      <c r="E99" s="1" t="s">
        <v>137</v>
      </c>
      <c r="F99" s="1">
        <v>1</v>
      </c>
    </row>
    <row r="100" spans="1:6" x14ac:dyDescent="0.35">
      <c r="A100" s="1">
        <v>2049</v>
      </c>
      <c r="B100" s="1">
        <v>28.54831474574722</v>
      </c>
      <c r="C100" s="1">
        <v>32.845806939437381</v>
      </c>
      <c r="D100" s="1">
        <v>38.021810155228508</v>
      </c>
      <c r="E100" s="1" t="s">
        <v>137</v>
      </c>
      <c r="F100" s="1">
        <v>1</v>
      </c>
    </row>
    <row r="101" spans="1:6" x14ac:dyDescent="0.35">
      <c r="A101" s="1">
        <v>2050</v>
      </c>
      <c r="B101" s="1">
        <v>28.869312976346741</v>
      </c>
      <c r="C101" s="1">
        <v>33.438820698287898</v>
      </c>
      <c r="D101" s="1">
        <v>38.915681131445218</v>
      </c>
      <c r="E101" s="1" t="s">
        <v>137</v>
      </c>
      <c r="F101" s="1">
        <v>1</v>
      </c>
    </row>
    <row r="102" spans="1:6" x14ac:dyDescent="0.35">
      <c r="A102" s="1">
        <v>2026</v>
      </c>
      <c r="B102" s="1">
        <v>24.62007031390683</v>
      </c>
      <c r="C102" s="1">
        <v>24.533760446839239</v>
      </c>
      <c r="D102" s="1">
        <v>25.87801232846212</v>
      </c>
      <c r="E102" s="1" t="s">
        <v>138</v>
      </c>
      <c r="F102" s="1">
        <v>1</v>
      </c>
    </row>
    <row r="103" spans="1:6" x14ac:dyDescent="0.35">
      <c r="A103" s="1">
        <v>2027</v>
      </c>
      <c r="B103" s="1">
        <v>24.61899589458924</v>
      </c>
      <c r="C103" s="1">
        <v>24.745569765577159</v>
      </c>
      <c r="D103" s="1">
        <v>26.610563798230999</v>
      </c>
      <c r="E103" s="1" t="s">
        <v>138</v>
      </c>
      <c r="F103" s="1">
        <v>1</v>
      </c>
    </row>
    <row r="104" spans="1:6" x14ac:dyDescent="0.35">
      <c r="A104" s="1">
        <v>2028</v>
      </c>
      <c r="B104" s="1">
        <v>24.404235774005279</v>
      </c>
      <c r="C104" s="1">
        <v>25.457001678209899</v>
      </c>
      <c r="D104" s="1">
        <v>25.960588813101349</v>
      </c>
      <c r="E104" s="1" t="s">
        <v>138</v>
      </c>
      <c r="F104" s="1">
        <v>1</v>
      </c>
    </row>
    <row r="105" spans="1:6" x14ac:dyDescent="0.35">
      <c r="A105" s="1">
        <v>2029</v>
      </c>
      <c r="B105" s="1">
        <v>24.276252348067739</v>
      </c>
      <c r="C105" s="1">
        <v>25.295285472302218</v>
      </c>
      <c r="D105" s="1">
        <v>26.261781183054961</v>
      </c>
      <c r="E105" s="1" t="s">
        <v>138</v>
      </c>
      <c r="F105" s="1">
        <v>1</v>
      </c>
    </row>
    <row r="106" spans="1:6" x14ac:dyDescent="0.35">
      <c r="A106" s="1">
        <v>2030</v>
      </c>
      <c r="B106" s="1">
        <v>24.124019297434501</v>
      </c>
      <c r="C106" s="1">
        <v>25.480458453606332</v>
      </c>
      <c r="D106" s="1">
        <v>27.654141456070729</v>
      </c>
      <c r="E106" s="1" t="s">
        <v>138</v>
      </c>
      <c r="F106" s="1">
        <v>1</v>
      </c>
    </row>
    <row r="107" spans="1:6" x14ac:dyDescent="0.35">
      <c r="A107" s="1">
        <v>2031</v>
      </c>
      <c r="B107" s="1">
        <v>24.14415206391357</v>
      </c>
      <c r="C107" s="1">
        <v>25.377373821382811</v>
      </c>
      <c r="D107" s="1">
        <v>27.692648103902581</v>
      </c>
      <c r="E107" s="1" t="s">
        <v>138</v>
      </c>
      <c r="F107" s="1">
        <v>1</v>
      </c>
    </row>
    <row r="108" spans="1:6" x14ac:dyDescent="0.35">
      <c r="A108" s="1">
        <v>2032</v>
      </c>
      <c r="B108" s="1">
        <v>24.110224049286568</v>
      </c>
      <c r="C108" s="1">
        <v>25.388470209877099</v>
      </c>
      <c r="D108" s="1">
        <v>27.48694340858135</v>
      </c>
      <c r="E108" s="1" t="s">
        <v>138</v>
      </c>
      <c r="F108" s="1">
        <v>1</v>
      </c>
    </row>
    <row r="109" spans="1:6" x14ac:dyDescent="0.35">
      <c r="A109" s="1">
        <v>2033</v>
      </c>
      <c r="B109" s="1">
        <v>23.521228143711731</v>
      </c>
      <c r="C109" s="1">
        <v>25.541102084393049</v>
      </c>
      <c r="D109" s="1">
        <v>27.460772682917149</v>
      </c>
      <c r="E109" s="1" t="s">
        <v>138</v>
      </c>
      <c r="F109" s="1">
        <v>1</v>
      </c>
    </row>
    <row r="110" spans="1:6" x14ac:dyDescent="0.35">
      <c r="A110" s="1">
        <v>2034</v>
      </c>
      <c r="B110" s="1">
        <v>23.4330680070018</v>
      </c>
      <c r="C110" s="1">
        <v>25.69954140957746</v>
      </c>
      <c r="D110" s="1">
        <v>27.262003129430639</v>
      </c>
      <c r="E110" s="1" t="s">
        <v>138</v>
      </c>
      <c r="F110" s="1">
        <v>1</v>
      </c>
    </row>
    <row r="111" spans="1:6" x14ac:dyDescent="0.35">
      <c r="A111" s="1">
        <v>2035</v>
      </c>
      <c r="B111" s="1">
        <v>23.01285996445139</v>
      </c>
      <c r="C111" s="1">
        <v>25.611055076349761</v>
      </c>
      <c r="D111" s="1">
        <v>27.569084976200021</v>
      </c>
      <c r="E111" s="1" t="s">
        <v>138</v>
      </c>
      <c r="F111" s="1">
        <v>1</v>
      </c>
    </row>
    <row r="112" spans="1:6" x14ac:dyDescent="0.35">
      <c r="A112" s="1">
        <v>2036</v>
      </c>
      <c r="B112" s="1">
        <v>22.897986841099069</v>
      </c>
      <c r="C112" s="1">
        <v>25.236343270136679</v>
      </c>
      <c r="D112" s="1">
        <v>28.240462296553769</v>
      </c>
      <c r="E112" s="1" t="s">
        <v>138</v>
      </c>
      <c r="F112" s="1">
        <v>1</v>
      </c>
    </row>
    <row r="113" spans="1:6" x14ac:dyDescent="0.35">
      <c r="A113" s="1">
        <v>2037</v>
      </c>
      <c r="B113" s="1">
        <v>23.21771191701017</v>
      </c>
      <c r="C113" s="1">
        <v>25.69351898689084</v>
      </c>
      <c r="D113" s="1">
        <v>27.890026276723301</v>
      </c>
      <c r="E113" s="1" t="s">
        <v>138</v>
      </c>
      <c r="F113" s="1">
        <v>1</v>
      </c>
    </row>
    <row r="114" spans="1:6" x14ac:dyDescent="0.35">
      <c r="A114" s="1">
        <v>2038</v>
      </c>
      <c r="B114" s="1">
        <v>23.383059542156261</v>
      </c>
      <c r="C114" s="1">
        <v>25.752060577004439</v>
      </c>
      <c r="D114" s="1">
        <v>28.393412173036001</v>
      </c>
      <c r="E114" s="1" t="s">
        <v>138</v>
      </c>
      <c r="F114" s="1">
        <v>1</v>
      </c>
    </row>
    <row r="115" spans="1:6" x14ac:dyDescent="0.35">
      <c r="A115" s="1">
        <v>2039</v>
      </c>
      <c r="B115" s="1">
        <v>23.084195209200541</v>
      </c>
      <c r="C115" s="1">
        <v>25.926086928917879</v>
      </c>
      <c r="D115" s="1">
        <v>27.815794437390469</v>
      </c>
      <c r="E115" s="1" t="s">
        <v>138</v>
      </c>
      <c r="F115" s="1">
        <v>1</v>
      </c>
    </row>
    <row r="116" spans="1:6" x14ac:dyDescent="0.35">
      <c r="A116" s="1">
        <v>2040</v>
      </c>
      <c r="B116" s="1">
        <v>22.98635975322685</v>
      </c>
      <c r="C116" s="1">
        <v>25.628056663832101</v>
      </c>
      <c r="D116" s="1">
        <v>27.708243281757181</v>
      </c>
      <c r="E116" s="1" t="s">
        <v>138</v>
      </c>
      <c r="F116" s="1">
        <v>1</v>
      </c>
    </row>
    <row r="117" spans="1:6" x14ac:dyDescent="0.35">
      <c r="A117" s="1">
        <v>2041</v>
      </c>
      <c r="B117" s="1">
        <v>22.57786783086414</v>
      </c>
      <c r="C117" s="1">
        <v>24.843692771619299</v>
      </c>
      <c r="D117" s="1">
        <v>27.490878908884142</v>
      </c>
      <c r="E117" s="1" t="s">
        <v>138</v>
      </c>
      <c r="F117" s="1">
        <v>1</v>
      </c>
    </row>
    <row r="118" spans="1:6" x14ac:dyDescent="0.35">
      <c r="A118" s="1">
        <v>2042</v>
      </c>
      <c r="B118" s="1">
        <v>22.17731576247623</v>
      </c>
      <c r="C118" s="1">
        <v>25.087707849289838</v>
      </c>
      <c r="D118" s="1">
        <v>27.68626577485362</v>
      </c>
      <c r="E118" s="1" t="s">
        <v>138</v>
      </c>
      <c r="F118" s="1">
        <v>1</v>
      </c>
    </row>
    <row r="119" spans="1:6" x14ac:dyDescent="0.35">
      <c r="A119" s="1">
        <v>2043</v>
      </c>
      <c r="B119" s="1">
        <v>22.359712941170301</v>
      </c>
      <c r="C119" s="1">
        <v>25.51219206469953</v>
      </c>
      <c r="D119" s="1">
        <v>27.832867527333502</v>
      </c>
      <c r="E119" s="1" t="s">
        <v>138</v>
      </c>
      <c r="F119" s="1">
        <v>1</v>
      </c>
    </row>
    <row r="120" spans="1:6" x14ac:dyDescent="0.35">
      <c r="A120" s="1">
        <v>2044</v>
      </c>
      <c r="B120" s="1">
        <v>22.0557845950031</v>
      </c>
      <c r="C120" s="1">
        <v>25.772170274489259</v>
      </c>
      <c r="D120" s="1">
        <v>27.89258942904722</v>
      </c>
      <c r="E120" s="1" t="s">
        <v>138</v>
      </c>
      <c r="F120" s="1">
        <v>1</v>
      </c>
    </row>
    <row r="121" spans="1:6" x14ac:dyDescent="0.35">
      <c r="A121" s="1">
        <v>2045</v>
      </c>
      <c r="B121" s="1">
        <v>22.11652287031303</v>
      </c>
      <c r="C121" s="1">
        <v>25.756871340320679</v>
      </c>
      <c r="D121" s="1">
        <v>27.769654158775129</v>
      </c>
      <c r="E121" s="1" t="s">
        <v>138</v>
      </c>
      <c r="F121" s="1">
        <v>1</v>
      </c>
    </row>
    <row r="122" spans="1:6" x14ac:dyDescent="0.35">
      <c r="A122" s="1">
        <v>2046</v>
      </c>
      <c r="B122" s="1">
        <v>22.47715141271971</v>
      </c>
      <c r="C122" s="1">
        <v>25.905467004792911</v>
      </c>
      <c r="D122" s="1">
        <v>27.87543324647547</v>
      </c>
      <c r="E122" s="1" t="s">
        <v>138</v>
      </c>
      <c r="F122" s="1">
        <v>1</v>
      </c>
    </row>
    <row r="123" spans="1:6" x14ac:dyDescent="0.35">
      <c r="A123" s="1">
        <v>2047</v>
      </c>
      <c r="B123" s="1">
        <v>30.306988875167601</v>
      </c>
      <c r="C123" s="1">
        <v>34.353285413365647</v>
      </c>
      <c r="D123" s="1">
        <v>38.124833234246708</v>
      </c>
      <c r="E123" s="1" t="s">
        <v>138</v>
      </c>
      <c r="F123" s="1">
        <v>1</v>
      </c>
    </row>
    <row r="124" spans="1:6" x14ac:dyDescent="0.35">
      <c r="A124" s="1">
        <v>2048</v>
      </c>
      <c r="B124" s="1">
        <v>28.15005199105908</v>
      </c>
      <c r="C124" s="1">
        <v>33.316762634121012</v>
      </c>
      <c r="D124" s="1">
        <v>37.899259166355598</v>
      </c>
      <c r="E124" s="1" t="s">
        <v>138</v>
      </c>
      <c r="F124" s="1">
        <v>1</v>
      </c>
    </row>
    <row r="125" spans="1:6" x14ac:dyDescent="0.35">
      <c r="A125" s="1">
        <v>2049</v>
      </c>
      <c r="B125" s="1">
        <v>28.473056116442059</v>
      </c>
      <c r="C125" s="1">
        <v>32.414780886302317</v>
      </c>
      <c r="D125" s="1">
        <v>36.884207100133303</v>
      </c>
      <c r="E125" s="1" t="s">
        <v>138</v>
      </c>
      <c r="F125" s="1">
        <v>1</v>
      </c>
    </row>
    <row r="126" spans="1:6" x14ac:dyDescent="0.35">
      <c r="A126" s="1">
        <v>2050</v>
      </c>
      <c r="B126" s="1">
        <v>28.749412710150061</v>
      </c>
      <c r="C126" s="1">
        <v>32.060903942753093</v>
      </c>
      <c r="D126" s="1">
        <v>37.066040662135251</v>
      </c>
      <c r="E126" s="1" t="s">
        <v>138</v>
      </c>
      <c r="F126" s="1">
        <v>1</v>
      </c>
    </row>
    <row r="127" spans="1:6" x14ac:dyDescent="0.35">
      <c r="A127" s="1">
        <v>2026</v>
      </c>
      <c r="B127" s="1">
        <v>25.144271254456211</v>
      </c>
      <c r="C127" s="1">
        <v>25.52129229758706</v>
      </c>
      <c r="D127" s="1">
        <v>26.61698330332635</v>
      </c>
      <c r="E127" s="1" t="s">
        <v>139</v>
      </c>
      <c r="F127" s="1">
        <v>2</v>
      </c>
    </row>
    <row r="128" spans="1:6" x14ac:dyDescent="0.35">
      <c r="A128" s="1">
        <v>2027</v>
      </c>
      <c r="B128" s="1">
        <v>24.27535695543483</v>
      </c>
      <c r="C128" s="1">
        <v>24.939603619102218</v>
      </c>
      <c r="D128" s="1">
        <v>26.422868080708259</v>
      </c>
      <c r="E128" s="1" t="s">
        <v>139</v>
      </c>
      <c r="F128" s="1">
        <v>2</v>
      </c>
    </row>
    <row r="129" spans="1:6" x14ac:dyDescent="0.35">
      <c r="A129" s="1">
        <v>2028</v>
      </c>
      <c r="B129" s="1">
        <v>24.553577598333931</v>
      </c>
      <c r="C129" s="1">
        <v>24.55062951586256</v>
      </c>
      <c r="D129" s="1">
        <v>26.45938154320622</v>
      </c>
      <c r="E129" s="1" t="s">
        <v>139</v>
      </c>
      <c r="F129" s="1">
        <v>2</v>
      </c>
    </row>
    <row r="130" spans="1:6" x14ac:dyDescent="0.35">
      <c r="A130" s="1">
        <v>2029</v>
      </c>
      <c r="B130" s="1">
        <v>33.129718201900488</v>
      </c>
      <c r="C130" s="1">
        <v>35.158599503830892</v>
      </c>
      <c r="D130" s="1">
        <v>36.741615903857628</v>
      </c>
      <c r="E130" s="1" t="s">
        <v>139</v>
      </c>
      <c r="F130" s="1">
        <v>2</v>
      </c>
    </row>
    <row r="131" spans="1:6" x14ac:dyDescent="0.35">
      <c r="A131" s="1">
        <v>2030</v>
      </c>
      <c r="B131" s="1">
        <v>29.6777966938951</v>
      </c>
      <c r="C131" s="1">
        <v>33.702144186123441</v>
      </c>
      <c r="D131" s="1">
        <v>33.620093296215252</v>
      </c>
      <c r="E131" s="1" t="s">
        <v>139</v>
      </c>
      <c r="F131" s="1">
        <v>2</v>
      </c>
    </row>
    <row r="132" spans="1:6" x14ac:dyDescent="0.35">
      <c r="A132" s="1">
        <v>2031</v>
      </c>
      <c r="B132" s="1">
        <v>30.978949894331489</v>
      </c>
      <c r="C132" s="1">
        <v>32.934146339846762</v>
      </c>
      <c r="D132" s="1">
        <v>34.712083403089423</v>
      </c>
      <c r="E132" s="1" t="s">
        <v>139</v>
      </c>
      <c r="F132" s="1">
        <v>2</v>
      </c>
    </row>
    <row r="133" spans="1:6" x14ac:dyDescent="0.35">
      <c r="A133" s="1">
        <v>2032</v>
      </c>
      <c r="B133" s="1">
        <v>30.697961956167589</v>
      </c>
      <c r="C133" s="1">
        <v>33.334689899652432</v>
      </c>
      <c r="D133" s="1">
        <v>35.062457011248327</v>
      </c>
      <c r="E133" s="1" t="s">
        <v>139</v>
      </c>
      <c r="F133" s="1">
        <v>2</v>
      </c>
    </row>
    <row r="134" spans="1:6" x14ac:dyDescent="0.35">
      <c r="A134" s="1">
        <v>2033</v>
      </c>
      <c r="B134" s="1">
        <v>30.959042301383299</v>
      </c>
      <c r="C134" s="1">
        <v>33.218707017222613</v>
      </c>
      <c r="D134" s="1">
        <v>35.938522213059542</v>
      </c>
      <c r="E134" s="1" t="s">
        <v>139</v>
      </c>
      <c r="F134" s="1">
        <v>2</v>
      </c>
    </row>
    <row r="135" spans="1:6" x14ac:dyDescent="0.35">
      <c r="A135" s="1">
        <v>2034</v>
      </c>
      <c r="B135" s="1">
        <v>30.105637877464979</v>
      </c>
      <c r="C135" s="1">
        <v>33.292938454911337</v>
      </c>
      <c r="D135" s="1">
        <v>35.249196593967177</v>
      </c>
      <c r="E135" s="1" t="s">
        <v>139</v>
      </c>
      <c r="F135" s="1">
        <v>2</v>
      </c>
    </row>
    <row r="136" spans="1:6" x14ac:dyDescent="0.35">
      <c r="A136" s="1">
        <v>2035</v>
      </c>
      <c r="B136" s="1">
        <v>30.79201690014721</v>
      </c>
      <c r="C136" s="1">
        <v>32.899339516844748</v>
      </c>
      <c r="D136" s="1">
        <v>35.487737806493129</v>
      </c>
      <c r="E136" s="1" t="s">
        <v>139</v>
      </c>
      <c r="F136" s="1">
        <v>2</v>
      </c>
    </row>
    <row r="137" spans="1:6" x14ac:dyDescent="0.35">
      <c r="A137" s="1">
        <v>2036</v>
      </c>
      <c r="B137" s="1">
        <v>30.551826925140421</v>
      </c>
      <c r="C137" s="1">
        <v>33.366391203692473</v>
      </c>
      <c r="D137" s="1">
        <v>36.102017349889927</v>
      </c>
      <c r="E137" s="1" t="s">
        <v>139</v>
      </c>
      <c r="F137" s="1">
        <v>2</v>
      </c>
    </row>
    <row r="138" spans="1:6" x14ac:dyDescent="0.35">
      <c r="A138" s="1">
        <v>2037</v>
      </c>
      <c r="B138" s="1">
        <v>40.76809808200526</v>
      </c>
      <c r="C138" s="1">
        <v>45.431088662437638</v>
      </c>
      <c r="D138" s="1">
        <v>49.222297570832723</v>
      </c>
      <c r="E138" s="1" t="s">
        <v>139</v>
      </c>
      <c r="F138" s="1">
        <v>2</v>
      </c>
    </row>
    <row r="139" spans="1:6" x14ac:dyDescent="0.35">
      <c r="A139" s="1">
        <v>2038</v>
      </c>
      <c r="B139" s="1">
        <v>37.261233175655981</v>
      </c>
      <c r="C139" s="1">
        <v>41.874937020747197</v>
      </c>
      <c r="D139" s="1">
        <v>47.865879983033651</v>
      </c>
      <c r="E139" s="1" t="s">
        <v>139</v>
      </c>
      <c r="F139" s="1">
        <v>2</v>
      </c>
    </row>
    <row r="140" spans="1:6" x14ac:dyDescent="0.35">
      <c r="A140" s="1">
        <v>2039</v>
      </c>
      <c r="B140" s="1">
        <v>36.220870289812297</v>
      </c>
      <c r="C140" s="1">
        <v>43.058203150326818</v>
      </c>
      <c r="D140" s="1">
        <v>48.390544685199274</v>
      </c>
      <c r="E140" s="1" t="s">
        <v>139</v>
      </c>
      <c r="F140" s="1">
        <v>2</v>
      </c>
    </row>
    <row r="141" spans="1:6" x14ac:dyDescent="0.35">
      <c r="A141" s="1">
        <v>2040</v>
      </c>
      <c r="B141" s="1">
        <v>36.78168172002902</v>
      </c>
      <c r="C141" s="1">
        <v>42.731696973616238</v>
      </c>
      <c r="D141" s="1">
        <v>48.260485566124942</v>
      </c>
      <c r="E141" s="1" t="s">
        <v>139</v>
      </c>
      <c r="F141" s="1">
        <v>2</v>
      </c>
    </row>
    <row r="142" spans="1:6" x14ac:dyDescent="0.35">
      <c r="A142" s="1">
        <v>2041</v>
      </c>
      <c r="B142" s="1">
        <v>37.144883886823727</v>
      </c>
      <c r="C142" s="1">
        <v>41.468115573105699</v>
      </c>
      <c r="D142" s="1">
        <v>49.423891656494177</v>
      </c>
      <c r="E142" s="1" t="s">
        <v>139</v>
      </c>
      <c r="F142" s="1">
        <v>2</v>
      </c>
    </row>
    <row r="143" spans="1:6" x14ac:dyDescent="0.35">
      <c r="A143" s="1">
        <v>2042</v>
      </c>
      <c r="B143" s="1">
        <v>37.356589375938469</v>
      </c>
      <c r="C143" s="1">
        <v>41.144058724863797</v>
      </c>
      <c r="D143" s="1">
        <v>47.392028783853313</v>
      </c>
      <c r="E143" s="1" t="s">
        <v>139</v>
      </c>
      <c r="F143" s="1">
        <v>2</v>
      </c>
    </row>
    <row r="144" spans="1:6" x14ac:dyDescent="0.35">
      <c r="A144" s="1">
        <v>2043</v>
      </c>
      <c r="B144" s="1">
        <v>35.974438414558229</v>
      </c>
      <c r="C144" s="1">
        <v>40.742546057877298</v>
      </c>
      <c r="D144" s="1">
        <v>48.393803405338858</v>
      </c>
      <c r="E144" s="1" t="s">
        <v>139</v>
      </c>
      <c r="F144" s="1">
        <v>2</v>
      </c>
    </row>
    <row r="145" spans="1:6" x14ac:dyDescent="0.35">
      <c r="A145" s="1">
        <v>2044</v>
      </c>
      <c r="B145" s="1">
        <v>37.315019407405153</v>
      </c>
      <c r="C145" s="1">
        <v>41.535002453930268</v>
      </c>
      <c r="D145" s="1">
        <v>48.065430573977899</v>
      </c>
      <c r="E145" s="1" t="s">
        <v>139</v>
      </c>
      <c r="F145" s="1">
        <v>2</v>
      </c>
    </row>
    <row r="146" spans="1:6" x14ac:dyDescent="0.35">
      <c r="A146" s="1">
        <v>2045</v>
      </c>
      <c r="B146" s="1">
        <v>37.158060643258992</v>
      </c>
      <c r="C146" s="1">
        <v>42.552175612031711</v>
      </c>
      <c r="D146" s="1">
        <v>48.216276372636081</v>
      </c>
      <c r="E146" s="1" t="s">
        <v>139</v>
      </c>
      <c r="F146" s="1">
        <v>2</v>
      </c>
    </row>
    <row r="147" spans="1:6" x14ac:dyDescent="0.35">
      <c r="A147" s="1">
        <v>2046</v>
      </c>
      <c r="B147" s="1">
        <v>36.422575714340411</v>
      </c>
      <c r="C147" s="1">
        <v>42.651870898385368</v>
      </c>
      <c r="D147" s="1">
        <v>47.435785469872727</v>
      </c>
      <c r="E147" s="1" t="s">
        <v>139</v>
      </c>
      <c r="F147" s="1">
        <v>2</v>
      </c>
    </row>
    <row r="148" spans="1:6" x14ac:dyDescent="0.35">
      <c r="A148" s="1">
        <v>2047</v>
      </c>
      <c r="B148" s="1">
        <v>37.009149335225011</v>
      </c>
      <c r="C148" s="1">
        <v>41.891579215916778</v>
      </c>
      <c r="D148" s="1">
        <v>49.542564245021637</v>
      </c>
      <c r="E148" s="1" t="s">
        <v>139</v>
      </c>
      <c r="F148" s="1">
        <v>2</v>
      </c>
    </row>
    <row r="149" spans="1:6" x14ac:dyDescent="0.35">
      <c r="A149" s="1">
        <v>2048</v>
      </c>
      <c r="B149" s="1">
        <v>36.403171638353093</v>
      </c>
      <c r="C149" s="1">
        <v>41.431013579262327</v>
      </c>
      <c r="D149" s="1">
        <v>48.850721430811717</v>
      </c>
      <c r="E149" s="1" t="s">
        <v>139</v>
      </c>
      <c r="F149" s="1">
        <v>2</v>
      </c>
    </row>
    <row r="150" spans="1:6" x14ac:dyDescent="0.35">
      <c r="A150" s="1">
        <v>2049</v>
      </c>
      <c r="B150" s="1">
        <v>35.914433001733947</v>
      </c>
      <c r="C150" s="1">
        <v>41.655280167182369</v>
      </c>
      <c r="D150" s="1">
        <v>49.034425777416693</v>
      </c>
      <c r="E150" s="1" t="s">
        <v>139</v>
      </c>
      <c r="F150" s="1">
        <v>2</v>
      </c>
    </row>
    <row r="151" spans="1:6" x14ac:dyDescent="0.35">
      <c r="A151" s="1">
        <v>2050</v>
      </c>
      <c r="B151" s="1">
        <v>34.919031429960782</v>
      </c>
      <c r="C151" s="1">
        <v>41.882475213854043</v>
      </c>
      <c r="D151" s="1">
        <v>49.860095281300737</v>
      </c>
      <c r="E151" s="1" t="s">
        <v>139</v>
      </c>
      <c r="F151" s="1">
        <v>2</v>
      </c>
    </row>
    <row r="152" spans="1:6" x14ac:dyDescent="0.35">
      <c r="A152" s="1">
        <v>2026</v>
      </c>
      <c r="B152" s="1">
        <v>24.62007031390683</v>
      </c>
      <c r="C152" s="1">
        <v>24.79504185674508</v>
      </c>
      <c r="D152" s="1">
        <v>25.685279003237749</v>
      </c>
      <c r="E152" s="1" t="s">
        <v>140</v>
      </c>
      <c r="F152" s="1">
        <v>2</v>
      </c>
    </row>
    <row r="153" spans="1:6" x14ac:dyDescent="0.35">
      <c r="A153" s="1">
        <v>2027</v>
      </c>
      <c r="B153" s="1">
        <v>24.61899589458924</v>
      </c>
      <c r="C153" s="1">
        <v>24.836040978982691</v>
      </c>
      <c r="D153" s="1">
        <v>25.804512133798131</v>
      </c>
      <c r="E153" s="1" t="s">
        <v>140</v>
      </c>
      <c r="F153" s="1">
        <v>2</v>
      </c>
    </row>
    <row r="154" spans="1:6" x14ac:dyDescent="0.35">
      <c r="A154" s="1">
        <v>2028</v>
      </c>
      <c r="B154" s="1">
        <v>24.404235774005279</v>
      </c>
      <c r="C154" s="1">
        <v>24.57727195724917</v>
      </c>
      <c r="D154" s="1">
        <v>26.05509486801639</v>
      </c>
      <c r="E154" s="1" t="s">
        <v>140</v>
      </c>
      <c r="F154" s="1">
        <v>2</v>
      </c>
    </row>
    <row r="155" spans="1:6" x14ac:dyDescent="0.35">
      <c r="A155" s="1">
        <v>2029</v>
      </c>
      <c r="B155" s="1">
        <v>24.276252348067739</v>
      </c>
      <c r="C155" s="1">
        <v>24.948905857525219</v>
      </c>
      <c r="D155" s="1">
        <v>26.449174102827008</v>
      </c>
      <c r="E155" s="1" t="s">
        <v>140</v>
      </c>
      <c r="F155" s="1">
        <v>2</v>
      </c>
    </row>
    <row r="156" spans="1:6" x14ac:dyDescent="0.35">
      <c r="A156" s="1">
        <v>2030</v>
      </c>
      <c r="B156" s="1">
        <v>32.541861564073983</v>
      </c>
      <c r="C156" s="1">
        <v>34.526903307389723</v>
      </c>
      <c r="D156" s="1">
        <v>35.585151515557513</v>
      </c>
      <c r="E156" s="1" t="s">
        <v>140</v>
      </c>
      <c r="F156" s="1">
        <v>2</v>
      </c>
    </row>
    <row r="157" spans="1:6" x14ac:dyDescent="0.35">
      <c r="A157" s="1">
        <v>2031</v>
      </c>
      <c r="B157" s="1">
        <v>31.08916181711167</v>
      </c>
      <c r="C157" s="1">
        <v>32.758663247392747</v>
      </c>
      <c r="D157" s="1">
        <v>36.499219969140192</v>
      </c>
      <c r="E157" s="1" t="s">
        <v>140</v>
      </c>
      <c r="F157" s="1">
        <v>2</v>
      </c>
    </row>
    <row r="158" spans="1:6" x14ac:dyDescent="0.35">
      <c r="A158" s="1">
        <v>2032</v>
      </c>
      <c r="B158" s="1">
        <v>31.045474487190951</v>
      </c>
      <c r="C158" s="1">
        <v>32.613192404782239</v>
      </c>
      <c r="D158" s="1">
        <v>37.57675948163395</v>
      </c>
      <c r="E158" s="1" t="s">
        <v>140</v>
      </c>
      <c r="F158" s="1">
        <v>2</v>
      </c>
    </row>
    <row r="159" spans="1:6" x14ac:dyDescent="0.35">
      <c r="A159" s="1">
        <v>2033</v>
      </c>
      <c r="B159" s="1">
        <v>30.287055265444881</v>
      </c>
      <c r="C159" s="1">
        <v>32.478060314670792</v>
      </c>
      <c r="D159" s="1">
        <v>36.398819432047112</v>
      </c>
      <c r="E159" s="1" t="s">
        <v>140</v>
      </c>
      <c r="F159" s="1">
        <v>2</v>
      </c>
    </row>
    <row r="160" spans="1:6" x14ac:dyDescent="0.35">
      <c r="A160" s="1">
        <v>2034</v>
      </c>
      <c r="B160" s="1">
        <v>30.17353606838472</v>
      </c>
      <c r="C160" s="1">
        <v>32.06588683588356</v>
      </c>
      <c r="D160" s="1">
        <v>35.825849961191572</v>
      </c>
      <c r="E160" s="1" t="s">
        <v>140</v>
      </c>
      <c r="F160" s="1">
        <v>2</v>
      </c>
    </row>
    <row r="161" spans="1:6" x14ac:dyDescent="0.35">
      <c r="A161" s="1">
        <v>2035</v>
      </c>
      <c r="B161" s="1">
        <v>29.632456149855422</v>
      </c>
      <c r="C161" s="1">
        <v>33.047450885170242</v>
      </c>
      <c r="D161" s="1">
        <v>36.237741560873268</v>
      </c>
      <c r="E161" s="1" t="s">
        <v>140</v>
      </c>
      <c r="F161" s="1">
        <v>2</v>
      </c>
    </row>
    <row r="162" spans="1:6" x14ac:dyDescent="0.35">
      <c r="A162" s="1">
        <v>2036</v>
      </c>
      <c r="B162" s="1">
        <v>29.484540037047498</v>
      </c>
      <c r="C162" s="1">
        <v>33.26055203465026</v>
      </c>
      <c r="D162" s="1">
        <v>36.083128532371852</v>
      </c>
      <c r="E162" s="1" t="s">
        <v>140</v>
      </c>
      <c r="F162" s="1">
        <v>2</v>
      </c>
    </row>
    <row r="163" spans="1:6" x14ac:dyDescent="0.35">
      <c r="A163" s="1">
        <v>2037</v>
      </c>
      <c r="B163" s="1">
        <v>29.896233294929399</v>
      </c>
      <c r="C163" s="1">
        <v>33.029230898686052</v>
      </c>
      <c r="D163" s="1">
        <v>35.963490617674111</v>
      </c>
      <c r="E163" s="1" t="s">
        <v>140</v>
      </c>
      <c r="F163" s="1">
        <v>2</v>
      </c>
    </row>
    <row r="164" spans="1:6" x14ac:dyDescent="0.35">
      <c r="A164" s="1">
        <v>2038</v>
      </c>
      <c r="B164" s="1">
        <v>30.109142783762721</v>
      </c>
      <c r="C164" s="1">
        <v>32.499221095733382</v>
      </c>
      <c r="D164" s="1">
        <v>36.57144305577701</v>
      </c>
      <c r="E164" s="1" t="s">
        <v>140</v>
      </c>
      <c r="F164" s="1">
        <v>2</v>
      </c>
    </row>
    <row r="165" spans="1:6" x14ac:dyDescent="0.35">
      <c r="A165" s="1">
        <v>2039</v>
      </c>
      <c r="B165" s="1">
        <v>29.724310813518841</v>
      </c>
      <c r="C165" s="1">
        <v>32.733012994289602</v>
      </c>
      <c r="D165" s="1">
        <v>36.841432064362529</v>
      </c>
      <c r="E165" s="1" t="s">
        <v>140</v>
      </c>
      <c r="F165" s="1">
        <v>2</v>
      </c>
    </row>
    <row r="166" spans="1:6" x14ac:dyDescent="0.35">
      <c r="A166" s="1">
        <v>2040</v>
      </c>
      <c r="B166" s="1">
        <v>29.598333213884558</v>
      </c>
      <c r="C166" s="1">
        <v>33.682112273601099</v>
      </c>
      <c r="D166" s="1">
        <v>38.033961797305359</v>
      </c>
      <c r="E166" s="1" t="s">
        <v>140</v>
      </c>
      <c r="F166" s="1">
        <v>2</v>
      </c>
    </row>
    <row r="167" spans="1:6" x14ac:dyDescent="0.35">
      <c r="A167" s="1">
        <v>2041</v>
      </c>
      <c r="B167" s="1">
        <v>29.072339530540489</v>
      </c>
      <c r="C167" s="1">
        <v>33.609054052857857</v>
      </c>
      <c r="D167" s="1">
        <v>37.926937615653443</v>
      </c>
      <c r="E167" s="1" t="s">
        <v>140</v>
      </c>
      <c r="F167" s="1">
        <v>2</v>
      </c>
    </row>
    <row r="168" spans="1:6" x14ac:dyDescent="0.35">
      <c r="A168" s="1">
        <v>2042</v>
      </c>
      <c r="B168" s="1">
        <v>28.556569581886841</v>
      </c>
      <c r="C168" s="1">
        <v>33.205944687380367</v>
      </c>
      <c r="D168" s="1">
        <v>37.661757405436163</v>
      </c>
      <c r="E168" s="1" t="s">
        <v>140</v>
      </c>
      <c r="F168" s="1">
        <v>2</v>
      </c>
    </row>
    <row r="169" spans="1:6" x14ac:dyDescent="0.35">
      <c r="A169" s="1">
        <v>2043</v>
      </c>
      <c r="B169" s="1">
        <v>28.791432889092398</v>
      </c>
      <c r="C169" s="1">
        <v>32.867281402832717</v>
      </c>
      <c r="D169" s="1">
        <v>36.953763771572604</v>
      </c>
      <c r="E169" s="1" t="s">
        <v>140</v>
      </c>
      <c r="F169" s="1">
        <v>2</v>
      </c>
    </row>
    <row r="170" spans="1:6" x14ac:dyDescent="0.35">
      <c r="A170" s="1">
        <v>2044</v>
      </c>
      <c r="B170" s="1">
        <v>28.40008025389583</v>
      </c>
      <c r="C170" s="1">
        <v>33.014231018694318</v>
      </c>
      <c r="D170" s="1">
        <v>37.629422457624919</v>
      </c>
      <c r="E170" s="1" t="s">
        <v>140</v>
      </c>
      <c r="F170" s="1">
        <v>2</v>
      </c>
    </row>
    <row r="171" spans="1:6" x14ac:dyDescent="0.35">
      <c r="A171" s="1">
        <v>2045</v>
      </c>
      <c r="B171" s="1">
        <v>28.47828975425865</v>
      </c>
      <c r="C171" s="1">
        <v>33.101485017060853</v>
      </c>
      <c r="D171" s="1">
        <v>37.780397067185483</v>
      </c>
      <c r="E171" s="1" t="s">
        <v>140</v>
      </c>
      <c r="F171" s="1">
        <v>2</v>
      </c>
    </row>
    <row r="172" spans="1:6" x14ac:dyDescent="0.35">
      <c r="A172" s="1">
        <v>2046</v>
      </c>
      <c r="B172" s="1">
        <v>28.9426522666</v>
      </c>
      <c r="C172" s="1">
        <v>33.380573158927817</v>
      </c>
      <c r="D172" s="1">
        <v>37.71559908258525</v>
      </c>
      <c r="E172" s="1" t="s">
        <v>140</v>
      </c>
      <c r="F172" s="1">
        <v>2</v>
      </c>
    </row>
    <row r="173" spans="1:6" x14ac:dyDescent="0.35">
      <c r="A173" s="1">
        <v>2047</v>
      </c>
      <c r="B173" s="1">
        <v>39.024724448192643</v>
      </c>
      <c r="C173" s="1">
        <v>44.425493316050677</v>
      </c>
      <c r="D173" s="1">
        <v>51.193877045566822</v>
      </c>
      <c r="E173" s="1" t="s">
        <v>140</v>
      </c>
      <c r="F173" s="1">
        <v>2</v>
      </c>
    </row>
    <row r="174" spans="1:6" x14ac:dyDescent="0.35">
      <c r="A174" s="1">
        <v>2048</v>
      </c>
      <c r="B174" s="1">
        <v>36.247349635366959</v>
      </c>
      <c r="C174" s="1">
        <v>42.095101535349613</v>
      </c>
      <c r="D174" s="1">
        <v>50.341562156151738</v>
      </c>
      <c r="E174" s="1" t="s">
        <v>140</v>
      </c>
      <c r="F174" s="1">
        <v>2</v>
      </c>
    </row>
    <row r="175" spans="1:6" x14ac:dyDescent="0.35">
      <c r="A175" s="1">
        <v>2049</v>
      </c>
      <c r="B175" s="1">
        <v>36.663265153751851</v>
      </c>
      <c r="C175" s="1">
        <v>42.481241180676243</v>
      </c>
      <c r="D175" s="1">
        <v>50.52934810011682</v>
      </c>
      <c r="E175" s="1" t="s">
        <v>140</v>
      </c>
      <c r="F175" s="1">
        <v>2</v>
      </c>
    </row>
    <row r="176" spans="1:6" x14ac:dyDescent="0.35">
      <c r="A176" s="1">
        <v>2050</v>
      </c>
      <c r="B176" s="1">
        <v>37.019115085373812</v>
      </c>
      <c r="C176" s="1">
        <v>43.24821763400675</v>
      </c>
      <c r="D176" s="1">
        <v>50.289271391515562</v>
      </c>
      <c r="E176" s="1" t="s">
        <v>140</v>
      </c>
      <c r="F176" s="1">
        <v>2</v>
      </c>
    </row>
    <row r="177" spans="1:6" x14ac:dyDescent="0.35">
      <c r="A177" s="1">
        <v>2026</v>
      </c>
      <c r="B177" s="1">
        <v>25.05982815142016</v>
      </c>
      <c r="C177" s="1">
        <v>24.79504185674508</v>
      </c>
      <c r="D177" s="1">
        <v>25.685279003237749</v>
      </c>
      <c r="E177" s="1" t="s">
        <v>141</v>
      </c>
      <c r="F177" s="1">
        <v>2</v>
      </c>
    </row>
    <row r="178" spans="1:6" x14ac:dyDescent="0.35">
      <c r="A178" s="1">
        <v>2027</v>
      </c>
      <c r="B178" s="1">
        <v>25.706101547007041</v>
      </c>
      <c r="C178" s="1">
        <v>24.836040978982691</v>
      </c>
      <c r="D178" s="1">
        <v>25.804512133798131</v>
      </c>
      <c r="E178" s="1" t="s">
        <v>141</v>
      </c>
      <c r="F178" s="1">
        <v>2</v>
      </c>
    </row>
    <row r="179" spans="1:6" x14ac:dyDescent="0.35">
      <c r="A179" s="1">
        <v>2028</v>
      </c>
      <c r="B179" s="1">
        <v>24.429627211969429</v>
      </c>
      <c r="C179" s="1">
        <v>24.57727195724917</v>
      </c>
      <c r="D179" s="1">
        <v>26.05509486801639</v>
      </c>
      <c r="E179" s="1" t="s">
        <v>141</v>
      </c>
      <c r="F179" s="1">
        <v>2</v>
      </c>
    </row>
    <row r="180" spans="1:6" x14ac:dyDescent="0.35">
      <c r="A180" s="1">
        <v>2029</v>
      </c>
      <c r="B180" s="1">
        <v>23.91317316613916</v>
      </c>
      <c r="C180" s="1">
        <v>24.948905857525219</v>
      </c>
      <c r="D180" s="1">
        <v>26.449174102827008</v>
      </c>
      <c r="E180" s="1" t="s">
        <v>141</v>
      </c>
      <c r="F180" s="1">
        <v>2</v>
      </c>
    </row>
    <row r="181" spans="1:6" x14ac:dyDescent="0.35">
      <c r="A181" s="1">
        <v>2030</v>
      </c>
      <c r="B181" s="1">
        <v>24.40753086091512</v>
      </c>
      <c r="C181" s="1">
        <v>25.64176824348333</v>
      </c>
      <c r="D181" s="1">
        <v>26.385562519517329</v>
      </c>
      <c r="E181" s="1" t="s">
        <v>141</v>
      </c>
      <c r="F181" s="1">
        <v>2</v>
      </c>
    </row>
    <row r="182" spans="1:6" x14ac:dyDescent="0.35">
      <c r="A182" s="1">
        <v>2031</v>
      </c>
      <c r="B182" s="1">
        <v>33.027632043825498</v>
      </c>
      <c r="C182" s="1">
        <v>34.508040453478223</v>
      </c>
      <c r="D182" s="1">
        <v>36.650368907418539</v>
      </c>
      <c r="E182" s="1" t="s">
        <v>141</v>
      </c>
      <c r="F182" s="1">
        <v>2</v>
      </c>
    </row>
    <row r="183" spans="1:6" x14ac:dyDescent="0.35">
      <c r="A183" s="1">
        <v>2032</v>
      </c>
      <c r="B183" s="1">
        <v>30.7617720598464</v>
      </c>
      <c r="C183" s="1">
        <v>32.563847572886289</v>
      </c>
      <c r="D183" s="1">
        <v>37.39907553368311</v>
      </c>
      <c r="E183" s="1" t="s">
        <v>141</v>
      </c>
      <c r="F183" s="1">
        <v>2</v>
      </c>
    </row>
    <row r="184" spans="1:6" x14ac:dyDescent="0.35">
      <c r="A184" s="1">
        <v>2033</v>
      </c>
      <c r="B184" s="1">
        <v>30.483267429645391</v>
      </c>
      <c r="C184" s="1">
        <v>32.428919942068113</v>
      </c>
      <c r="D184" s="1">
        <v>36.226705443862549</v>
      </c>
      <c r="E184" s="1" t="s">
        <v>141</v>
      </c>
      <c r="F184" s="1">
        <v>2</v>
      </c>
    </row>
    <row r="185" spans="1:6" x14ac:dyDescent="0.35">
      <c r="A185" s="1">
        <v>2034</v>
      </c>
      <c r="B185" s="1">
        <v>30.325887824530628</v>
      </c>
      <c r="C185" s="1">
        <v>32.017370095299789</v>
      </c>
      <c r="D185" s="1">
        <v>35.656445293316729</v>
      </c>
      <c r="E185" s="1" t="s">
        <v>141</v>
      </c>
      <c r="F185" s="1">
        <v>2</v>
      </c>
    </row>
    <row r="186" spans="1:6" x14ac:dyDescent="0.35">
      <c r="A186" s="1">
        <v>2035</v>
      </c>
      <c r="B186" s="1">
        <v>30.03491486871366</v>
      </c>
      <c r="C186" s="1">
        <v>32.997449005922149</v>
      </c>
      <c r="D186" s="1">
        <v>36.066389239007798</v>
      </c>
      <c r="E186" s="1" t="s">
        <v>141</v>
      </c>
      <c r="F186" s="1">
        <v>2</v>
      </c>
    </row>
    <row r="187" spans="1:6" x14ac:dyDescent="0.35">
      <c r="A187" s="1">
        <v>2036</v>
      </c>
      <c r="B187" s="1">
        <v>39.97392596119888</v>
      </c>
      <c r="C187" s="1">
        <v>44.768125036286939</v>
      </c>
      <c r="D187" s="1">
        <v>48.438603315077607</v>
      </c>
      <c r="E187" s="1" t="s">
        <v>141</v>
      </c>
      <c r="F187" s="1">
        <v>2</v>
      </c>
    </row>
    <row r="188" spans="1:6" x14ac:dyDescent="0.35">
      <c r="A188" s="1">
        <v>2037</v>
      </c>
      <c r="B188" s="1">
        <v>38.429969473483638</v>
      </c>
      <c r="C188" s="1">
        <v>41.997553547084017</v>
      </c>
      <c r="D188" s="1">
        <v>45.830085545278749</v>
      </c>
      <c r="E188" s="1" t="s">
        <v>141</v>
      </c>
      <c r="F188" s="1">
        <v>2</v>
      </c>
    </row>
    <row r="189" spans="1:6" x14ac:dyDescent="0.35">
      <c r="A189" s="1">
        <v>2038</v>
      </c>
      <c r="B189" s="1">
        <v>37.000410995230133</v>
      </c>
      <c r="C189" s="1">
        <v>41.323631857891137</v>
      </c>
      <c r="D189" s="1">
        <v>46.604829925403628</v>
      </c>
      <c r="E189" s="1" t="s">
        <v>141</v>
      </c>
      <c r="F189" s="1">
        <v>2</v>
      </c>
    </row>
    <row r="190" spans="1:6" x14ac:dyDescent="0.35">
      <c r="A190" s="1">
        <v>2039</v>
      </c>
      <c r="B190" s="1">
        <v>37.612516329403228</v>
      </c>
      <c r="C190" s="1">
        <v>41.620904531560321</v>
      </c>
      <c r="D190" s="1">
        <v>46.948890503151837</v>
      </c>
      <c r="E190" s="1" t="s">
        <v>141</v>
      </c>
      <c r="F190" s="1">
        <v>2</v>
      </c>
    </row>
    <row r="191" spans="1:6" x14ac:dyDescent="0.35">
      <c r="A191" s="1">
        <v>2040</v>
      </c>
      <c r="B191" s="1">
        <v>37.293257357775353</v>
      </c>
      <c r="C191" s="1">
        <v>42.827709737732093</v>
      </c>
      <c r="D191" s="1">
        <v>48.468591142254958</v>
      </c>
      <c r="E191" s="1" t="s">
        <v>141</v>
      </c>
      <c r="F191" s="1">
        <v>2</v>
      </c>
    </row>
    <row r="192" spans="1:6" x14ac:dyDescent="0.35">
      <c r="A192" s="1">
        <v>2041</v>
      </c>
      <c r="B192" s="1">
        <v>37.107736357199308</v>
      </c>
      <c r="C192" s="1">
        <v>42.734814249274287</v>
      </c>
      <c r="D192" s="1">
        <v>48.33220484280853</v>
      </c>
      <c r="E192" s="1" t="s">
        <v>141</v>
      </c>
      <c r="F192" s="1">
        <v>2</v>
      </c>
    </row>
    <row r="193" spans="1:6" x14ac:dyDescent="0.35">
      <c r="A193" s="1">
        <v>2042</v>
      </c>
      <c r="B193" s="1">
        <v>36.612834987108407</v>
      </c>
      <c r="C193" s="1">
        <v>42.222249872165357</v>
      </c>
      <c r="D193" s="1">
        <v>47.994272358768733</v>
      </c>
      <c r="E193" s="1" t="s">
        <v>141</v>
      </c>
      <c r="F193" s="1">
        <v>2</v>
      </c>
    </row>
    <row r="194" spans="1:6" x14ac:dyDescent="0.35">
      <c r="A194" s="1">
        <v>2043</v>
      </c>
      <c r="B194" s="1">
        <v>36.806703531401382</v>
      </c>
      <c r="C194" s="1">
        <v>41.791630416603432</v>
      </c>
      <c r="D194" s="1">
        <v>47.092040449457507</v>
      </c>
      <c r="E194" s="1" t="s">
        <v>141</v>
      </c>
      <c r="F194" s="1">
        <v>2</v>
      </c>
    </row>
    <row r="195" spans="1:6" x14ac:dyDescent="0.35">
      <c r="A195" s="1">
        <v>2044</v>
      </c>
      <c r="B195" s="1">
        <v>37.114249392635408</v>
      </c>
      <c r="C195" s="1">
        <v>41.978480797098257</v>
      </c>
      <c r="D195" s="1">
        <v>47.95306630788658</v>
      </c>
      <c r="E195" s="1" t="s">
        <v>141</v>
      </c>
      <c r="F195" s="1">
        <v>2</v>
      </c>
    </row>
    <row r="196" spans="1:6" x14ac:dyDescent="0.35">
      <c r="A196" s="1">
        <v>2045</v>
      </c>
      <c r="B196" s="1">
        <v>36.271447503531448</v>
      </c>
      <c r="C196" s="1">
        <v>42.089426597799353</v>
      </c>
      <c r="D196" s="1">
        <v>48.145460848919399</v>
      </c>
      <c r="E196" s="1" t="s">
        <v>141</v>
      </c>
      <c r="F196" s="1">
        <v>2</v>
      </c>
    </row>
    <row r="197" spans="1:6" x14ac:dyDescent="0.35">
      <c r="A197" s="1">
        <v>2046</v>
      </c>
      <c r="B197" s="1">
        <v>36.61574639543592</v>
      </c>
      <c r="C197" s="1">
        <v>42.444294660527397</v>
      </c>
      <c r="D197" s="1">
        <v>48.062885516926158</v>
      </c>
      <c r="E197" s="1" t="s">
        <v>141</v>
      </c>
      <c r="F197" s="1">
        <v>2</v>
      </c>
    </row>
    <row r="198" spans="1:6" x14ac:dyDescent="0.35">
      <c r="A198" s="1">
        <v>2047</v>
      </c>
      <c r="B198" s="1">
        <v>36.539453463822191</v>
      </c>
      <c r="C198" s="1">
        <v>41.858963883508252</v>
      </c>
      <c r="D198" s="1">
        <v>48.397350810872773</v>
      </c>
      <c r="E198" s="1" t="s">
        <v>141</v>
      </c>
      <c r="F198" s="1">
        <v>2</v>
      </c>
    </row>
    <row r="199" spans="1:6" x14ac:dyDescent="0.35">
      <c r="A199" s="1">
        <v>2048</v>
      </c>
      <c r="B199" s="1">
        <v>36.330155040426391</v>
      </c>
      <c r="C199" s="1">
        <v>41.746563454031673</v>
      </c>
      <c r="D199" s="1">
        <v>49.041439007509027</v>
      </c>
      <c r="E199" s="1" t="s">
        <v>141</v>
      </c>
      <c r="F199" s="1">
        <v>2</v>
      </c>
    </row>
    <row r="200" spans="1:6" x14ac:dyDescent="0.35">
      <c r="A200" s="1">
        <v>2049</v>
      </c>
      <c r="B200" s="1">
        <v>36.66948772247278</v>
      </c>
      <c r="C200" s="1">
        <v>42.129505948949003</v>
      </c>
      <c r="D200" s="1">
        <v>49.224375184357598</v>
      </c>
      <c r="E200" s="1" t="s">
        <v>141</v>
      </c>
      <c r="F200" s="1">
        <v>2</v>
      </c>
    </row>
    <row r="201" spans="1:6" x14ac:dyDescent="0.35">
      <c r="A201" s="1">
        <v>2050</v>
      </c>
      <c r="B201" s="1">
        <v>36.960593062963838</v>
      </c>
      <c r="C201" s="1">
        <v>42.89013200777493</v>
      </c>
      <c r="D201" s="1">
        <v>48.990498706200803</v>
      </c>
      <c r="E201" s="1" t="s">
        <v>141</v>
      </c>
      <c r="F201" s="1">
        <v>2</v>
      </c>
    </row>
    <row r="202" spans="1:6" x14ac:dyDescent="0.35">
      <c r="A202" s="1">
        <v>2026</v>
      </c>
      <c r="B202" s="1">
        <v>24.62007031390683</v>
      </c>
      <c r="C202" s="1">
        <v>25.018936129666319</v>
      </c>
      <c r="D202" s="1">
        <v>25.87801232846212</v>
      </c>
      <c r="E202" s="1" t="s">
        <v>142</v>
      </c>
      <c r="F202" s="1">
        <v>2</v>
      </c>
    </row>
    <row r="203" spans="1:6" x14ac:dyDescent="0.35">
      <c r="A203" s="1">
        <v>2027</v>
      </c>
      <c r="B203" s="1">
        <v>24.61899589458924</v>
      </c>
      <c r="C203" s="1">
        <v>24.507611472248609</v>
      </c>
      <c r="D203" s="1">
        <v>26.610563798230999</v>
      </c>
      <c r="E203" s="1" t="s">
        <v>142</v>
      </c>
      <c r="F203" s="1">
        <v>2</v>
      </c>
    </row>
    <row r="204" spans="1:6" x14ac:dyDescent="0.35">
      <c r="A204" s="1">
        <v>2028</v>
      </c>
      <c r="B204" s="1">
        <v>24.404235774005279</v>
      </c>
      <c r="C204" s="1">
        <v>24.673780277698931</v>
      </c>
      <c r="D204" s="1">
        <v>25.960588813101349</v>
      </c>
      <c r="E204" s="1" t="s">
        <v>142</v>
      </c>
      <c r="F204" s="1">
        <v>2</v>
      </c>
    </row>
    <row r="205" spans="1:6" x14ac:dyDescent="0.35">
      <c r="A205" s="1">
        <v>2029</v>
      </c>
      <c r="B205" s="1">
        <v>24.276252348067739</v>
      </c>
      <c r="C205" s="1">
        <v>24.922301612215239</v>
      </c>
      <c r="D205" s="1">
        <v>26.261781183054961</v>
      </c>
      <c r="E205" s="1" t="s">
        <v>142</v>
      </c>
      <c r="F205" s="1">
        <v>2</v>
      </c>
    </row>
    <row r="206" spans="1:6" x14ac:dyDescent="0.35">
      <c r="A206" s="1">
        <v>2030</v>
      </c>
      <c r="B206" s="1">
        <v>24.124019297434501</v>
      </c>
      <c r="C206" s="1">
        <v>25.516022072417432</v>
      </c>
      <c r="D206" s="1">
        <v>27.654141456070729</v>
      </c>
      <c r="E206" s="1" t="s">
        <v>142</v>
      </c>
      <c r="F206" s="1">
        <v>2</v>
      </c>
    </row>
    <row r="207" spans="1:6" x14ac:dyDescent="0.35">
      <c r="A207" s="1">
        <v>2031</v>
      </c>
      <c r="B207" s="1">
        <v>24.14415206391357</v>
      </c>
      <c r="C207" s="1">
        <v>25.888918618013872</v>
      </c>
      <c r="D207" s="1">
        <v>27.692648103902581</v>
      </c>
      <c r="E207" s="1" t="s">
        <v>142</v>
      </c>
      <c r="F207" s="1">
        <v>2</v>
      </c>
    </row>
    <row r="208" spans="1:6" x14ac:dyDescent="0.35">
      <c r="A208" s="1">
        <v>2032</v>
      </c>
      <c r="B208" s="1">
        <v>24.110224049286568</v>
      </c>
      <c r="C208" s="1">
        <v>25.49790678779539</v>
      </c>
      <c r="D208" s="1">
        <v>27.48694340858135</v>
      </c>
      <c r="E208" s="1" t="s">
        <v>142</v>
      </c>
      <c r="F208" s="1">
        <v>2</v>
      </c>
    </row>
    <row r="209" spans="1:6" x14ac:dyDescent="0.35">
      <c r="A209" s="1">
        <v>2033</v>
      </c>
      <c r="B209" s="1">
        <v>23.521228143711731</v>
      </c>
      <c r="C209" s="1">
        <v>25.550723229161228</v>
      </c>
      <c r="D209" s="1">
        <v>27.460772682917149</v>
      </c>
      <c r="E209" s="1" t="s">
        <v>142</v>
      </c>
      <c r="F209" s="1">
        <v>2</v>
      </c>
    </row>
    <row r="210" spans="1:6" x14ac:dyDescent="0.35">
      <c r="A210" s="1">
        <v>2034</v>
      </c>
      <c r="B210" s="1">
        <v>23.4330680070018</v>
      </c>
      <c r="C210" s="1">
        <v>25.334903038645709</v>
      </c>
      <c r="D210" s="1">
        <v>27.262003129430639</v>
      </c>
      <c r="E210" s="1" t="s">
        <v>142</v>
      </c>
      <c r="F210" s="1">
        <v>2</v>
      </c>
    </row>
    <row r="211" spans="1:6" x14ac:dyDescent="0.35">
      <c r="A211" s="1">
        <v>2035</v>
      </c>
      <c r="B211" s="1">
        <v>31.062596076797639</v>
      </c>
      <c r="C211" s="1">
        <v>34.464288518734257</v>
      </c>
      <c r="D211" s="1">
        <v>37.154244095796862</v>
      </c>
      <c r="E211" s="1" t="s">
        <v>142</v>
      </c>
      <c r="F211" s="1">
        <v>2</v>
      </c>
    </row>
    <row r="212" spans="1:6" x14ac:dyDescent="0.35">
      <c r="A212" s="1">
        <v>2036</v>
      </c>
      <c r="B212" s="1">
        <v>29.274708860754458</v>
      </c>
      <c r="C212" s="1">
        <v>33.758456842375367</v>
      </c>
      <c r="D212" s="1">
        <v>37.47085004591559</v>
      </c>
      <c r="E212" s="1" t="s">
        <v>142</v>
      </c>
      <c r="F212" s="1">
        <v>2</v>
      </c>
    </row>
    <row r="213" spans="1:6" x14ac:dyDescent="0.35">
      <c r="A213" s="1">
        <v>2037</v>
      </c>
      <c r="B213" s="1">
        <v>29.683472241471421</v>
      </c>
      <c r="C213" s="1">
        <v>33.224892383886967</v>
      </c>
      <c r="D213" s="1">
        <v>37.005874104237847</v>
      </c>
      <c r="E213" s="1" t="s">
        <v>142</v>
      </c>
      <c r="F213" s="1">
        <v>2</v>
      </c>
    </row>
    <row r="214" spans="1:6" x14ac:dyDescent="0.35">
      <c r="A214" s="1">
        <v>2038</v>
      </c>
      <c r="B214" s="1">
        <v>29.894866527814571</v>
      </c>
      <c r="C214" s="1">
        <v>33.460506356851241</v>
      </c>
      <c r="D214" s="1">
        <v>37.67379154970628</v>
      </c>
      <c r="E214" s="1" t="s">
        <v>142</v>
      </c>
      <c r="F214" s="1">
        <v>2</v>
      </c>
    </row>
    <row r="215" spans="1:6" x14ac:dyDescent="0.35">
      <c r="A215" s="1">
        <v>2039</v>
      </c>
      <c r="B215" s="1">
        <v>29.512773272330701</v>
      </c>
      <c r="C215" s="1">
        <v>33.696437152365917</v>
      </c>
      <c r="D215" s="1">
        <v>36.907379607544968</v>
      </c>
      <c r="E215" s="1" t="s">
        <v>142</v>
      </c>
      <c r="F215" s="1">
        <v>2</v>
      </c>
    </row>
    <row r="216" spans="1:6" x14ac:dyDescent="0.35">
      <c r="A216" s="1">
        <v>2040</v>
      </c>
      <c r="B216" s="1">
        <v>29.38769221128527</v>
      </c>
      <c r="C216" s="1">
        <v>33.898997008522073</v>
      </c>
      <c r="D216" s="1">
        <v>36.764675384693362</v>
      </c>
      <c r="E216" s="1" t="s">
        <v>142</v>
      </c>
      <c r="F216" s="1">
        <v>2</v>
      </c>
    </row>
    <row r="217" spans="1:6" x14ac:dyDescent="0.35">
      <c r="A217" s="1">
        <v>2041</v>
      </c>
      <c r="B217" s="1">
        <v>38.962027476155882</v>
      </c>
      <c r="C217" s="1">
        <v>44.163428363916402</v>
      </c>
      <c r="D217" s="1">
        <v>49.208479326218331</v>
      </c>
      <c r="E217" s="1" t="s">
        <v>142</v>
      </c>
      <c r="F217" s="1">
        <v>2</v>
      </c>
    </row>
    <row r="218" spans="1:6" x14ac:dyDescent="0.35">
      <c r="A218" s="1">
        <v>2042</v>
      </c>
      <c r="B218" s="1">
        <v>35.631844443665678</v>
      </c>
      <c r="C218" s="1">
        <v>41.740489384121247</v>
      </c>
      <c r="D218" s="1">
        <v>47.701615992122463</v>
      </c>
      <c r="E218" s="1" t="s">
        <v>142</v>
      </c>
      <c r="F218" s="1">
        <v>2</v>
      </c>
    </row>
    <row r="219" spans="1:6" x14ac:dyDescent="0.35">
      <c r="A219" s="1">
        <v>2043</v>
      </c>
      <c r="B219" s="1">
        <v>35.924898299587561</v>
      </c>
      <c r="C219" s="1">
        <v>41.456253913034089</v>
      </c>
      <c r="D219" s="1">
        <v>47.954201174878271</v>
      </c>
      <c r="E219" s="1" t="s">
        <v>142</v>
      </c>
      <c r="F219" s="1">
        <v>2</v>
      </c>
    </row>
    <row r="220" spans="1:6" x14ac:dyDescent="0.35">
      <c r="A220" s="1">
        <v>2044</v>
      </c>
      <c r="B220" s="1">
        <v>35.436582776255669</v>
      </c>
      <c r="C220" s="1">
        <v>42.093777206692543</v>
      </c>
      <c r="D220" s="1">
        <v>48.057098085752202</v>
      </c>
      <c r="E220" s="1" t="s">
        <v>142</v>
      </c>
      <c r="F220" s="1">
        <v>2</v>
      </c>
    </row>
    <row r="221" spans="1:6" x14ac:dyDescent="0.35">
      <c r="A221" s="1">
        <v>2045</v>
      </c>
      <c r="B221" s="1">
        <v>35.534169734064243</v>
      </c>
      <c r="C221" s="1">
        <v>42.788977988517409</v>
      </c>
      <c r="D221" s="1">
        <v>47.845288696140223</v>
      </c>
      <c r="E221" s="1" t="s">
        <v>142</v>
      </c>
      <c r="F221" s="1">
        <v>2</v>
      </c>
    </row>
    <row r="222" spans="1:6" x14ac:dyDescent="0.35">
      <c r="A222" s="1">
        <v>2046</v>
      </c>
      <c r="B222" s="1">
        <v>36.113584315278914</v>
      </c>
      <c r="C222" s="1">
        <v>42.702798045001941</v>
      </c>
      <c r="D222" s="1">
        <v>48.027539110931137</v>
      </c>
      <c r="E222" s="1" t="s">
        <v>142</v>
      </c>
      <c r="F222" s="1">
        <v>2</v>
      </c>
    </row>
    <row r="223" spans="1:6" x14ac:dyDescent="0.35">
      <c r="A223" s="1">
        <v>2047</v>
      </c>
      <c r="B223" s="1">
        <v>36.109634143447479</v>
      </c>
      <c r="C223" s="1">
        <v>42.28448647859463</v>
      </c>
      <c r="D223" s="1">
        <v>48.750316211136322</v>
      </c>
      <c r="E223" s="1" t="s">
        <v>142</v>
      </c>
      <c r="F223" s="1">
        <v>2</v>
      </c>
    </row>
    <row r="224" spans="1:6" x14ac:dyDescent="0.35">
      <c r="A224" s="1">
        <v>2048</v>
      </c>
      <c r="B224" s="1">
        <v>35.7058850483266</v>
      </c>
      <c r="C224" s="1">
        <v>42.544189825351147</v>
      </c>
      <c r="D224" s="1">
        <v>49.629619508318413</v>
      </c>
      <c r="E224" s="1" t="s">
        <v>142</v>
      </c>
      <c r="F224" s="1">
        <v>2</v>
      </c>
    </row>
    <row r="225" spans="1:6" x14ac:dyDescent="0.35">
      <c r="A225" s="1">
        <v>2049</v>
      </c>
      <c r="B225" s="1">
        <v>36.115587601441717</v>
      </c>
      <c r="C225" s="1">
        <v>43.017355372360292</v>
      </c>
      <c r="D225" s="1">
        <v>48.300394374744663</v>
      </c>
      <c r="E225" s="1" t="s">
        <v>142</v>
      </c>
      <c r="F225" s="1">
        <v>2</v>
      </c>
    </row>
    <row r="226" spans="1:6" x14ac:dyDescent="0.35">
      <c r="A226" s="1">
        <v>2050</v>
      </c>
      <c r="B226" s="1">
        <v>36.466121830309888</v>
      </c>
      <c r="C226" s="1">
        <v>42.313873998726223</v>
      </c>
      <c r="D226" s="1">
        <v>48.538508013229979</v>
      </c>
      <c r="E226" s="1" t="s">
        <v>142</v>
      </c>
      <c r="F226" s="1">
        <v>2</v>
      </c>
    </row>
    <row r="227" spans="1:6" x14ac:dyDescent="0.35">
      <c r="A227" s="1">
        <v>2026</v>
      </c>
      <c r="B227" s="1">
        <v>25.258142287818121</v>
      </c>
      <c r="C227" s="1">
        <v>24.79504185674508</v>
      </c>
      <c r="D227" s="1">
        <v>26.097683400799781</v>
      </c>
      <c r="E227" s="1" t="s">
        <v>143</v>
      </c>
      <c r="F227" s="1">
        <v>2</v>
      </c>
    </row>
    <row r="228" spans="1:6" x14ac:dyDescent="0.35">
      <c r="A228" s="1">
        <v>2027</v>
      </c>
      <c r="B228" s="1">
        <v>24.571872403823239</v>
      </c>
      <c r="C228" s="1">
        <v>24.836040978982691</v>
      </c>
      <c r="D228" s="1">
        <v>26.259008993757721</v>
      </c>
      <c r="E228" s="1" t="s">
        <v>143</v>
      </c>
      <c r="F228" s="1">
        <v>2</v>
      </c>
    </row>
    <row r="229" spans="1:6" x14ac:dyDescent="0.35">
      <c r="A229" s="1">
        <v>2028</v>
      </c>
      <c r="B229" s="1">
        <v>24.769751572817771</v>
      </c>
      <c r="C229" s="1">
        <v>24.57727195724917</v>
      </c>
      <c r="D229" s="1">
        <v>25.764789716682561</v>
      </c>
      <c r="E229" s="1" t="s">
        <v>143</v>
      </c>
      <c r="F229" s="1">
        <v>2</v>
      </c>
    </row>
    <row r="230" spans="1:6" x14ac:dyDescent="0.35">
      <c r="A230" s="1">
        <v>2029</v>
      </c>
      <c r="B230" s="1">
        <v>24.251281887393858</v>
      </c>
      <c r="C230" s="1">
        <v>24.948905857525219</v>
      </c>
      <c r="D230" s="1">
        <v>26.22598693089742</v>
      </c>
      <c r="E230" s="1" t="s">
        <v>143</v>
      </c>
      <c r="F230" s="1">
        <v>2</v>
      </c>
    </row>
    <row r="231" spans="1:6" x14ac:dyDescent="0.35">
      <c r="A231" s="1">
        <v>2030</v>
      </c>
      <c r="B231" s="1">
        <v>23.64518685934118</v>
      </c>
      <c r="C231" s="1">
        <v>25.64176824348333</v>
      </c>
      <c r="D231" s="1">
        <v>26.64830283527402</v>
      </c>
      <c r="E231" s="1" t="s">
        <v>143</v>
      </c>
      <c r="F231" s="1">
        <v>2</v>
      </c>
    </row>
    <row r="232" spans="1:6" x14ac:dyDescent="0.35">
      <c r="A232" s="1">
        <v>2031</v>
      </c>
      <c r="B232" s="1">
        <v>23.370228028441719</v>
      </c>
      <c r="C232" s="1">
        <v>25.587294991626401</v>
      </c>
      <c r="D232" s="1">
        <v>25.58452800183688</v>
      </c>
      <c r="E232" s="1" t="s">
        <v>143</v>
      </c>
      <c r="F232" s="1">
        <v>2</v>
      </c>
    </row>
    <row r="233" spans="1:6" x14ac:dyDescent="0.35">
      <c r="A233" s="1">
        <v>2032</v>
      </c>
      <c r="B233" s="1">
        <v>23.474686602960588</v>
      </c>
      <c r="C233" s="1">
        <v>25.4736699229096</v>
      </c>
      <c r="D233" s="1">
        <v>26.70628490549619</v>
      </c>
      <c r="E233" s="1" t="s">
        <v>143</v>
      </c>
      <c r="F233" s="1">
        <v>2</v>
      </c>
    </row>
    <row r="234" spans="1:6" x14ac:dyDescent="0.35">
      <c r="A234" s="1">
        <v>2033</v>
      </c>
      <c r="B234" s="1">
        <v>23.37888366132589</v>
      </c>
      <c r="C234" s="1">
        <v>25.36812029695556</v>
      </c>
      <c r="D234" s="1">
        <v>26.834754285954599</v>
      </c>
      <c r="E234" s="1" t="s">
        <v>143</v>
      </c>
      <c r="F234" s="1">
        <v>2</v>
      </c>
    </row>
    <row r="235" spans="1:6" x14ac:dyDescent="0.35">
      <c r="A235" s="1">
        <v>2034</v>
      </c>
      <c r="B235" s="1">
        <v>23.524084614616921</v>
      </c>
      <c r="C235" s="1">
        <v>25.046177844365001</v>
      </c>
      <c r="D235" s="1">
        <v>26.990491175252391</v>
      </c>
      <c r="E235" s="1" t="s">
        <v>143</v>
      </c>
      <c r="F235" s="1">
        <v>2</v>
      </c>
    </row>
    <row r="236" spans="1:6" x14ac:dyDescent="0.35">
      <c r="A236" s="1">
        <v>2035</v>
      </c>
      <c r="B236" s="1">
        <v>23.40534812368405</v>
      </c>
      <c r="C236" s="1">
        <v>25.812862635273621</v>
      </c>
      <c r="D236" s="1">
        <v>28.001811719777429</v>
      </c>
      <c r="E236" s="1" t="s">
        <v>143</v>
      </c>
      <c r="F236" s="1">
        <v>2</v>
      </c>
    </row>
    <row r="237" spans="1:6" x14ac:dyDescent="0.35">
      <c r="A237" s="1">
        <v>2036</v>
      </c>
      <c r="B237" s="1">
        <v>22.53474190736334</v>
      </c>
      <c r="C237" s="1">
        <v>25.979312710895499</v>
      </c>
      <c r="D237" s="1">
        <v>27.595818154017081</v>
      </c>
      <c r="E237" s="1" t="s">
        <v>143</v>
      </c>
      <c r="F237" s="1">
        <v>2</v>
      </c>
    </row>
    <row r="238" spans="1:6" x14ac:dyDescent="0.35">
      <c r="A238" s="1">
        <v>2037</v>
      </c>
      <c r="B238" s="1">
        <v>23.298243494587609</v>
      </c>
      <c r="C238" s="1">
        <v>25.79863128018464</v>
      </c>
      <c r="D238" s="1">
        <v>28.152342789143749</v>
      </c>
      <c r="E238" s="1" t="s">
        <v>143</v>
      </c>
      <c r="F238" s="1">
        <v>2</v>
      </c>
    </row>
    <row r="239" spans="1:6" x14ac:dyDescent="0.35">
      <c r="A239" s="1">
        <v>2038</v>
      </c>
      <c r="B239" s="1">
        <v>22.94233569427735</v>
      </c>
      <c r="C239" s="1">
        <v>25.384648662084889</v>
      </c>
      <c r="D239" s="1">
        <v>28.30142483891817</v>
      </c>
      <c r="E239" s="1" t="s">
        <v>143</v>
      </c>
      <c r="F239" s="1">
        <v>2</v>
      </c>
    </row>
    <row r="240" spans="1:6" x14ac:dyDescent="0.35">
      <c r="A240" s="1">
        <v>2039</v>
      </c>
      <c r="B240" s="1">
        <v>23.455470892728169</v>
      </c>
      <c r="C240" s="1">
        <v>25.567259967980789</v>
      </c>
      <c r="D240" s="1">
        <v>28.05729688094916</v>
      </c>
      <c r="E240" s="1" t="s">
        <v>143</v>
      </c>
      <c r="F240" s="1">
        <v>2</v>
      </c>
    </row>
    <row r="241" spans="1:6" x14ac:dyDescent="0.35">
      <c r="A241" s="1">
        <v>2040</v>
      </c>
      <c r="B241" s="1">
        <v>22.889124032219041</v>
      </c>
      <c r="C241" s="1">
        <v>26.308587019475059</v>
      </c>
      <c r="D241" s="1">
        <v>28.233690680976569</v>
      </c>
      <c r="E241" s="1" t="s">
        <v>143</v>
      </c>
      <c r="F241" s="1">
        <v>2</v>
      </c>
    </row>
    <row r="242" spans="1:6" x14ac:dyDescent="0.35">
      <c r="A242" s="1">
        <v>2041</v>
      </c>
      <c r="B242" s="1">
        <v>22.248309211402969</v>
      </c>
      <c r="C242" s="1">
        <v>26.25152235137174</v>
      </c>
      <c r="D242" s="1">
        <v>28.08827925556</v>
      </c>
      <c r="E242" s="1" t="s">
        <v>143</v>
      </c>
      <c r="F242" s="1">
        <v>2</v>
      </c>
    </row>
    <row r="243" spans="1:6" x14ac:dyDescent="0.35">
      <c r="A243" s="1">
        <v>2042</v>
      </c>
      <c r="B243" s="1">
        <v>30.72383404514693</v>
      </c>
      <c r="C243" s="1">
        <v>34.997824619176988</v>
      </c>
      <c r="D243" s="1">
        <v>37.572665464400657</v>
      </c>
      <c r="E243" s="1" t="s">
        <v>143</v>
      </c>
      <c r="F243" s="1">
        <v>2</v>
      </c>
    </row>
    <row r="244" spans="1:6" x14ac:dyDescent="0.35">
      <c r="A244" s="1">
        <v>2043</v>
      </c>
      <c r="B244" s="1">
        <v>28.13446688963894</v>
      </c>
      <c r="C244" s="1">
        <v>32.582385988846838</v>
      </c>
      <c r="D244" s="1">
        <v>37.519215736512187</v>
      </c>
      <c r="E244" s="1" t="s">
        <v>143</v>
      </c>
      <c r="F244" s="1">
        <v>2</v>
      </c>
    </row>
    <row r="245" spans="1:6" x14ac:dyDescent="0.35">
      <c r="A245" s="1">
        <v>2044</v>
      </c>
      <c r="B245" s="1">
        <v>28.366171651662281</v>
      </c>
      <c r="C245" s="1">
        <v>32.728061837306363</v>
      </c>
      <c r="D245" s="1">
        <v>37.884732157869983</v>
      </c>
      <c r="E245" s="1" t="s">
        <v>143</v>
      </c>
      <c r="F245" s="1">
        <v>2</v>
      </c>
    </row>
    <row r="246" spans="1:6" x14ac:dyDescent="0.35">
      <c r="A246" s="1">
        <v>2045</v>
      </c>
      <c r="B246" s="1">
        <v>28.885726146795669</v>
      </c>
      <c r="C246" s="1">
        <v>32.814559513186651</v>
      </c>
      <c r="D246" s="1">
        <v>37.326807475060633</v>
      </c>
      <c r="E246" s="1" t="s">
        <v>143</v>
      </c>
      <c r="F246" s="1">
        <v>2</v>
      </c>
    </row>
    <row r="247" spans="1:6" x14ac:dyDescent="0.35">
      <c r="A247" s="1">
        <v>2046</v>
      </c>
      <c r="B247" s="1">
        <v>28.751452454772171</v>
      </c>
      <c r="C247" s="1">
        <v>33.091228503595943</v>
      </c>
      <c r="D247" s="1">
        <v>37.620537068641191</v>
      </c>
      <c r="E247" s="1" t="s">
        <v>143</v>
      </c>
      <c r="F247" s="1">
        <v>2</v>
      </c>
    </row>
    <row r="248" spans="1:6" x14ac:dyDescent="0.35">
      <c r="A248" s="1">
        <v>2047</v>
      </c>
      <c r="B248" s="1">
        <v>29.151258791779629</v>
      </c>
      <c r="C248" s="1">
        <v>32.634881787330642</v>
      </c>
      <c r="D248" s="1">
        <v>36.625344907745237</v>
      </c>
      <c r="E248" s="1" t="s">
        <v>143</v>
      </c>
      <c r="F248" s="1">
        <v>2</v>
      </c>
    </row>
    <row r="249" spans="1:6" x14ac:dyDescent="0.35">
      <c r="A249" s="1">
        <v>2048</v>
      </c>
      <c r="B249" s="1">
        <v>28.28985435156406</v>
      </c>
      <c r="C249" s="1">
        <v>32.547250026090168</v>
      </c>
      <c r="D249" s="1">
        <v>37.624714810964697</v>
      </c>
      <c r="E249" s="1" t="s">
        <v>143</v>
      </c>
      <c r="F249" s="1">
        <v>2</v>
      </c>
    </row>
    <row r="250" spans="1:6" x14ac:dyDescent="0.35">
      <c r="A250" s="1">
        <v>2049</v>
      </c>
      <c r="B250" s="1">
        <v>28.625365725117071</v>
      </c>
      <c r="C250" s="1">
        <v>32.845806939437381</v>
      </c>
      <c r="D250" s="1">
        <v>38.021810155228508</v>
      </c>
      <c r="E250" s="1" t="s">
        <v>143</v>
      </c>
      <c r="F250" s="1">
        <v>2</v>
      </c>
    </row>
    <row r="251" spans="1:6" x14ac:dyDescent="0.35">
      <c r="A251" s="1">
        <v>2050</v>
      </c>
      <c r="B251" s="1">
        <v>37.692206157585041</v>
      </c>
      <c r="C251" s="1">
        <v>45.048615481305667</v>
      </c>
      <c r="D251" s="1">
        <v>52.412019790032332</v>
      </c>
      <c r="E251" s="1" t="s">
        <v>143</v>
      </c>
      <c r="F251" s="1">
        <v>2</v>
      </c>
    </row>
    <row r="252" spans="1:6" x14ac:dyDescent="0.35">
      <c r="A252" s="1">
        <v>2026</v>
      </c>
      <c r="B252" s="1">
        <v>24.784904483588591</v>
      </c>
      <c r="C252" s="1">
        <v>24.79504185674508</v>
      </c>
      <c r="D252" s="1">
        <v>26.188114006858239</v>
      </c>
      <c r="E252" s="1" t="s">
        <v>144</v>
      </c>
      <c r="F252" s="1">
        <v>3</v>
      </c>
    </row>
    <row r="253" spans="1:6" x14ac:dyDescent="0.35">
      <c r="A253" s="1">
        <v>2027</v>
      </c>
      <c r="B253" s="1">
        <v>24.448052208375479</v>
      </c>
      <c r="C253" s="1">
        <v>24.836040978982691</v>
      </c>
      <c r="D253" s="1">
        <v>25.961648805989061</v>
      </c>
      <c r="E253" s="1" t="s">
        <v>144</v>
      </c>
      <c r="F253" s="1">
        <v>3</v>
      </c>
    </row>
    <row r="254" spans="1:6" x14ac:dyDescent="0.35">
      <c r="A254" s="1">
        <v>2028</v>
      </c>
      <c r="B254" s="1">
        <v>24.000566222500719</v>
      </c>
      <c r="C254" s="1">
        <v>24.57727195724917</v>
      </c>
      <c r="D254" s="1">
        <v>25.4366317485789</v>
      </c>
      <c r="E254" s="1" t="s">
        <v>144</v>
      </c>
      <c r="F254" s="1">
        <v>3</v>
      </c>
    </row>
    <row r="255" spans="1:6" x14ac:dyDescent="0.35">
      <c r="A255" s="1">
        <v>2029</v>
      </c>
      <c r="B255" s="1">
        <v>23.72308634434804</v>
      </c>
      <c r="C255" s="1">
        <v>24.948905857525219</v>
      </c>
      <c r="D255" s="1">
        <v>26.06482247662677</v>
      </c>
      <c r="E255" s="1" t="s">
        <v>144</v>
      </c>
      <c r="F255" s="1">
        <v>3</v>
      </c>
    </row>
    <row r="256" spans="1:6" x14ac:dyDescent="0.35">
      <c r="A256" s="1">
        <v>2030</v>
      </c>
      <c r="B256" s="1">
        <v>24.088536438600279</v>
      </c>
      <c r="C256" s="1">
        <v>25.64176824348333</v>
      </c>
      <c r="D256" s="1">
        <v>26.273165563927659</v>
      </c>
      <c r="E256" s="1" t="s">
        <v>144</v>
      </c>
      <c r="F256" s="1">
        <v>3</v>
      </c>
    </row>
    <row r="257" spans="1:6" x14ac:dyDescent="0.35">
      <c r="A257" s="1">
        <v>2031</v>
      </c>
      <c r="B257" s="1">
        <v>23.907622701614869</v>
      </c>
      <c r="C257" s="1">
        <v>25.587294991626401</v>
      </c>
      <c r="D257" s="1">
        <v>27.108425136628671</v>
      </c>
      <c r="E257" s="1" t="s">
        <v>144</v>
      </c>
      <c r="F257" s="1">
        <v>3</v>
      </c>
    </row>
    <row r="258" spans="1:6" x14ac:dyDescent="0.35">
      <c r="A258" s="1">
        <v>2032</v>
      </c>
      <c r="B258" s="1">
        <v>24.244103537029499</v>
      </c>
      <c r="C258" s="1">
        <v>25.4736699229096</v>
      </c>
      <c r="D258" s="1">
        <v>26.55254031276753</v>
      </c>
      <c r="E258" s="1" t="s">
        <v>144</v>
      </c>
      <c r="F258" s="1">
        <v>3</v>
      </c>
    </row>
    <row r="259" spans="1:6" x14ac:dyDescent="0.35">
      <c r="A259" s="1">
        <v>2033</v>
      </c>
      <c r="B259" s="1">
        <v>23.974133036204559</v>
      </c>
      <c r="C259" s="1">
        <v>25.36812029695556</v>
      </c>
      <c r="D259" s="1">
        <v>27.271860470243489</v>
      </c>
      <c r="E259" s="1" t="s">
        <v>144</v>
      </c>
      <c r="F259" s="1">
        <v>3</v>
      </c>
    </row>
    <row r="260" spans="1:6" x14ac:dyDescent="0.35">
      <c r="A260" s="1">
        <v>2034</v>
      </c>
      <c r="B260" s="1">
        <v>23.657802063040389</v>
      </c>
      <c r="C260" s="1">
        <v>25.046177844365001</v>
      </c>
      <c r="D260" s="1">
        <v>27.446247083781259</v>
      </c>
      <c r="E260" s="1" t="s">
        <v>144</v>
      </c>
      <c r="F260" s="1">
        <v>3</v>
      </c>
    </row>
    <row r="261" spans="1:6" x14ac:dyDescent="0.35">
      <c r="A261" s="1">
        <v>2035</v>
      </c>
      <c r="B261" s="1">
        <v>23.206789885411609</v>
      </c>
      <c r="C261" s="1">
        <v>25.812862635273621</v>
      </c>
      <c r="D261" s="1">
        <v>27.822130217123568</v>
      </c>
      <c r="E261" s="1" t="s">
        <v>144</v>
      </c>
      <c r="F261" s="1">
        <v>3</v>
      </c>
    </row>
    <row r="262" spans="1:6" x14ac:dyDescent="0.35">
      <c r="A262" s="1">
        <v>2036</v>
      </c>
      <c r="B262" s="1">
        <v>22.834248695984279</v>
      </c>
      <c r="C262" s="1">
        <v>25.979312710895499</v>
      </c>
      <c r="D262" s="1">
        <v>27.97473139507747</v>
      </c>
      <c r="E262" s="1" t="s">
        <v>144</v>
      </c>
      <c r="F262" s="1">
        <v>3</v>
      </c>
    </row>
    <row r="263" spans="1:6" x14ac:dyDescent="0.35">
      <c r="A263" s="1">
        <v>2037</v>
      </c>
      <c r="B263" s="1">
        <v>30.759736273610311</v>
      </c>
      <c r="C263" s="1">
        <v>34.802095788124547</v>
      </c>
      <c r="D263" s="1">
        <v>37.775101772274638</v>
      </c>
      <c r="E263" s="1" t="s">
        <v>144</v>
      </c>
      <c r="F263" s="1">
        <v>3</v>
      </c>
    </row>
    <row r="264" spans="1:6" x14ac:dyDescent="0.35">
      <c r="A264" s="1">
        <v>2038</v>
      </c>
      <c r="B264" s="1">
        <v>28.19498226059476</v>
      </c>
      <c r="C264" s="1">
        <v>31.955613296952041</v>
      </c>
      <c r="D264" s="1">
        <v>37.33736111607498</v>
      </c>
      <c r="E264" s="1" t="s">
        <v>144</v>
      </c>
      <c r="F264" s="1">
        <v>3</v>
      </c>
    </row>
    <row r="265" spans="1:6" x14ac:dyDescent="0.35">
      <c r="A265" s="1">
        <v>2039</v>
      </c>
      <c r="B265" s="1">
        <v>39.139004296977191</v>
      </c>
      <c r="C265" s="1">
        <v>43.385042505340763</v>
      </c>
      <c r="D265" s="1">
        <v>49.651084376380567</v>
      </c>
      <c r="E265" s="1" t="s">
        <v>144</v>
      </c>
      <c r="F265" s="1">
        <v>3</v>
      </c>
    </row>
    <row r="266" spans="1:6" x14ac:dyDescent="0.35">
      <c r="A266" s="1">
        <v>2040</v>
      </c>
      <c r="B266" s="1">
        <v>35.776997351758979</v>
      </c>
      <c r="C266" s="1">
        <v>44.218499280551953</v>
      </c>
      <c r="D266" s="1">
        <v>47.59539798082195</v>
      </c>
      <c r="E266" s="1" t="s">
        <v>144</v>
      </c>
      <c r="F266" s="1">
        <v>3</v>
      </c>
    </row>
    <row r="267" spans="1:6" x14ac:dyDescent="0.35">
      <c r="A267" s="1">
        <v>2041</v>
      </c>
      <c r="B267" s="1">
        <v>48.561768552990443</v>
      </c>
      <c r="C267" s="1">
        <v>56.084722231999997</v>
      </c>
      <c r="D267" s="1">
        <v>56.084722231999997</v>
      </c>
      <c r="E267" s="1" t="s">
        <v>144</v>
      </c>
      <c r="F267" s="1">
        <v>3</v>
      </c>
    </row>
    <row r="268" spans="1:6" x14ac:dyDescent="0.35">
      <c r="A268" s="1">
        <v>2042</v>
      </c>
      <c r="B268" s="1">
        <v>46.711169699425952</v>
      </c>
      <c r="C268" s="1">
        <v>51.993403683404928</v>
      </c>
      <c r="D268" s="1">
        <v>55.614989321128938</v>
      </c>
      <c r="E268" s="1" t="s">
        <v>144</v>
      </c>
      <c r="F268" s="1">
        <v>3</v>
      </c>
    </row>
    <row r="269" spans="1:6" x14ac:dyDescent="0.35">
      <c r="A269" s="1">
        <v>2043</v>
      </c>
      <c r="B269" s="1">
        <v>45.833720775086803</v>
      </c>
      <c r="C269" s="1">
        <v>51.463129449920288</v>
      </c>
      <c r="D269" s="1">
        <v>55.679859454425532</v>
      </c>
      <c r="E269" s="1" t="s">
        <v>144</v>
      </c>
      <c r="F269" s="1">
        <v>3</v>
      </c>
    </row>
    <row r="270" spans="1:6" x14ac:dyDescent="0.35">
      <c r="A270" s="1">
        <v>2044</v>
      </c>
      <c r="B270" s="1">
        <v>46.232383740428283</v>
      </c>
      <c r="C270" s="1">
        <v>51.693221102801857</v>
      </c>
      <c r="D270" s="1">
        <v>56.084722231999997</v>
      </c>
      <c r="E270" s="1" t="s">
        <v>144</v>
      </c>
      <c r="F270" s="1">
        <v>3</v>
      </c>
    </row>
    <row r="271" spans="1:6" x14ac:dyDescent="0.35">
      <c r="A271" s="1">
        <v>2045</v>
      </c>
      <c r="B271" s="1">
        <v>46.610999352565173</v>
      </c>
      <c r="C271" s="1">
        <v>51.829842192873919</v>
      </c>
      <c r="D271" s="1">
        <v>56.084722231999997</v>
      </c>
      <c r="E271" s="1" t="s">
        <v>144</v>
      </c>
      <c r="F271" s="1">
        <v>3</v>
      </c>
    </row>
    <row r="272" spans="1:6" x14ac:dyDescent="0.35">
      <c r="A272" s="1">
        <v>2046</v>
      </c>
      <c r="B272" s="1">
        <v>46.295381333823208</v>
      </c>
      <c r="C272" s="1">
        <v>52.266834501328127</v>
      </c>
      <c r="D272" s="1">
        <v>56.084722231999997</v>
      </c>
      <c r="E272" s="1" t="s">
        <v>144</v>
      </c>
      <c r="F272" s="1">
        <v>3</v>
      </c>
    </row>
    <row r="273" spans="1:6" x14ac:dyDescent="0.35">
      <c r="A273" s="1">
        <v>2047</v>
      </c>
      <c r="B273" s="1">
        <v>45.475846838955249</v>
      </c>
      <c r="C273" s="1">
        <v>51.54604535650472</v>
      </c>
      <c r="D273" s="1">
        <v>56.084722231999997</v>
      </c>
      <c r="E273" s="1" t="s">
        <v>144</v>
      </c>
      <c r="F273" s="1">
        <v>3</v>
      </c>
    </row>
    <row r="274" spans="1:6" x14ac:dyDescent="0.35">
      <c r="A274" s="1">
        <v>2048</v>
      </c>
      <c r="B274" s="1">
        <v>46.369051505558467</v>
      </c>
      <c r="C274" s="1">
        <v>51.407633004684122</v>
      </c>
      <c r="D274" s="1">
        <v>54.816284916904607</v>
      </c>
      <c r="E274" s="1" t="s">
        <v>144</v>
      </c>
      <c r="F274" s="1">
        <v>3</v>
      </c>
    </row>
    <row r="275" spans="1:6" x14ac:dyDescent="0.35">
      <c r="A275" s="1">
        <v>2049</v>
      </c>
      <c r="B275" s="1">
        <v>46.3494233335514</v>
      </c>
      <c r="C275" s="1">
        <v>51.879196784114377</v>
      </c>
      <c r="D275" s="1">
        <v>55.685556438403736</v>
      </c>
      <c r="E275" s="1" t="s">
        <v>144</v>
      </c>
      <c r="F275" s="1">
        <v>3</v>
      </c>
    </row>
    <row r="276" spans="1:6" x14ac:dyDescent="0.35">
      <c r="A276" s="1">
        <v>2050</v>
      </c>
      <c r="B276" s="1">
        <v>46.870577839934107</v>
      </c>
      <c r="C276" s="1">
        <v>52.815848380094941</v>
      </c>
      <c r="D276" s="1">
        <v>56.084722231999997</v>
      </c>
      <c r="E276" s="1" t="s">
        <v>144</v>
      </c>
      <c r="F276" s="1">
        <v>3</v>
      </c>
    </row>
    <row r="277" spans="1:6" x14ac:dyDescent="0.35">
      <c r="A277" s="1">
        <v>2026</v>
      </c>
      <c r="B277" s="1">
        <v>34.077137460410498</v>
      </c>
      <c r="C277" s="1">
        <v>35.203832789901938</v>
      </c>
      <c r="D277" s="1">
        <v>35.809834678527643</v>
      </c>
      <c r="E277" s="1" t="s">
        <v>145</v>
      </c>
      <c r="F277" s="1">
        <v>3</v>
      </c>
    </row>
    <row r="278" spans="1:6" x14ac:dyDescent="0.35">
      <c r="A278" s="1">
        <v>2027</v>
      </c>
      <c r="B278" s="1">
        <v>30.471413896019559</v>
      </c>
      <c r="C278" s="1">
        <v>32.048347836943407</v>
      </c>
      <c r="D278" s="1">
        <v>33.567006124241949</v>
      </c>
      <c r="E278" s="1" t="s">
        <v>145</v>
      </c>
      <c r="F278" s="1">
        <v>3</v>
      </c>
    </row>
    <row r="279" spans="1:6" x14ac:dyDescent="0.35">
      <c r="A279" s="1">
        <v>2028</v>
      </c>
      <c r="B279" s="1">
        <v>30.716802524152541</v>
      </c>
      <c r="C279" s="1">
        <v>32.499272040769547</v>
      </c>
      <c r="D279" s="1">
        <v>33.613391990285798</v>
      </c>
      <c r="E279" s="1" t="s">
        <v>145</v>
      </c>
      <c r="F279" s="1">
        <v>3</v>
      </c>
    </row>
    <row r="280" spans="1:6" x14ac:dyDescent="0.35">
      <c r="A280" s="1">
        <v>2029</v>
      </c>
      <c r="B280" s="1">
        <v>30.07385175029809</v>
      </c>
      <c r="C280" s="1">
        <v>32.525949179979051</v>
      </c>
      <c r="D280" s="1">
        <v>34.670852829030238</v>
      </c>
      <c r="E280" s="1" t="s">
        <v>145</v>
      </c>
      <c r="F280" s="1">
        <v>3</v>
      </c>
    </row>
    <row r="281" spans="1:6" x14ac:dyDescent="0.35">
      <c r="A281" s="1">
        <v>2030</v>
      </c>
      <c r="B281" s="1">
        <v>29.322237377710049</v>
      </c>
      <c r="C281" s="1">
        <v>32.975568897971719</v>
      </c>
      <c r="D281" s="1">
        <v>34.063964405117467</v>
      </c>
      <c r="E281" s="1" t="s">
        <v>145</v>
      </c>
      <c r="F281" s="1">
        <v>3</v>
      </c>
    </row>
    <row r="282" spans="1:6" x14ac:dyDescent="0.35">
      <c r="A282" s="1">
        <v>2031</v>
      </c>
      <c r="B282" s="1">
        <v>39.105308017239388</v>
      </c>
      <c r="C282" s="1">
        <v>44.321939079108141</v>
      </c>
      <c r="D282" s="1">
        <v>47.345678031612913</v>
      </c>
      <c r="E282" s="1" t="s">
        <v>145</v>
      </c>
      <c r="F282" s="1">
        <v>3</v>
      </c>
    </row>
    <row r="283" spans="1:6" x14ac:dyDescent="0.35">
      <c r="A283" s="1">
        <v>2032</v>
      </c>
      <c r="B283" s="1">
        <v>37.676752991537661</v>
      </c>
      <c r="C283" s="1">
        <v>41.125806175829673</v>
      </c>
      <c r="D283" s="1">
        <v>46.21379310780528</v>
      </c>
      <c r="E283" s="1" t="s">
        <v>145</v>
      </c>
      <c r="F283" s="1">
        <v>3</v>
      </c>
    </row>
    <row r="284" spans="1:6" x14ac:dyDescent="0.35">
      <c r="A284" s="1">
        <v>2033</v>
      </c>
      <c r="B284" s="1">
        <v>37.522989755892247</v>
      </c>
      <c r="C284" s="1">
        <v>41.474279382545362</v>
      </c>
      <c r="D284" s="1">
        <v>47.368483892095227</v>
      </c>
      <c r="E284" s="1" t="s">
        <v>145</v>
      </c>
      <c r="F284" s="1">
        <v>3</v>
      </c>
    </row>
    <row r="285" spans="1:6" x14ac:dyDescent="0.35">
      <c r="A285" s="1">
        <v>2034</v>
      </c>
      <c r="B285" s="1">
        <v>37.756036549820138</v>
      </c>
      <c r="C285" s="1">
        <v>41.521758410625893</v>
      </c>
      <c r="D285" s="1">
        <v>46.459923732308823</v>
      </c>
      <c r="E285" s="1" t="s">
        <v>145</v>
      </c>
      <c r="F285" s="1">
        <v>3</v>
      </c>
    </row>
    <row r="286" spans="1:6" x14ac:dyDescent="0.35">
      <c r="A286" s="1">
        <v>2035</v>
      </c>
      <c r="B286" s="1">
        <v>37.56546508381404</v>
      </c>
      <c r="C286" s="1">
        <v>41.562616028863268</v>
      </c>
      <c r="D286" s="1">
        <v>46.774331083733813</v>
      </c>
      <c r="E286" s="1" t="s">
        <v>145</v>
      </c>
      <c r="F286" s="1">
        <v>3</v>
      </c>
    </row>
    <row r="287" spans="1:6" x14ac:dyDescent="0.35">
      <c r="A287" s="1">
        <v>2036</v>
      </c>
      <c r="B287" s="1">
        <v>36.168146520205383</v>
      </c>
      <c r="C287" s="1">
        <v>42.290101711163899</v>
      </c>
      <c r="D287" s="1">
        <v>47.583977359229841</v>
      </c>
      <c r="E287" s="1" t="s">
        <v>145</v>
      </c>
      <c r="F287" s="1">
        <v>3</v>
      </c>
    </row>
    <row r="288" spans="1:6" x14ac:dyDescent="0.35">
      <c r="A288" s="1">
        <v>2037</v>
      </c>
      <c r="B288" s="1">
        <v>37.393562697087063</v>
      </c>
      <c r="C288" s="1">
        <v>42.653856241405983</v>
      </c>
      <c r="D288" s="1">
        <v>48.141014620123137</v>
      </c>
      <c r="E288" s="1" t="s">
        <v>145</v>
      </c>
      <c r="F288" s="1">
        <v>3</v>
      </c>
    </row>
    <row r="289" spans="1:6" x14ac:dyDescent="0.35">
      <c r="A289" s="1">
        <v>2038</v>
      </c>
      <c r="B289" s="1">
        <v>36.822332481883237</v>
      </c>
      <c r="C289" s="1">
        <v>41.930159999390682</v>
      </c>
      <c r="D289" s="1">
        <v>48.548859524888798</v>
      </c>
      <c r="E289" s="1" t="s">
        <v>145</v>
      </c>
      <c r="F289" s="1">
        <v>3</v>
      </c>
    </row>
    <row r="290" spans="1:6" x14ac:dyDescent="0.35">
      <c r="A290" s="1">
        <v>2039</v>
      </c>
      <c r="B290" s="1">
        <v>37.645911874029707</v>
      </c>
      <c r="C290" s="1">
        <v>42.50493954743569</v>
      </c>
      <c r="D290" s="1">
        <v>49.0810104627204</v>
      </c>
      <c r="E290" s="1" t="s">
        <v>145</v>
      </c>
      <c r="F290" s="1">
        <v>3</v>
      </c>
    </row>
    <row r="291" spans="1:6" x14ac:dyDescent="0.35">
      <c r="A291" s="1">
        <v>2040</v>
      </c>
      <c r="B291" s="1">
        <v>36.73692803403911</v>
      </c>
      <c r="C291" s="1">
        <v>40.903413600158672</v>
      </c>
      <c r="D291" s="1">
        <v>48.94909558088581</v>
      </c>
      <c r="E291" s="1" t="s">
        <v>145</v>
      </c>
      <c r="F291" s="1">
        <v>3</v>
      </c>
    </row>
    <row r="292" spans="1:6" x14ac:dyDescent="0.35">
      <c r="A292" s="1">
        <v>2041</v>
      </c>
      <c r="B292" s="1">
        <v>35.708423495275269</v>
      </c>
      <c r="C292" s="1">
        <v>40.676426829136638</v>
      </c>
      <c r="D292" s="1">
        <v>50.129101858254081</v>
      </c>
      <c r="E292" s="1" t="s">
        <v>145</v>
      </c>
      <c r="F292" s="1">
        <v>3</v>
      </c>
    </row>
    <row r="293" spans="1:6" x14ac:dyDescent="0.35">
      <c r="A293" s="1">
        <v>2042</v>
      </c>
      <c r="B293" s="1">
        <v>49.311597886295282</v>
      </c>
      <c r="C293" s="1">
        <v>54.362108109950952</v>
      </c>
      <c r="D293" s="1">
        <v>56.084722231999997</v>
      </c>
      <c r="E293" s="1" t="s">
        <v>145</v>
      </c>
      <c r="F293" s="1">
        <v>3</v>
      </c>
    </row>
    <row r="294" spans="1:6" x14ac:dyDescent="0.35">
      <c r="A294" s="1">
        <v>2043</v>
      </c>
      <c r="B294" s="1">
        <v>45.155676728644082</v>
      </c>
      <c r="C294" s="1">
        <v>52.871152124410102</v>
      </c>
      <c r="D294" s="1">
        <v>56.084722231999997</v>
      </c>
      <c r="E294" s="1" t="s">
        <v>145</v>
      </c>
      <c r="F294" s="1">
        <v>3</v>
      </c>
    </row>
    <row r="295" spans="1:6" x14ac:dyDescent="0.35">
      <c r="A295" s="1">
        <v>2044</v>
      </c>
      <c r="B295" s="1">
        <v>45.527561697051517</v>
      </c>
      <c r="C295" s="1">
        <v>52.834258406291127</v>
      </c>
      <c r="D295" s="1">
        <v>55.704163198828773</v>
      </c>
      <c r="E295" s="1" t="s">
        <v>145</v>
      </c>
      <c r="F295" s="1">
        <v>3</v>
      </c>
    </row>
    <row r="296" spans="1:6" x14ac:dyDescent="0.35">
      <c r="A296" s="1">
        <v>2045</v>
      </c>
      <c r="B296" s="1">
        <v>46.36144402783053</v>
      </c>
      <c r="C296" s="1">
        <v>52.93979688510251</v>
      </c>
      <c r="D296" s="1">
        <v>55.878981959130527</v>
      </c>
      <c r="E296" s="1" t="s">
        <v>145</v>
      </c>
      <c r="F296" s="1">
        <v>3</v>
      </c>
    </row>
    <row r="297" spans="1:6" x14ac:dyDescent="0.35">
      <c r="A297" s="1">
        <v>2046</v>
      </c>
      <c r="B297" s="1">
        <v>46.14593543284068</v>
      </c>
      <c r="C297" s="1">
        <v>52.975357482444167</v>
      </c>
      <c r="D297" s="1">
        <v>54.97445261020863</v>
      </c>
      <c r="E297" s="1" t="s">
        <v>145</v>
      </c>
      <c r="F297" s="1">
        <v>3</v>
      </c>
    </row>
    <row r="298" spans="1:6" x14ac:dyDescent="0.35">
      <c r="A298" s="1">
        <v>2047</v>
      </c>
      <c r="B298" s="1">
        <v>46.787622576897448</v>
      </c>
      <c r="C298" s="1">
        <v>52.340319227720791</v>
      </c>
      <c r="D298" s="1">
        <v>56.084722231999997</v>
      </c>
      <c r="E298" s="1" t="s">
        <v>145</v>
      </c>
      <c r="F298" s="1">
        <v>3</v>
      </c>
    </row>
    <row r="299" spans="1:6" x14ac:dyDescent="0.35">
      <c r="A299" s="1">
        <v>2048</v>
      </c>
      <c r="B299" s="1">
        <v>45.405072817288612</v>
      </c>
      <c r="C299" s="1">
        <v>52.342219972751508</v>
      </c>
      <c r="D299" s="1">
        <v>55.301520703083007</v>
      </c>
      <c r="E299" s="1" t="s">
        <v>145</v>
      </c>
      <c r="F299" s="1">
        <v>3</v>
      </c>
    </row>
    <row r="300" spans="1:6" x14ac:dyDescent="0.35">
      <c r="A300" s="1">
        <v>2049</v>
      </c>
      <c r="B300" s="1">
        <v>45.943566870947848</v>
      </c>
      <c r="C300" s="1">
        <v>52.212579652776917</v>
      </c>
      <c r="D300" s="1">
        <v>55.509483439957023</v>
      </c>
      <c r="E300" s="1" t="s">
        <v>145</v>
      </c>
      <c r="F300" s="1">
        <v>3</v>
      </c>
    </row>
    <row r="301" spans="1:6" x14ac:dyDescent="0.35">
      <c r="A301" s="1">
        <v>2050</v>
      </c>
      <c r="B301" s="1">
        <v>44.801607048422333</v>
      </c>
      <c r="C301" s="1">
        <v>52.123701513697448</v>
      </c>
      <c r="D301" s="1">
        <v>56.084722231999997</v>
      </c>
      <c r="E301" s="1" t="s">
        <v>145</v>
      </c>
      <c r="F301" s="1">
        <v>3</v>
      </c>
    </row>
    <row r="302" spans="1:6" x14ac:dyDescent="0.35">
      <c r="A302" s="1">
        <v>2026</v>
      </c>
      <c r="B302" s="1">
        <v>24.784904483588591</v>
      </c>
      <c r="C302" s="1">
        <v>25.52129229758706</v>
      </c>
      <c r="D302" s="1">
        <v>24.986336208393961</v>
      </c>
      <c r="E302" s="1" t="s">
        <v>146</v>
      </c>
      <c r="F302" s="1">
        <v>3</v>
      </c>
    </row>
    <row r="303" spans="1:6" x14ac:dyDescent="0.35">
      <c r="A303" s="1">
        <v>2027</v>
      </c>
      <c r="B303" s="1">
        <v>24.448052208375479</v>
      </c>
      <c r="C303" s="1">
        <v>24.939603619102218</v>
      </c>
      <c r="D303" s="1">
        <v>25.16434367012053</v>
      </c>
      <c r="E303" s="1" t="s">
        <v>146</v>
      </c>
      <c r="F303" s="1">
        <v>3</v>
      </c>
    </row>
    <row r="304" spans="1:6" x14ac:dyDescent="0.35">
      <c r="A304" s="1">
        <v>2028</v>
      </c>
      <c r="B304" s="1">
        <v>24.000566222500719</v>
      </c>
      <c r="C304" s="1">
        <v>24.55062951586256</v>
      </c>
      <c r="D304" s="1">
        <v>25.97651840927518</v>
      </c>
      <c r="E304" s="1" t="s">
        <v>146</v>
      </c>
      <c r="F304" s="1">
        <v>3</v>
      </c>
    </row>
    <row r="305" spans="1:6" x14ac:dyDescent="0.35">
      <c r="A305" s="1">
        <v>2029</v>
      </c>
      <c r="B305" s="1">
        <v>23.72308634434804</v>
      </c>
      <c r="C305" s="1">
        <v>26.16149279863436</v>
      </c>
      <c r="D305" s="1">
        <v>26.639321391365101</v>
      </c>
      <c r="E305" s="1" t="s">
        <v>146</v>
      </c>
      <c r="F305" s="1">
        <v>3</v>
      </c>
    </row>
    <row r="306" spans="1:6" x14ac:dyDescent="0.35">
      <c r="A306" s="1">
        <v>2030</v>
      </c>
      <c r="B306" s="1">
        <v>24.088536438600279</v>
      </c>
      <c r="C306" s="1">
        <v>26.22108931946887</v>
      </c>
      <c r="D306" s="1">
        <v>26.775908383006922</v>
      </c>
      <c r="E306" s="1" t="s">
        <v>146</v>
      </c>
      <c r="F306" s="1">
        <v>3</v>
      </c>
    </row>
    <row r="307" spans="1:6" x14ac:dyDescent="0.35">
      <c r="A307" s="1">
        <v>2031</v>
      </c>
      <c r="B307" s="1">
        <v>23.907622701614869</v>
      </c>
      <c r="C307" s="1">
        <v>25.623568283027751</v>
      </c>
      <c r="D307" s="1">
        <v>26.895796027633921</v>
      </c>
      <c r="E307" s="1" t="s">
        <v>146</v>
      </c>
      <c r="F307" s="1">
        <v>3</v>
      </c>
    </row>
    <row r="308" spans="1:6" x14ac:dyDescent="0.35">
      <c r="A308" s="1">
        <v>2032</v>
      </c>
      <c r="B308" s="1">
        <v>24.244103537029499</v>
      </c>
      <c r="C308" s="1">
        <v>25.935200931680619</v>
      </c>
      <c r="D308" s="1">
        <v>26.71844916940902</v>
      </c>
      <c r="E308" s="1" t="s">
        <v>146</v>
      </c>
      <c r="F308" s="1">
        <v>3</v>
      </c>
    </row>
    <row r="309" spans="1:6" x14ac:dyDescent="0.35">
      <c r="A309" s="1">
        <v>2033</v>
      </c>
      <c r="B309" s="1">
        <v>23.974133036204559</v>
      </c>
      <c r="C309" s="1">
        <v>25.84496342326198</v>
      </c>
      <c r="D309" s="1">
        <v>26.85294185477396</v>
      </c>
      <c r="E309" s="1" t="s">
        <v>146</v>
      </c>
      <c r="F309" s="1">
        <v>3</v>
      </c>
    </row>
    <row r="310" spans="1:6" x14ac:dyDescent="0.35">
      <c r="A310" s="1">
        <v>2034</v>
      </c>
      <c r="B310" s="1">
        <v>31.924908962818758</v>
      </c>
      <c r="C310" s="1">
        <v>34.925281465030722</v>
      </c>
      <c r="D310" s="1">
        <v>36.175378440010157</v>
      </c>
      <c r="E310" s="1" t="s">
        <v>146</v>
      </c>
      <c r="F310" s="1">
        <v>3</v>
      </c>
    </row>
    <row r="311" spans="1:6" x14ac:dyDescent="0.35">
      <c r="A311" s="1">
        <v>2035</v>
      </c>
      <c r="B311" s="1">
        <v>29.104597603571939</v>
      </c>
      <c r="C311" s="1">
        <v>32.390646874780963</v>
      </c>
      <c r="D311" s="1">
        <v>36.517083998091969</v>
      </c>
      <c r="E311" s="1" t="s">
        <v>146</v>
      </c>
      <c r="F311" s="1">
        <v>3</v>
      </c>
    </row>
    <row r="312" spans="1:6" x14ac:dyDescent="0.35">
      <c r="A312" s="1">
        <v>2036</v>
      </c>
      <c r="B312" s="1">
        <v>28.637378248263591</v>
      </c>
      <c r="C312" s="1">
        <v>32.850476965084432</v>
      </c>
      <c r="D312" s="1">
        <v>36.349378636903793</v>
      </c>
      <c r="E312" s="1" t="s">
        <v>146</v>
      </c>
      <c r="F312" s="1">
        <v>3</v>
      </c>
    </row>
    <row r="313" spans="1:6" x14ac:dyDescent="0.35">
      <c r="A313" s="1">
        <v>2037</v>
      </c>
      <c r="B313" s="1">
        <v>28.606002320978931</v>
      </c>
      <c r="C313" s="1">
        <v>33.187650094115007</v>
      </c>
      <c r="D313" s="1">
        <v>36.87291909957024</v>
      </c>
      <c r="E313" s="1" t="s">
        <v>146</v>
      </c>
      <c r="F313" s="1">
        <v>3</v>
      </c>
    </row>
    <row r="314" spans="1:6" x14ac:dyDescent="0.35">
      <c r="A314" s="1">
        <v>2038</v>
      </c>
      <c r="B314" s="1">
        <v>28.126059661360198</v>
      </c>
      <c r="C314" s="1">
        <v>32.70865286347707</v>
      </c>
      <c r="D314" s="1">
        <v>36.76986822724632</v>
      </c>
      <c r="E314" s="1" t="s">
        <v>146</v>
      </c>
      <c r="F314" s="1">
        <v>3</v>
      </c>
    </row>
    <row r="315" spans="1:6" x14ac:dyDescent="0.35">
      <c r="A315" s="1">
        <v>2039</v>
      </c>
      <c r="B315" s="1">
        <v>29.000968951674871</v>
      </c>
      <c r="C315" s="1">
        <v>33.632905980761848</v>
      </c>
      <c r="D315" s="1">
        <v>37.042055262889242</v>
      </c>
      <c r="E315" s="1" t="s">
        <v>146</v>
      </c>
      <c r="F315" s="1">
        <v>3</v>
      </c>
    </row>
    <row r="316" spans="1:6" x14ac:dyDescent="0.35">
      <c r="A316" s="1">
        <v>2040</v>
      </c>
      <c r="B316" s="1">
        <v>28.480764926581141</v>
      </c>
      <c r="C316" s="1">
        <v>33.377870917986328</v>
      </c>
      <c r="D316" s="1">
        <v>36.339167327476503</v>
      </c>
      <c r="E316" s="1" t="s">
        <v>146</v>
      </c>
      <c r="F316" s="1">
        <v>3</v>
      </c>
    </row>
    <row r="317" spans="1:6" x14ac:dyDescent="0.35">
      <c r="A317" s="1">
        <v>2041</v>
      </c>
      <c r="B317" s="1">
        <v>28.678513158582351</v>
      </c>
      <c r="C317" s="1">
        <v>32.390883274910763</v>
      </c>
      <c r="D317" s="1">
        <v>36.787308055186038</v>
      </c>
      <c r="E317" s="1" t="s">
        <v>146</v>
      </c>
      <c r="F317" s="1">
        <v>3</v>
      </c>
    </row>
    <row r="318" spans="1:6" x14ac:dyDescent="0.35">
      <c r="A318" s="1">
        <v>2042</v>
      </c>
      <c r="B318" s="1">
        <v>28.786463644694379</v>
      </c>
      <c r="C318" s="1">
        <v>32.137761390764993</v>
      </c>
      <c r="D318" s="1">
        <v>38.064290683505689</v>
      </c>
      <c r="E318" s="1" t="s">
        <v>146</v>
      </c>
      <c r="F318" s="1">
        <v>3</v>
      </c>
    </row>
    <row r="319" spans="1:6" x14ac:dyDescent="0.35">
      <c r="A319" s="1">
        <v>2043</v>
      </c>
      <c r="B319" s="1">
        <v>28.245722495990581</v>
      </c>
      <c r="C319" s="1">
        <v>31.824138508460869</v>
      </c>
      <c r="D319" s="1">
        <v>36.993380793484192</v>
      </c>
      <c r="E319" s="1" t="s">
        <v>146</v>
      </c>
      <c r="F319" s="1">
        <v>3</v>
      </c>
    </row>
    <row r="320" spans="1:6" x14ac:dyDescent="0.35">
      <c r="A320" s="1">
        <v>2044</v>
      </c>
      <c r="B320" s="1">
        <v>28.491404568011781</v>
      </c>
      <c r="C320" s="1">
        <v>32.443128840436692</v>
      </c>
      <c r="D320" s="1">
        <v>36.665517706144918</v>
      </c>
      <c r="E320" s="1" t="s">
        <v>146</v>
      </c>
      <c r="F320" s="1">
        <v>3</v>
      </c>
    </row>
    <row r="321" spans="1:6" x14ac:dyDescent="0.35">
      <c r="A321" s="1">
        <v>2045</v>
      </c>
      <c r="B321" s="1">
        <v>28.72473215591473</v>
      </c>
      <c r="C321" s="1">
        <v>33.237646184161953</v>
      </c>
      <c r="D321" s="1">
        <v>37.011918223179727</v>
      </c>
      <c r="E321" s="1" t="s">
        <v>146</v>
      </c>
      <c r="F321" s="1">
        <v>3</v>
      </c>
    </row>
    <row r="322" spans="1:6" x14ac:dyDescent="0.35">
      <c r="A322" s="1">
        <v>2046</v>
      </c>
      <c r="B322" s="1">
        <v>28.530227786176422</v>
      </c>
      <c r="C322" s="1">
        <v>33.315518504587203</v>
      </c>
      <c r="D322" s="1">
        <v>36.995196666913252</v>
      </c>
      <c r="E322" s="1" t="s">
        <v>146</v>
      </c>
      <c r="F322" s="1">
        <v>3</v>
      </c>
    </row>
    <row r="323" spans="1:6" x14ac:dyDescent="0.35">
      <c r="A323" s="1">
        <v>2047</v>
      </c>
      <c r="B323" s="1">
        <v>28.025177279115809</v>
      </c>
      <c r="C323" s="1">
        <v>32.721652137587462</v>
      </c>
      <c r="D323" s="1">
        <v>37.271403360935757</v>
      </c>
      <c r="E323" s="1" t="s">
        <v>146</v>
      </c>
      <c r="F323" s="1">
        <v>3</v>
      </c>
    </row>
    <row r="324" spans="1:6" x14ac:dyDescent="0.35">
      <c r="A324" s="1">
        <v>2048</v>
      </c>
      <c r="B324" s="1">
        <v>38.493736846608797</v>
      </c>
      <c r="C324" s="1">
        <v>43.665409782366979</v>
      </c>
      <c r="D324" s="1">
        <v>50.771988796235718</v>
      </c>
      <c r="E324" s="1" t="s">
        <v>146</v>
      </c>
      <c r="F324" s="1">
        <v>3</v>
      </c>
    </row>
    <row r="325" spans="1:6" x14ac:dyDescent="0.35">
      <c r="A325" s="1">
        <v>2049</v>
      </c>
      <c r="B325" s="1">
        <v>36.66766777834065</v>
      </c>
      <c r="C325" s="1">
        <v>42.162440508241957</v>
      </c>
      <c r="D325" s="1">
        <v>47.957261958766708</v>
      </c>
      <c r="E325" s="1" t="s">
        <v>146</v>
      </c>
      <c r="F325" s="1">
        <v>3</v>
      </c>
    </row>
    <row r="326" spans="1:6" x14ac:dyDescent="0.35">
      <c r="A326" s="1">
        <v>2050</v>
      </c>
      <c r="B326" s="1">
        <v>49.971892795539439</v>
      </c>
      <c r="C326" s="1">
        <v>56.084722231999997</v>
      </c>
      <c r="D326" s="1">
        <v>56.084722231999997</v>
      </c>
      <c r="E326" s="1" t="s">
        <v>146</v>
      </c>
      <c r="F326" s="1">
        <v>3</v>
      </c>
    </row>
    <row r="327" spans="1:6" x14ac:dyDescent="0.35">
      <c r="A327" s="1">
        <v>2026</v>
      </c>
      <c r="B327" s="1">
        <v>25.816606571223129</v>
      </c>
      <c r="C327" s="1">
        <v>24.533760446839239</v>
      </c>
      <c r="D327" s="1">
        <v>26.61698330332635</v>
      </c>
      <c r="E327" s="1" t="s">
        <v>147</v>
      </c>
      <c r="F327" s="1">
        <v>3</v>
      </c>
    </row>
    <row r="328" spans="1:6" x14ac:dyDescent="0.35">
      <c r="A328" s="1">
        <v>2027</v>
      </c>
      <c r="B328" s="1">
        <v>25.111499532481918</v>
      </c>
      <c r="C328" s="1">
        <v>24.745569765577159</v>
      </c>
      <c r="D328" s="1">
        <v>26.422868080708259</v>
      </c>
      <c r="E328" s="1" t="s">
        <v>147</v>
      </c>
      <c r="F328" s="1">
        <v>3</v>
      </c>
    </row>
    <row r="329" spans="1:6" x14ac:dyDescent="0.35">
      <c r="A329" s="1">
        <v>2028</v>
      </c>
      <c r="B329" s="1">
        <v>24.16636262592823</v>
      </c>
      <c r="C329" s="1">
        <v>25.457001678209899</v>
      </c>
      <c r="D329" s="1">
        <v>26.45938154320622</v>
      </c>
      <c r="E329" s="1" t="s">
        <v>147</v>
      </c>
      <c r="F329" s="1">
        <v>3</v>
      </c>
    </row>
    <row r="330" spans="1:6" x14ac:dyDescent="0.35">
      <c r="A330" s="1">
        <v>2029</v>
      </c>
      <c r="B330" s="1">
        <v>32.97745159661546</v>
      </c>
      <c r="C330" s="1">
        <v>34.121979802512037</v>
      </c>
      <c r="D330" s="1">
        <v>36.741615903857628</v>
      </c>
      <c r="E330" s="1" t="s">
        <v>147</v>
      </c>
      <c r="F330" s="1">
        <v>3</v>
      </c>
    </row>
    <row r="331" spans="1:6" x14ac:dyDescent="0.35">
      <c r="A331" s="1">
        <v>2030</v>
      </c>
      <c r="B331" s="1">
        <v>30.228023808494701</v>
      </c>
      <c r="C331" s="1">
        <v>33.093417811894227</v>
      </c>
      <c r="D331" s="1">
        <v>33.620093296215252</v>
      </c>
      <c r="E331" s="1" t="s">
        <v>147</v>
      </c>
      <c r="F331" s="1">
        <v>3</v>
      </c>
    </row>
    <row r="332" spans="1:6" x14ac:dyDescent="0.35">
      <c r="A332" s="1">
        <v>2031</v>
      </c>
      <c r="B332" s="1">
        <v>30.832186427190472</v>
      </c>
      <c r="C332" s="1">
        <v>32.959533925528149</v>
      </c>
      <c r="D332" s="1">
        <v>34.712083403089423</v>
      </c>
      <c r="E332" s="1" t="s">
        <v>147</v>
      </c>
      <c r="F332" s="1">
        <v>3</v>
      </c>
    </row>
    <row r="333" spans="1:6" x14ac:dyDescent="0.35">
      <c r="A333" s="1">
        <v>2032</v>
      </c>
      <c r="B333" s="1">
        <v>31.391866925626211</v>
      </c>
      <c r="C333" s="1">
        <v>32.973945652903978</v>
      </c>
      <c r="D333" s="1">
        <v>35.062457011248327</v>
      </c>
      <c r="E333" s="1" t="s">
        <v>147</v>
      </c>
      <c r="F333" s="1">
        <v>3</v>
      </c>
    </row>
    <row r="334" spans="1:6" x14ac:dyDescent="0.35">
      <c r="A334" s="1">
        <v>2033</v>
      </c>
      <c r="B334" s="1">
        <v>30.263368801621631</v>
      </c>
      <c r="C334" s="1">
        <v>33.172180327682923</v>
      </c>
      <c r="D334" s="1">
        <v>35.938522213059542</v>
      </c>
      <c r="E334" s="1" t="s">
        <v>147</v>
      </c>
      <c r="F334" s="1">
        <v>3</v>
      </c>
    </row>
    <row r="335" spans="1:6" x14ac:dyDescent="0.35">
      <c r="A335" s="1">
        <v>2034</v>
      </c>
      <c r="B335" s="1">
        <v>30.540579162217369</v>
      </c>
      <c r="C335" s="1">
        <v>33.377957582268387</v>
      </c>
      <c r="D335" s="1">
        <v>35.249196593967177</v>
      </c>
      <c r="E335" s="1" t="s">
        <v>147</v>
      </c>
      <c r="F335" s="1">
        <v>3</v>
      </c>
    </row>
    <row r="336" spans="1:6" x14ac:dyDescent="0.35">
      <c r="A336" s="1">
        <v>2035</v>
      </c>
      <c r="B336" s="1">
        <v>29.948284111278092</v>
      </c>
      <c r="C336" s="1">
        <v>33.263033621952751</v>
      </c>
      <c r="D336" s="1">
        <v>35.487737806493129</v>
      </c>
      <c r="E336" s="1" t="s">
        <v>147</v>
      </c>
      <c r="F336" s="1">
        <v>3</v>
      </c>
    </row>
    <row r="337" spans="1:6" x14ac:dyDescent="0.35">
      <c r="A337" s="1">
        <v>2036</v>
      </c>
      <c r="B337" s="1">
        <v>29.241056772258389</v>
      </c>
      <c r="C337" s="1">
        <v>32.776366775489322</v>
      </c>
      <c r="D337" s="1">
        <v>36.102017349889927</v>
      </c>
      <c r="E337" s="1" t="s">
        <v>147</v>
      </c>
      <c r="F337" s="1">
        <v>3</v>
      </c>
    </row>
    <row r="338" spans="1:6" x14ac:dyDescent="0.35">
      <c r="A338" s="1">
        <v>2037</v>
      </c>
      <c r="B338" s="1">
        <v>29.15818840765613</v>
      </c>
      <c r="C338" s="1">
        <v>33.370135801880458</v>
      </c>
      <c r="D338" s="1">
        <v>36.524642148684833</v>
      </c>
      <c r="E338" s="1" t="s">
        <v>147</v>
      </c>
      <c r="F338" s="1">
        <v>3</v>
      </c>
    </row>
    <row r="339" spans="1:6" x14ac:dyDescent="0.35">
      <c r="A339" s="1">
        <v>2038</v>
      </c>
      <c r="B339" s="1">
        <v>29.499143215671161</v>
      </c>
      <c r="C339" s="1">
        <v>33.44616823687489</v>
      </c>
      <c r="D339" s="1">
        <v>36.834074538431409</v>
      </c>
      <c r="E339" s="1" t="s">
        <v>147</v>
      </c>
      <c r="F339" s="1">
        <v>3</v>
      </c>
    </row>
    <row r="340" spans="1:6" x14ac:dyDescent="0.35">
      <c r="A340" s="1">
        <v>2039</v>
      </c>
      <c r="B340" s="1">
        <v>29.36090263241438</v>
      </c>
      <c r="C340" s="1">
        <v>33.672189553745497</v>
      </c>
      <c r="D340" s="1">
        <v>37.237818055820043</v>
      </c>
      <c r="E340" s="1" t="s">
        <v>147</v>
      </c>
      <c r="F340" s="1">
        <v>3</v>
      </c>
    </row>
    <row r="341" spans="1:6" x14ac:dyDescent="0.35">
      <c r="A341" s="1">
        <v>2040</v>
      </c>
      <c r="B341" s="1">
        <v>28.27577978010935</v>
      </c>
      <c r="C341" s="1">
        <v>33.285114882344622</v>
      </c>
      <c r="D341" s="1">
        <v>37.137734086026008</v>
      </c>
      <c r="E341" s="1" t="s">
        <v>147</v>
      </c>
      <c r="F341" s="1">
        <v>3</v>
      </c>
    </row>
    <row r="342" spans="1:6" x14ac:dyDescent="0.35">
      <c r="A342" s="1">
        <v>2041</v>
      </c>
      <c r="B342" s="1">
        <v>28.332081375399031</v>
      </c>
      <c r="C342" s="1">
        <v>32.26640157901754</v>
      </c>
      <c r="D342" s="1">
        <v>38.033006181019672</v>
      </c>
      <c r="E342" s="1" t="s">
        <v>147</v>
      </c>
      <c r="F342" s="1">
        <v>3</v>
      </c>
    </row>
    <row r="343" spans="1:6" x14ac:dyDescent="0.35">
      <c r="A343" s="1">
        <v>2042</v>
      </c>
      <c r="B343" s="1">
        <v>29.419934842678408</v>
      </c>
      <c r="C343" s="1">
        <v>32.58332260037421</v>
      </c>
      <c r="D343" s="1">
        <v>36.469433370298262</v>
      </c>
      <c r="E343" s="1" t="s">
        <v>147</v>
      </c>
      <c r="F343" s="1">
        <v>3</v>
      </c>
    </row>
    <row r="344" spans="1:6" x14ac:dyDescent="0.35">
      <c r="A344" s="1">
        <v>2043</v>
      </c>
      <c r="B344" s="1">
        <v>29.065215369499821</v>
      </c>
      <c r="C344" s="1">
        <v>33.134632676709153</v>
      </c>
      <c r="D344" s="1">
        <v>37.240325728102754</v>
      </c>
      <c r="E344" s="1" t="s">
        <v>147</v>
      </c>
      <c r="F344" s="1">
        <v>3</v>
      </c>
    </row>
    <row r="345" spans="1:6" x14ac:dyDescent="0.35">
      <c r="A345" s="1">
        <v>2044</v>
      </c>
      <c r="B345" s="1">
        <v>38.867147112831333</v>
      </c>
      <c r="C345" s="1">
        <v>45.112422835027402</v>
      </c>
      <c r="D345" s="1">
        <v>49.895493160983207</v>
      </c>
      <c r="E345" s="1" t="s">
        <v>147</v>
      </c>
      <c r="F345" s="1">
        <v>3</v>
      </c>
    </row>
    <row r="346" spans="1:6" x14ac:dyDescent="0.35">
      <c r="A346" s="1">
        <v>2045</v>
      </c>
      <c r="B346" s="1">
        <v>36.724786193492577</v>
      </c>
      <c r="C346" s="1">
        <v>42.955306223999777</v>
      </c>
      <c r="D346" s="1">
        <v>47.924331564650039</v>
      </c>
      <c r="E346" s="1" t="s">
        <v>147</v>
      </c>
      <c r="F346" s="1">
        <v>3</v>
      </c>
    </row>
    <row r="347" spans="1:6" x14ac:dyDescent="0.35">
      <c r="A347" s="1">
        <v>2046</v>
      </c>
      <c r="B347" s="1">
        <v>37.585994832999489</v>
      </c>
      <c r="C347" s="1">
        <v>43.203122512966949</v>
      </c>
      <c r="D347" s="1">
        <v>47.148566457486943</v>
      </c>
      <c r="E347" s="1" t="s">
        <v>147</v>
      </c>
      <c r="F347" s="1">
        <v>3</v>
      </c>
    </row>
    <row r="348" spans="1:6" x14ac:dyDescent="0.35">
      <c r="A348" s="1">
        <v>2047</v>
      </c>
      <c r="B348" s="1">
        <v>36.974430181675217</v>
      </c>
      <c r="C348" s="1">
        <v>42.445763508469973</v>
      </c>
      <c r="D348" s="1">
        <v>49.242588894501679</v>
      </c>
      <c r="E348" s="1" t="s">
        <v>147</v>
      </c>
      <c r="F348" s="1">
        <v>3</v>
      </c>
    </row>
    <row r="349" spans="1:6" x14ac:dyDescent="0.35">
      <c r="A349" s="1">
        <v>2048</v>
      </c>
      <c r="B349" s="1">
        <v>36.175752510919608</v>
      </c>
      <c r="C349" s="1">
        <v>42.755941758762603</v>
      </c>
      <c r="D349" s="1">
        <v>48.554935120440561</v>
      </c>
      <c r="E349" s="1" t="s">
        <v>147</v>
      </c>
      <c r="F349" s="1">
        <v>3</v>
      </c>
    </row>
    <row r="350" spans="1:6" x14ac:dyDescent="0.35">
      <c r="A350" s="1">
        <v>2049</v>
      </c>
      <c r="B350" s="1">
        <v>49.261189705558273</v>
      </c>
      <c r="C350" s="1">
        <v>56.084722231999997</v>
      </c>
      <c r="D350" s="1">
        <v>56.084722231999997</v>
      </c>
      <c r="E350" s="1" t="s">
        <v>147</v>
      </c>
      <c r="F350" s="1">
        <v>3</v>
      </c>
    </row>
    <row r="351" spans="1:6" x14ac:dyDescent="0.35">
      <c r="A351" s="1">
        <v>2050</v>
      </c>
      <c r="B351" s="1">
        <v>45.971714340809427</v>
      </c>
      <c r="C351" s="1">
        <v>52.125633413682323</v>
      </c>
      <c r="D351" s="1">
        <v>55.599997059155399</v>
      </c>
      <c r="E351" s="1" t="s">
        <v>147</v>
      </c>
      <c r="F351" s="1">
        <v>3</v>
      </c>
    </row>
    <row r="352" spans="1:6" x14ac:dyDescent="0.35">
      <c r="A352" s="1">
        <v>2026</v>
      </c>
      <c r="B352" s="1">
        <v>24.62007031390683</v>
      </c>
      <c r="C352" s="1">
        <v>25.078401103679312</v>
      </c>
      <c r="D352" s="1">
        <v>26.080861883387978</v>
      </c>
      <c r="E352" s="1" t="s">
        <v>148</v>
      </c>
      <c r="F352" s="1">
        <v>3</v>
      </c>
    </row>
    <row r="353" spans="1:6" x14ac:dyDescent="0.35">
      <c r="A353" s="1">
        <v>2027</v>
      </c>
      <c r="B353" s="1">
        <v>33.198451908430407</v>
      </c>
      <c r="C353" s="1">
        <v>33.59644995082607</v>
      </c>
      <c r="D353" s="1">
        <v>34.94967730740948</v>
      </c>
      <c r="E353" s="1" t="s">
        <v>148</v>
      </c>
      <c r="F353" s="1">
        <v>3</v>
      </c>
    </row>
    <row r="354" spans="1:6" x14ac:dyDescent="0.35">
      <c r="A354" s="1">
        <v>2028</v>
      </c>
      <c r="B354" s="1">
        <v>31.01473031339339</v>
      </c>
      <c r="C354" s="1">
        <v>31.964095166387409</v>
      </c>
      <c r="D354" s="1">
        <v>37.191348302257921</v>
      </c>
      <c r="E354" s="1" t="s">
        <v>148</v>
      </c>
      <c r="F354" s="1">
        <v>3</v>
      </c>
    </row>
    <row r="355" spans="1:6" x14ac:dyDescent="0.35">
      <c r="A355" s="1">
        <v>2029</v>
      </c>
      <c r="B355" s="1">
        <v>30.8520793917749</v>
      </c>
      <c r="C355" s="1">
        <v>31.706571670003761</v>
      </c>
      <c r="D355" s="1">
        <v>35.805833487027748</v>
      </c>
      <c r="E355" s="1" t="s">
        <v>148</v>
      </c>
      <c r="F355" s="1">
        <v>3</v>
      </c>
    </row>
    <row r="356" spans="1:6" x14ac:dyDescent="0.35">
      <c r="A356" s="1">
        <v>2030</v>
      </c>
      <c r="B356" s="1">
        <v>30.658610231179249</v>
      </c>
      <c r="C356" s="1">
        <v>32.614499380417008</v>
      </c>
      <c r="D356" s="1">
        <v>34.693456498000167</v>
      </c>
      <c r="E356" s="1" t="s">
        <v>148</v>
      </c>
      <c r="F356" s="1">
        <v>3</v>
      </c>
    </row>
    <row r="357" spans="1:6" x14ac:dyDescent="0.35">
      <c r="A357" s="1">
        <v>2031</v>
      </c>
      <c r="B357" s="1">
        <v>30.684196458447062</v>
      </c>
      <c r="C357" s="1">
        <v>32.077718785214039</v>
      </c>
      <c r="D357" s="1">
        <v>35.480167794103913</v>
      </c>
      <c r="E357" s="1" t="s">
        <v>148</v>
      </c>
      <c r="F357" s="1">
        <v>3</v>
      </c>
    </row>
    <row r="358" spans="1:6" x14ac:dyDescent="0.35">
      <c r="A358" s="1">
        <v>2032</v>
      </c>
      <c r="B358" s="1">
        <v>30.64107819678668</v>
      </c>
      <c r="C358" s="1">
        <v>32.510181240223872</v>
      </c>
      <c r="D358" s="1">
        <v>36.374050694545232</v>
      </c>
      <c r="E358" s="1" t="s">
        <v>148</v>
      </c>
      <c r="F358" s="1">
        <v>3</v>
      </c>
    </row>
    <row r="359" spans="1:6" x14ac:dyDescent="0.35">
      <c r="A359" s="1">
        <v>2033</v>
      </c>
      <c r="B359" s="1">
        <v>29.89253809349221</v>
      </c>
      <c r="C359" s="1">
        <v>32.626128947339822</v>
      </c>
      <c r="D359" s="1">
        <v>36.155728953361297</v>
      </c>
      <c r="E359" s="1" t="s">
        <v>148</v>
      </c>
      <c r="F359" s="1">
        <v>3</v>
      </c>
    </row>
    <row r="360" spans="1:6" x14ac:dyDescent="0.35">
      <c r="A360" s="1">
        <v>2034</v>
      </c>
      <c r="B360" s="1">
        <v>29.780497589959499</v>
      </c>
      <c r="C360" s="1">
        <v>32.568572913174478</v>
      </c>
      <c r="D360" s="1">
        <v>35.446441768759797</v>
      </c>
      <c r="E360" s="1" t="s">
        <v>148</v>
      </c>
      <c r="F360" s="1">
        <v>3</v>
      </c>
    </row>
    <row r="361" spans="1:6" x14ac:dyDescent="0.35">
      <c r="A361" s="1">
        <v>2035</v>
      </c>
      <c r="B361" s="1">
        <v>39.476673192197879</v>
      </c>
      <c r="C361" s="1">
        <v>43.230098143632652</v>
      </c>
      <c r="D361" s="1">
        <v>47.98775882824556</v>
      </c>
      <c r="E361" s="1" t="s">
        <v>148</v>
      </c>
      <c r="F361" s="1">
        <v>3</v>
      </c>
    </row>
    <row r="362" spans="1:6" x14ac:dyDescent="0.35">
      <c r="A362" s="1">
        <v>2036</v>
      </c>
      <c r="B362" s="1">
        <v>37.20449223353792</v>
      </c>
      <c r="C362" s="1">
        <v>41.824364649011393</v>
      </c>
      <c r="D362" s="1">
        <v>49.461829991418611</v>
      </c>
      <c r="E362" s="1" t="s">
        <v>148</v>
      </c>
      <c r="F362" s="1">
        <v>3</v>
      </c>
    </row>
    <row r="363" spans="1:6" x14ac:dyDescent="0.35">
      <c r="A363" s="1">
        <v>2037</v>
      </c>
      <c r="B363" s="1">
        <v>37.723979347673712</v>
      </c>
      <c r="C363" s="1">
        <v>41.59121936618444</v>
      </c>
      <c r="D363" s="1">
        <v>47.165166078169939</v>
      </c>
      <c r="E363" s="1" t="s">
        <v>148</v>
      </c>
      <c r="F363" s="1">
        <v>3</v>
      </c>
    </row>
    <row r="364" spans="1:6" x14ac:dyDescent="0.35">
      <c r="A364" s="1">
        <v>2038</v>
      </c>
      <c r="B364" s="1">
        <v>51.213083015979088</v>
      </c>
      <c r="C364" s="1">
        <v>56.084722231999997</v>
      </c>
      <c r="D364" s="1">
        <v>56.084722231999997</v>
      </c>
      <c r="E364" s="1" t="s">
        <v>148</v>
      </c>
      <c r="F364" s="1">
        <v>3</v>
      </c>
    </row>
    <row r="365" spans="1:6" x14ac:dyDescent="0.35">
      <c r="A365" s="1">
        <v>2039</v>
      </c>
      <c r="B365" s="1">
        <v>47.388999762762417</v>
      </c>
      <c r="C365" s="1">
        <v>53.229608577061548</v>
      </c>
      <c r="D365" s="1">
        <v>56.084722231999997</v>
      </c>
      <c r="E365" s="1" t="s">
        <v>148</v>
      </c>
      <c r="F365" s="1">
        <v>3</v>
      </c>
    </row>
    <row r="366" spans="1:6" x14ac:dyDescent="0.35">
      <c r="A366" s="1">
        <v>2040</v>
      </c>
      <c r="B366" s="1">
        <v>47.188155663242803</v>
      </c>
      <c r="C366" s="1">
        <v>52.677053056213801</v>
      </c>
      <c r="D366" s="1">
        <v>55.827931079407243</v>
      </c>
      <c r="E366" s="1" t="s">
        <v>148</v>
      </c>
      <c r="F366" s="1">
        <v>3</v>
      </c>
    </row>
    <row r="367" spans="1:6" x14ac:dyDescent="0.35">
      <c r="A367" s="1">
        <v>2041</v>
      </c>
      <c r="B367" s="1">
        <v>46.349572232609653</v>
      </c>
      <c r="C367" s="1">
        <v>51.837727145057478</v>
      </c>
      <c r="D367" s="1">
        <v>55.082228604386863</v>
      </c>
      <c r="E367" s="1" t="s">
        <v>148</v>
      </c>
      <c r="F367" s="1">
        <v>3</v>
      </c>
    </row>
    <row r="368" spans="1:6" x14ac:dyDescent="0.35">
      <c r="A368" s="1">
        <v>2042</v>
      </c>
      <c r="B368" s="1">
        <v>45.527288340891253</v>
      </c>
      <c r="C368" s="1">
        <v>52.045731782906223</v>
      </c>
      <c r="D368" s="1">
        <v>56.013407560090499</v>
      </c>
      <c r="E368" s="1" t="s">
        <v>148</v>
      </c>
      <c r="F368" s="1">
        <v>3</v>
      </c>
    </row>
    <row r="369" spans="1:6" x14ac:dyDescent="0.35">
      <c r="A369" s="1">
        <v>2043</v>
      </c>
      <c r="B369" s="1">
        <v>45.901727206077098</v>
      </c>
      <c r="C369" s="1">
        <v>51.030360100755132</v>
      </c>
      <c r="D369" s="1">
        <v>55.519185748396943</v>
      </c>
      <c r="E369" s="1" t="s">
        <v>148</v>
      </c>
      <c r="F369" s="1">
        <v>3</v>
      </c>
    </row>
    <row r="370" spans="1:6" x14ac:dyDescent="0.35">
      <c r="A370" s="1">
        <v>2044</v>
      </c>
      <c r="B370" s="1">
        <v>45.277799874242987</v>
      </c>
      <c r="C370" s="1">
        <v>51.96870441280042</v>
      </c>
      <c r="D370" s="1">
        <v>55.504839663008568</v>
      </c>
      <c r="E370" s="1" t="s">
        <v>148</v>
      </c>
      <c r="F370" s="1">
        <v>3</v>
      </c>
    </row>
    <row r="371" spans="1:6" x14ac:dyDescent="0.35">
      <c r="A371" s="1">
        <v>2045</v>
      </c>
      <c r="B371" s="1">
        <v>45.40248804674232</v>
      </c>
      <c r="C371" s="1">
        <v>52.639547447031177</v>
      </c>
      <c r="D371" s="1">
        <v>56.084722231999997</v>
      </c>
      <c r="E371" s="1" t="s">
        <v>148</v>
      </c>
      <c r="F371" s="1">
        <v>3</v>
      </c>
    </row>
    <row r="372" spans="1:6" x14ac:dyDescent="0.35">
      <c r="A372" s="1">
        <v>2046</v>
      </c>
      <c r="B372" s="1">
        <v>46.142813873814873</v>
      </c>
      <c r="C372" s="1">
        <v>50.799677490165919</v>
      </c>
      <c r="D372" s="1">
        <v>55.980262237779392</v>
      </c>
      <c r="E372" s="1" t="s">
        <v>148</v>
      </c>
      <c r="F372" s="1">
        <v>3</v>
      </c>
    </row>
    <row r="373" spans="1:6" x14ac:dyDescent="0.35">
      <c r="A373" s="1">
        <v>2047</v>
      </c>
      <c r="B373" s="1">
        <v>46.137766685975642</v>
      </c>
      <c r="C373" s="1">
        <v>50.185757992879019</v>
      </c>
      <c r="D373" s="1">
        <v>56.084722231999997</v>
      </c>
      <c r="E373" s="1" t="s">
        <v>148</v>
      </c>
      <c r="F373" s="1">
        <v>3</v>
      </c>
    </row>
    <row r="374" spans="1:6" x14ac:dyDescent="0.35">
      <c r="A374" s="1">
        <v>2048</v>
      </c>
      <c r="B374" s="1">
        <v>45.621891020319218</v>
      </c>
      <c r="C374" s="1">
        <v>51.919211924058153</v>
      </c>
      <c r="D374" s="1">
        <v>56.084722231999997</v>
      </c>
      <c r="E374" s="1" t="s">
        <v>148</v>
      </c>
      <c r="F374" s="1">
        <v>3</v>
      </c>
    </row>
    <row r="375" spans="1:6" x14ac:dyDescent="0.35">
      <c r="A375" s="1">
        <v>2049</v>
      </c>
      <c r="B375" s="1">
        <v>46.145373499570653</v>
      </c>
      <c r="C375" s="1">
        <v>51.888542261064828</v>
      </c>
      <c r="D375" s="1">
        <v>55.649150161258788</v>
      </c>
      <c r="E375" s="1" t="s">
        <v>148</v>
      </c>
      <c r="F375" s="1">
        <v>3</v>
      </c>
    </row>
    <row r="376" spans="1:6" x14ac:dyDescent="0.35">
      <c r="A376" s="1">
        <v>2050</v>
      </c>
      <c r="B376" s="1">
        <v>46.593255812715142</v>
      </c>
      <c r="C376" s="1">
        <v>52.560017217503457</v>
      </c>
      <c r="D376" s="1">
        <v>54.411718989157862</v>
      </c>
      <c r="E376" s="1" t="s">
        <v>148</v>
      </c>
      <c r="F376" s="1">
        <v>3</v>
      </c>
    </row>
    <row r="377" spans="1:6" x14ac:dyDescent="0.35">
      <c r="A377" s="1">
        <v>2026</v>
      </c>
      <c r="B377" s="1">
        <v>34.413415289375628</v>
      </c>
      <c r="C377" s="1">
        <v>33.485496877127659</v>
      </c>
      <c r="D377" s="1">
        <v>34.737244798149277</v>
      </c>
      <c r="E377" s="1" t="s">
        <v>149</v>
      </c>
      <c r="F377" s="1">
        <v>4</v>
      </c>
    </row>
    <row r="378" spans="1:6" x14ac:dyDescent="0.35">
      <c r="A378" s="1">
        <v>2027</v>
      </c>
      <c r="B378" s="1">
        <v>31.875295322610299</v>
      </c>
      <c r="C378" s="1">
        <v>32.051739175534529</v>
      </c>
      <c r="D378" s="1">
        <v>34.768757655054912</v>
      </c>
      <c r="E378" s="1" t="s">
        <v>149</v>
      </c>
      <c r="F378" s="1">
        <v>4</v>
      </c>
    </row>
    <row r="379" spans="1:6" x14ac:dyDescent="0.35">
      <c r="A379" s="1">
        <v>2028</v>
      </c>
      <c r="B379" s="1">
        <v>30.99052701954993</v>
      </c>
      <c r="C379" s="1">
        <v>31.717789122934359</v>
      </c>
      <c r="D379" s="1">
        <v>34.820511437928062</v>
      </c>
      <c r="E379" s="1" t="s">
        <v>149</v>
      </c>
      <c r="F379" s="1">
        <v>4</v>
      </c>
    </row>
    <row r="380" spans="1:6" x14ac:dyDescent="0.35">
      <c r="A380" s="1">
        <v>2029</v>
      </c>
      <c r="B380" s="1">
        <v>30.945906092577161</v>
      </c>
      <c r="C380" s="1">
        <v>32.197395065383667</v>
      </c>
      <c r="D380" s="1">
        <v>35.043846897274072</v>
      </c>
      <c r="E380" s="1" t="s">
        <v>149</v>
      </c>
      <c r="F380" s="1">
        <v>4</v>
      </c>
    </row>
    <row r="381" spans="1:6" x14ac:dyDescent="0.35">
      <c r="A381" s="1">
        <v>2030</v>
      </c>
      <c r="B381" s="1">
        <v>41.411841741384983</v>
      </c>
      <c r="C381" s="1">
        <v>44.558120204578799</v>
      </c>
      <c r="D381" s="1">
        <v>46.627179367046999</v>
      </c>
      <c r="E381" s="1" t="s">
        <v>149</v>
      </c>
      <c r="F381" s="1">
        <v>4</v>
      </c>
    </row>
    <row r="382" spans="1:6" x14ac:dyDescent="0.35">
      <c r="A382" s="1">
        <v>2031</v>
      </c>
      <c r="B382" s="1">
        <v>39.487966868739584</v>
      </c>
      <c r="C382" s="1">
        <v>42.276147435621183</v>
      </c>
      <c r="D382" s="1">
        <v>46.732110436501607</v>
      </c>
      <c r="E382" s="1" t="s">
        <v>149</v>
      </c>
      <c r="F382" s="1">
        <v>4</v>
      </c>
    </row>
    <row r="383" spans="1:6" x14ac:dyDescent="0.35">
      <c r="A383" s="1">
        <v>2032</v>
      </c>
      <c r="B383" s="1">
        <v>38.142245857165072</v>
      </c>
      <c r="C383" s="1">
        <v>42.088412461720019</v>
      </c>
      <c r="D383" s="1">
        <v>46.903031018914191</v>
      </c>
      <c r="E383" s="1" t="s">
        <v>149</v>
      </c>
      <c r="F383" s="1">
        <v>4</v>
      </c>
    </row>
    <row r="384" spans="1:6" x14ac:dyDescent="0.35">
      <c r="A384" s="1">
        <v>2033</v>
      </c>
      <c r="B384" s="1">
        <v>37.706664989463683</v>
      </c>
      <c r="C384" s="1">
        <v>41.91401999272054</v>
      </c>
      <c r="D384" s="1">
        <v>46.435879965114189</v>
      </c>
      <c r="E384" s="1" t="s">
        <v>149</v>
      </c>
      <c r="F384" s="1">
        <v>4</v>
      </c>
    </row>
    <row r="385" spans="1:6" x14ac:dyDescent="0.35">
      <c r="A385" s="1">
        <v>2034</v>
      </c>
      <c r="B385" s="1">
        <v>37.206990023378523</v>
      </c>
      <c r="C385" s="1">
        <v>41.382096372190979</v>
      </c>
      <c r="D385" s="1">
        <v>45.895468135127707</v>
      </c>
      <c r="E385" s="1" t="s">
        <v>149</v>
      </c>
      <c r="F385" s="1">
        <v>4</v>
      </c>
    </row>
    <row r="386" spans="1:6" x14ac:dyDescent="0.35">
      <c r="A386" s="1">
        <v>2035</v>
      </c>
      <c r="B386" s="1">
        <v>36.636384438407767</v>
      </c>
      <c r="C386" s="1">
        <v>42.648837513359233</v>
      </c>
      <c r="D386" s="1">
        <v>45.942583977768663</v>
      </c>
      <c r="E386" s="1" t="s">
        <v>149</v>
      </c>
      <c r="F386" s="1">
        <v>4</v>
      </c>
    </row>
    <row r="387" spans="1:6" x14ac:dyDescent="0.35">
      <c r="A387" s="1">
        <v>2036</v>
      </c>
      <c r="B387" s="1">
        <v>49.750759757786561</v>
      </c>
      <c r="C387" s="1">
        <v>56.084722231999997</v>
      </c>
      <c r="D387" s="1">
        <v>56.084722231999997</v>
      </c>
      <c r="E387" s="1" t="s">
        <v>149</v>
      </c>
      <c r="F387" s="1">
        <v>4</v>
      </c>
    </row>
    <row r="388" spans="1:6" x14ac:dyDescent="0.35">
      <c r="A388" s="1">
        <v>2037</v>
      </c>
      <c r="B388" s="1">
        <v>46.76750927120294</v>
      </c>
      <c r="C388" s="1">
        <v>52.61379884019177</v>
      </c>
      <c r="D388" s="1">
        <v>55.083311932582887</v>
      </c>
      <c r="E388" s="1" t="s">
        <v>149</v>
      </c>
      <c r="F388" s="1">
        <v>4</v>
      </c>
    </row>
    <row r="389" spans="1:6" x14ac:dyDescent="0.35">
      <c r="A389" s="1">
        <v>2038</v>
      </c>
      <c r="B389" s="1">
        <v>46.744624176910442</v>
      </c>
      <c r="C389" s="1">
        <v>51.769521562243078</v>
      </c>
      <c r="D389" s="1">
        <v>56.084722231999997</v>
      </c>
      <c r="E389" s="1" t="s">
        <v>149</v>
      </c>
      <c r="F389" s="1">
        <v>4</v>
      </c>
    </row>
    <row r="390" spans="1:6" x14ac:dyDescent="0.35">
      <c r="A390" s="1">
        <v>2039</v>
      </c>
      <c r="B390" s="1">
        <v>46.135474061574513</v>
      </c>
      <c r="C390" s="1">
        <v>52.141939556438423</v>
      </c>
      <c r="D390" s="1">
        <v>56.084722231999997</v>
      </c>
      <c r="E390" s="1" t="s">
        <v>149</v>
      </c>
      <c r="F390" s="1">
        <v>4</v>
      </c>
    </row>
    <row r="391" spans="1:6" x14ac:dyDescent="0.35">
      <c r="A391" s="1">
        <v>2040</v>
      </c>
      <c r="B391" s="1">
        <v>46.55366334151951</v>
      </c>
      <c r="C391" s="1">
        <v>53.653803962674189</v>
      </c>
      <c r="D391" s="1">
        <v>55.471082093297149</v>
      </c>
      <c r="E391" s="1" t="s">
        <v>149</v>
      </c>
      <c r="F391" s="1">
        <v>4</v>
      </c>
    </row>
    <row r="392" spans="1:6" x14ac:dyDescent="0.35">
      <c r="A392" s="1">
        <v>2041</v>
      </c>
      <c r="B392" s="1">
        <v>46.916191142582797</v>
      </c>
      <c r="C392" s="1">
        <v>53.537426123250746</v>
      </c>
      <c r="D392" s="1">
        <v>55.855417046164021</v>
      </c>
      <c r="E392" s="1" t="s">
        <v>149</v>
      </c>
      <c r="F392" s="1">
        <v>4</v>
      </c>
    </row>
    <row r="393" spans="1:6" x14ac:dyDescent="0.35">
      <c r="A393" s="1">
        <v>2042</v>
      </c>
      <c r="B393" s="1">
        <v>45.719059311341383</v>
      </c>
      <c r="C393" s="1">
        <v>52.895294457185408</v>
      </c>
      <c r="D393" s="1">
        <v>55.785371239412143</v>
      </c>
      <c r="E393" s="1" t="s">
        <v>149</v>
      </c>
      <c r="F393" s="1">
        <v>4</v>
      </c>
    </row>
    <row r="394" spans="1:6" x14ac:dyDescent="0.35">
      <c r="A394" s="1">
        <v>2043</v>
      </c>
      <c r="B394" s="1">
        <v>45.751430709361507</v>
      </c>
      <c r="C394" s="1">
        <v>52.355821952288011</v>
      </c>
      <c r="D394" s="1">
        <v>56.084722231999997</v>
      </c>
      <c r="E394" s="1" t="s">
        <v>149</v>
      </c>
      <c r="F394" s="1">
        <v>4</v>
      </c>
    </row>
    <row r="395" spans="1:6" x14ac:dyDescent="0.35">
      <c r="A395" s="1">
        <v>2044</v>
      </c>
      <c r="B395" s="1">
        <v>56.084722231999997</v>
      </c>
      <c r="C395" s="1">
        <v>56.084722231999997</v>
      </c>
      <c r="D395" s="1">
        <v>56.084722231999997</v>
      </c>
      <c r="E395" s="1" t="s">
        <v>149</v>
      </c>
      <c r="F395" s="1">
        <v>4</v>
      </c>
    </row>
    <row r="396" spans="1:6" x14ac:dyDescent="0.35">
      <c r="A396" s="1">
        <v>2045</v>
      </c>
      <c r="B396" s="1">
        <v>49.385315909836521</v>
      </c>
      <c r="C396" s="1">
        <v>53.8070416069231</v>
      </c>
      <c r="D396" s="1">
        <v>56.084722231999997</v>
      </c>
      <c r="E396" s="1" t="s">
        <v>149</v>
      </c>
      <c r="F396" s="1">
        <v>4</v>
      </c>
    </row>
    <row r="397" spans="1:6" x14ac:dyDescent="0.35">
      <c r="A397" s="1">
        <v>2046</v>
      </c>
      <c r="B397" s="1">
        <v>48.343056481553049</v>
      </c>
      <c r="C397" s="1">
        <v>54.260704252381323</v>
      </c>
      <c r="D397" s="1">
        <v>56.084722231999997</v>
      </c>
      <c r="E397" s="1" t="s">
        <v>149</v>
      </c>
      <c r="F397" s="1">
        <v>4</v>
      </c>
    </row>
    <row r="398" spans="1:6" x14ac:dyDescent="0.35">
      <c r="A398" s="1">
        <v>2047</v>
      </c>
      <c r="B398" s="1">
        <v>49.403674118237099</v>
      </c>
      <c r="C398" s="1">
        <v>53.512418518440491</v>
      </c>
      <c r="D398" s="1">
        <v>55.583855183078803</v>
      </c>
      <c r="E398" s="1" t="s">
        <v>149</v>
      </c>
      <c r="F398" s="1">
        <v>4</v>
      </c>
    </row>
    <row r="399" spans="1:6" x14ac:dyDescent="0.35">
      <c r="A399" s="1">
        <v>2048</v>
      </c>
      <c r="B399" s="1">
        <v>50.451776177637569</v>
      </c>
      <c r="C399" s="1">
        <v>53.368726026659232</v>
      </c>
      <c r="D399" s="1">
        <v>56.084722231999997</v>
      </c>
      <c r="E399" s="1" t="s">
        <v>149</v>
      </c>
      <c r="F399" s="1">
        <v>4</v>
      </c>
    </row>
    <row r="400" spans="1:6" x14ac:dyDescent="0.35">
      <c r="A400" s="1">
        <v>2049</v>
      </c>
      <c r="B400" s="1">
        <v>51.169797587017342</v>
      </c>
      <c r="C400" s="1">
        <v>53.858278971962449</v>
      </c>
      <c r="D400" s="1">
        <v>56.084722231999997</v>
      </c>
      <c r="E400" s="1" t="s">
        <v>149</v>
      </c>
      <c r="F400" s="1">
        <v>4</v>
      </c>
    </row>
    <row r="401" spans="1:6" x14ac:dyDescent="0.35">
      <c r="A401" s="1">
        <v>2050</v>
      </c>
      <c r="B401" s="1">
        <v>49.797957607305847</v>
      </c>
      <c r="C401" s="1">
        <v>54.830661855332423</v>
      </c>
      <c r="D401" s="1">
        <v>55.997720081295263</v>
      </c>
      <c r="E401" s="1" t="s">
        <v>149</v>
      </c>
      <c r="F401" s="1">
        <v>4</v>
      </c>
    </row>
    <row r="402" spans="1:6" x14ac:dyDescent="0.35">
      <c r="A402" s="1">
        <v>2026</v>
      </c>
      <c r="B402" s="1">
        <v>25.38998398143033</v>
      </c>
      <c r="C402" s="1">
        <v>26.168596648872828</v>
      </c>
      <c r="D402" s="1">
        <v>25.634204931575781</v>
      </c>
      <c r="E402" s="1" t="s">
        <v>150</v>
      </c>
      <c r="F402" s="1">
        <v>4</v>
      </c>
    </row>
    <row r="403" spans="1:6" x14ac:dyDescent="0.35">
      <c r="A403" s="1">
        <v>2027</v>
      </c>
      <c r="B403" s="1">
        <v>24.727672510810859</v>
      </c>
      <c r="C403" s="1">
        <v>24.94874738484862</v>
      </c>
      <c r="D403" s="1">
        <v>25.93456293378399</v>
      </c>
      <c r="E403" s="1" t="s">
        <v>150</v>
      </c>
      <c r="F403" s="1">
        <v>4</v>
      </c>
    </row>
    <row r="404" spans="1:6" x14ac:dyDescent="0.35">
      <c r="A404" s="1">
        <v>2028</v>
      </c>
      <c r="B404" s="1">
        <v>23.941617282210078</v>
      </c>
      <c r="C404" s="1">
        <v>24.4040156325986</v>
      </c>
      <c r="D404" s="1">
        <v>26.878951637692481</v>
      </c>
      <c r="E404" s="1" t="s">
        <v>150</v>
      </c>
      <c r="F404" s="1">
        <v>4</v>
      </c>
    </row>
    <row r="405" spans="1:6" x14ac:dyDescent="0.35">
      <c r="A405" s="1">
        <v>2029</v>
      </c>
      <c r="B405" s="1">
        <v>23.51252797631361</v>
      </c>
      <c r="C405" s="1">
        <v>25.073001894577281</v>
      </c>
      <c r="D405" s="1">
        <v>26.482365728007419</v>
      </c>
      <c r="E405" s="1" t="s">
        <v>150</v>
      </c>
      <c r="F405" s="1">
        <v>4</v>
      </c>
    </row>
    <row r="406" spans="1:6" x14ac:dyDescent="0.35">
      <c r="A406" s="1">
        <v>2030</v>
      </c>
      <c r="B406" s="1">
        <v>22.873189264481681</v>
      </c>
      <c r="C406" s="1">
        <v>26.14946565654628</v>
      </c>
      <c r="D406" s="1">
        <v>26.673326251245889</v>
      </c>
      <c r="E406" s="1" t="s">
        <v>150</v>
      </c>
      <c r="F406" s="1">
        <v>4</v>
      </c>
    </row>
    <row r="407" spans="1:6" x14ac:dyDescent="0.35">
      <c r="A407" s="1">
        <v>2031</v>
      </c>
      <c r="B407" s="1">
        <v>23.07839443533064</v>
      </c>
      <c r="C407" s="1">
        <v>25.40755011648282</v>
      </c>
      <c r="D407" s="1">
        <v>27.313350855889741</v>
      </c>
      <c r="E407" s="1" t="s">
        <v>150</v>
      </c>
      <c r="F407" s="1">
        <v>4</v>
      </c>
    </row>
    <row r="408" spans="1:6" x14ac:dyDescent="0.35">
      <c r="A408" s="1">
        <v>2032</v>
      </c>
      <c r="B408" s="1">
        <v>22.936270028076741</v>
      </c>
      <c r="C408" s="1">
        <v>25.001788098816061</v>
      </c>
      <c r="D408" s="1">
        <v>27.735782003698802</v>
      </c>
      <c r="E408" s="1" t="s">
        <v>150</v>
      </c>
      <c r="F408" s="1">
        <v>4</v>
      </c>
    </row>
    <row r="409" spans="1:6" x14ac:dyDescent="0.35">
      <c r="A409" s="1">
        <v>2033</v>
      </c>
      <c r="B409" s="1">
        <v>22.723996149734472</v>
      </c>
      <c r="C409" s="1">
        <v>25.160990051529019</v>
      </c>
      <c r="D409" s="1">
        <v>27.664211202380741</v>
      </c>
      <c r="E409" s="1" t="s">
        <v>150</v>
      </c>
      <c r="F409" s="1">
        <v>4</v>
      </c>
    </row>
    <row r="410" spans="1:6" x14ac:dyDescent="0.35">
      <c r="A410" s="1">
        <v>2034</v>
      </c>
      <c r="B410" s="1">
        <v>22.875808238663129</v>
      </c>
      <c r="C410" s="1">
        <v>24.885544366888869</v>
      </c>
      <c r="D410" s="1">
        <v>27.671879934973909</v>
      </c>
      <c r="E410" s="1" t="s">
        <v>150</v>
      </c>
      <c r="F410" s="1">
        <v>4</v>
      </c>
    </row>
    <row r="411" spans="1:6" x14ac:dyDescent="0.35">
      <c r="A411" s="1">
        <v>2035</v>
      </c>
      <c r="B411" s="1">
        <v>30.209391114905198</v>
      </c>
      <c r="C411" s="1">
        <v>33.425826579998677</v>
      </c>
      <c r="D411" s="1">
        <v>38.30744660777529</v>
      </c>
      <c r="E411" s="1" t="s">
        <v>150</v>
      </c>
      <c r="F411" s="1">
        <v>4</v>
      </c>
    </row>
    <row r="412" spans="1:6" x14ac:dyDescent="0.35">
      <c r="A412" s="1">
        <v>2036</v>
      </c>
      <c r="B412" s="1">
        <v>28.531397856616529</v>
      </c>
      <c r="C412" s="1">
        <v>33.331490723349717</v>
      </c>
      <c r="D412" s="1">
        <v>37.011809288646432</v>
      </c>
      <c r="E412" s="1" t="s">
        <v>150</v>
      </c>
      <c r="F412" s="1">
        <v>4</v>
      </c>
    </row>
    <row r="413" spans="1:6" x14ac:dyDescent="0.35">
      <c r="A413" s="1">
        <v>2037</v>
      </c>
      <c r="B413" s="1">
        <v>28.032031382921929</v>
      </c>
      <c r="C413" s="1">
        <v>32.280652291286721</v>
      </c>
      <c r="D413" s="1">
        <v>36.195521564260687</v>
      </c>
      <c r="E413" s="1" t="s">
        <v>150</v>
      </c>
      <c r="F413" s="1">
        <v>4</v>
      </c>
    </row>
    <row r="414" spans="1:6" x14ac:dyDescent="0.35">
      <c r="A414" s="1">
        <v>2038</v>
      </c>
      <c r="B414" s="1">
        <v>38.599222997373033</v>
      </c>
      <c r="C414" s="1">
        <v>44.147051649584633</v>
      </c>
      <c r="D414" s="1">
        <v>50.009690118146047</v>
      </c>
      <c r="E414" s="1" t="s">
        <v>150</v>
      </c>
      <c r="F414" s="1">
        <v>4</v>
      </c>
    </row>
    <row r="415" spans="1:6" x14ac:dyDescent="0.35">
      <c r="A415" s="1">
        <v>2039</v>
      </c>
      <c r="B415" s="1">
        <v>36.297238257427118</v>
      </c>
      <c r="C415" s="1">
        <v>42.657467523705158</v>
      </c>
      <c r="D415" s="1">
        <v>46.528766461915772</v>
      </c>
      <c r="E415" s="1" t="s">
        <v>150</v>
      </c>
      <c r="F415" s="1">
        <v>4</v>
      </c>
    </row>
    <row r="416" spans="1:6" x14ac:dyDescent="0.35">
      <c r="A416" s="1">
        <v>2040</v>
      </c>
      <c r="B416" s="1">
        <v>37.295602804884929</v>
      </c>
      <c r="C416" s="1">
        <v>42.016695663154238</v>
      </c>
      <c r="D416" s="1">
        <v>47.592865522487408</v>
      </c>
      <c r="E416" s="1" t="s">
        <v>150</v>
      </c>
      <c r="F416" s="1">
        <v>4</v>
      </c>
    </row>
    <row r="417" spans="1:6" x14ac:dyDescent="0.35">
      <c r="A417" s="1">
        <v>2041</v>
      </c>
      <c r="B417" s="1">
        <v>36.624628698511998</v>
      </c>
      <c r="C417" s="1">
        <v>41.524075420528</v>
      </c>
      <c r="D417" s="1">
        <v>47.12368767983444</v>
      </c>
      <c r="E417" s="1" t="s">
        <v>150</v>
      </c>
      <c r="F417" s="1">
        <v>4</v>
      </c>
    </row>
    <row r="418" spans="1:6" x14ac:dyDescent="0.35">
      <c r="A418" s="1">
        <v>2042</v>
      </c>
      <c r="B418" s="1">
        <v>37.03087205188551</v>
      </c>
      <c r="C418" s="1">
        <v>42.946541156526408</v>
      </c>
      <c r="D418" s="1">
        <v>47.396423200058059</v>
      </c>
      <c r="E418" s="1" t="s">
        <v>150</v>
      </c>
      <c r="F418" s="1">
        <v>4</v>
      </c>
    </row>
    <row r="419" spans="1:6" x14ac:dyDescent="0.35">
      <c r="A419" s="1">
        <v>2043</v>
      </c>
      <c r="B419" s="1">
        <v>36.947380391052171</v>
      </c>
      <c r="C419" s="1">
        <v>42.590709791186903</v>
      </c>
      <c r="D419" s="1">
        <v>47.718331033451364</v>
      </c>
      <c r="E419" s="1" t="s">
        <v>150</v>
      </c>
      <c r="F419" s="1">
        <v>4</v>
      </c>
    </row>
    <row r="420" spans="1:6" x14ac:dyDescent="0.35">
      <c r="A420" s="1">
        <v>2044</v>
      </c>
      <c r="B420" s="1">
        <v>36.884840822805891</v>
      </c>
      <c r="C420" s="1">
        <v>41.699065851695927</v>
      </c>
      <c r="D420" s="1">
        <v>49.474601112749198</v>
      </c>
      <c r="E420" s="1" t="s">
        <v>150</v>
      </c>
      <c r="F420" s="1">
        <v>4</v>
      </c>
    </row>
    <row r="421" spans="1:6" x14ac:dyDescent="0.35">
      <c r="A421" s="1">
        <v>2045</v>
      </c>
      <c r="B421" s="1">
        <v>49.155344717568752</v>
      </c>
      <c r="C421" s="1">
        <v>55.158185260256253</v>
      </c>
      <c r="D421" s="1">
        <v>56.084722231999997</v>
      </c>
      <c r="E421" s="1" t="s">
        <v>150</v>
      </c>
      <c r="F421" s="1">
        <v>4</v>
      </c>
    </row>
    <row r="422" spans="1:6" x14ac:dyDescent="0.35">
      <c r="A422" s="1">
        <v>2046</v>
      </c>
      <c r="B422" s="1">
        <v>45.933057241629392</v>
      </c>
      <c r="C422" s="1">
        <v>53.484843352173051</v>
      </c>
      <c r="D422" s="1">
        <v>56.084722231999997</v>
      </c>
      <c r="E422" s="1" t="s">
        <v>150</v>
      </c>
      <c r="F422" s="1">
        <v>4</v>
      </c>
    </row>
    <row r="423" spans="1:6" x14ac:dyDescent="0.35">
      <c r="A423" s="1">
        <v>2047</v>
      </c>
      <c r="B423" s="1">
        <v>45.321936935852172</v>
      </c>
      <c r="C423" s="1">
        <v>52.514444658021773</v>
      </c>
      <c r="D423" s="1">
        <v>54.892710491974732</v>
      </c>
      <c r="E423" s="1" t="s">
        <v>150</v>
      </c>
      <c r="F423" s="1">
        <v>4</v>
      </c>
    </row>
    <row r="424" spans="1:6" x14ac:dyDescent="0.35">
      <c r="A424" s="1">
        <v>2048</v>
      </c>
      <c r="B424" s="1">
        <v>56.084722231999997</v>
      </c>
      <c r="C424" s="1">
        <v>56.084722231999997</v>
      </c>
      <c r="D424" s="1">
        <v>56.084722231999997</v>
      </c>
      <c r="E424" s="1" t="s">
        <v>150</v>
      </c>
      <c r="F424" s="1">
        <v>4</v>
      </c>
    </row>
    <row r="425" spans="1:6" x14ac:dyDescent="0.35">
      <c r="A425" s="1">
        <v>2049</v>
      </c>
      <c r="B425" s="1">
        <v>50.089030288609891</v>
      </c>
      <c r="C425" s="1">
        <v>53.072353479836387</v>
      </c>
      <c r="D425" s="1">
        <v>55.760539246186902</v>
      </c>
      <c r="E425" s="1" t="s">
        <v>150</v>
      </c>
      <c r="F425" s="1">
        <v>4</v>
      </c>
    </row>
    <row r="426" spans="1:6" x14ac:dyDescent="0.35">
      <c r="A426" s="1">
        <v>2050</v>
      </c>
      <c r="B426" s="1">
        <v>50.825838032620389</v>
      </c>
      <c r="C426" s="1">
        <v>51.82734032892904</v>
      </c>
      <c r="D426" s="1">
        <v>56.084722231999997</v>
      </c>
      <c r="E426" s="1" t="s">
        <v>150</v>
      </c>
      <c r="F426" s="1">
        <v>4</v>
      </c>
    </row>
    <row r="427" spans="1:6" x14ac:dyDescent="0.35">
      <c r="A427" s="1">
        <v>2026</v>
      </c>
      <c r="B427" s="1">
        <v>24.317715401897171</v>
      </c>
      <c r="C427" s="1">
        <v>24.59170503994098</v>
      </c>
      <c r="D427" s="1">
        <v>25.930758236262701</v>
      </c>
      <c r="E427" s="1" t="s">
        <v>151</v>
      </c>
      <c r="F427" s="1">
        <v>4</v>
      </c>
    </row>
    <row r="428" spans="1:6" x14ac:dyDescent="0.35">
      <c r="A428" s="1">
        <v>2027</v>
      </c>
      <c r="B428" s="1">
        <v>24.343129410329929</v>
      </c>
      <c r="C428" s="1">
        <v>24.765683227703182</v>
      </c>
      <c r="D428" s="1">
        <v>25.788697083405051</v>
      </c>
      <c r="E428" s="1" t="s">
        <v>151</v>
      </c>
      <c r="F428" s="1">
        <v>4</v>
      </c>
    </row>
    <row r="429" spans="1:6" x14ac:dyDescent="0.35">
      <c r="A429" s="1">
        <v>2028</v>
      </c>
      <c r="B429" s="1">
        <v>23.33169013929885</v>
      </c>
      <c r="C429" s="1">
        <v>25.360166083583831</v>
      </c>
      <c r="D429" s="1">
        <v>25.772016093958818</v>
      </c>
      <c r="E429" s="1" t="s">
        <v>151</v>
      </c>
      <c r="F429" s="1">
        <v>4</v>
      </c>
    </row>
    <row r="430" spans="1:6" x14ac:dyDescent="0.35">
      <c r="A430" s="1">
        <v>2029</v>
      </c>
      <c r="B430" s="1">
        <v>22.957028614592581</v>
      </c>
      <c r="C430" s="1">
        <v>25.228806610434859</v>
      </c>
      <c r="D430" s="1">
        <v>26.81347313307359</v>
      </c>
      <c r="E430" s="1" t="s">
        <v>151</v>
      </c>
      <c r="F430" s="1">
        <v>4</v>
      </c>
    </row>
    <row r="431" spans="1:6" x14ac:dyDescent="0.35">
      <c r="A431" s="1">
        <v>2030</v>
      </c>
      <c r="B431" s="1">
        <v>23.257330171772491</v>
      </c>
      <c r="C431" s="1">
        <v>25.743305018291519</v>
      </c>
      <c r="D431" s="1">
        <v>26.8370293171313</v>
      </c>
      <c r="E431" s="1" t="s">
        <v>151</v>
      </c>
      <c r="F431" s="1">
        <v>4</v>
      </c>
    </row>
    <row r="432" spans="1:6" x14ac:dyDescent="0.35">
      <c r="A432" s="1">
        <v>2031</v>
      </c>
      <c r="B432" s="1">
        <v>32.707733893693707</v>
      </c>
      <c r="C432" s="1">
        <v>35.063812080837558</v>
      </c>
      <c r="D432" s="1">
        <v>35.970864293787997</v>
      </c>
      <c r="E432" s="1" t="s">
        <v>151</v>
      </c>
      <c r="F432" s="1">
        <v>4</v>
      </c>
    </row>
    <row r="433" spans="1:6" x14ac:dyDescent="0.35">
      <c r="A433" s="1">
        <v>2032</v>
      </c>
      <c r="B433" s="1">
        <v>30.528339072162929</v>
      </c>
      <c r="C433" s="1">
        <v>33.790020361563968</v>
      </c>
      <c r="D433" s="1">
        <v>35.10789274561926</v>
      </c>
      <c r="E433" s="1" t="s">
        <v>151</v>
      </c>
      <c r="F433" s="1">
        <v>4</v>
      </c>
    </row>
    <row r="434" spans="1:6" x14ac:dyDescent="0.35">
      <c r="A434" s="1">
        <v>2033</v>
      </c>
      <c r="B434" s="1">
        <v>30.55281876471966</v>
      </c>
      <c r="C434" s="1">
        <v>33.054315542165973</v>
      </c>
      <c r="D434" s="1">
        <v>35.659390048930888</v>
      </c>
      <c r="E434" s="1" t="s">
        <v>151</v>
      </c>
      <c r="F434" s="1">
        <v>4</v>
      </c>
    </row>
    <row r="435" spans="1:6" x14ac:dyDescent="0.35">
      <c r="A435" s="1">
        <v>2034</v>
      </c>
      <c r="B435" s="1">
        <v>30.29004467734504</v>
      </c>
      <c r="C435" s="1">
        <v>32.925707911938879</v>
      </c>
      <c r="D435" s="1">
        <v>36.105237224324632</v>
      </c>
      <c r="E435" s="1" t="s">
        <v>151</v>
      </c>
      <c r="F435" s="1">
        <v>4</v>
      </c>
    </row>
    <row r="436" spans="1:6" x14ac:dyDescent="0.35">
      <c r="A436" s="1">
        <v>2035</v>
      </c>
      <c r="B436" s="1">
        <v>30.340031129014331</v>
      </c>
      <c r="C436" s="1">
        <v>33.098889839489352</v>
      </c>
      <c r="D436" s="1">
        <v>35.820968451100462</v>
      </c>
      <c r="E436" s="1" t="s">
        <v>151</v>
      </c>
      <c r="F436" s="1">
        <v>4</v>
      </c>
    </row>
    <row r="437" spans="1:6" x14ac:dyDescent="0.35">
      <c r="A437" s="1">
        <v>2036</v>
      </c>
      <c r="B437" s="1">
        <v>29.57724110797351</v>
      </c>
      <c r="C437" s="1">
        <v>32.78847309536738</v>
      </c>
      <c r="D437" s="1">
        <v>35.758319683431701</v>
      </c>
      <c r="E437" s="1" t="s">
        <v>151</v>
      </c>
      <c r="F437" s="1">
        <v>4</v>
      </c>
    </row>
    <row r="438" spans="1:6" x14ac:dyDescent="0.35">
      <c r="A438" s="1">
        <v>2037</v>
      </c>
      <c r="B438" s="1">
        <v>29.79385426888463</v>
      </c>
      <c r="C438" s="1">
        <v>33.083325198222653</v>
      </c>
      <c r="D438" s="1">
        <v>36.082310714579471</v>
      </c>
      <c r="E438" s="1" t="s">
        <v>151</v>
      </c>
      <c r="F438" s="1">
        <v>4</v>
      </c>
    </row>
    <row r="439" spans="1:6" x14ac:dyDescent="0.35">
      <c r="A439" s="1">
        <v>2038</v>
      </c>
      <c r="B439" s="1">
        <v>29.07058868544123</v>
      </c>
      <c r="C439" s="1">
        <v>32.688503094309503</v>
      </c>
      <c r="D439" s="1">
        <v>35.720981698676887</v>
      </c>
      <c r="E439" s="1" t="s">
        <v>151</v>
      </c>
      <c r="F439" s="1">
        <v>4</v>
      </c>
    </row>
    <row r="440" spans="1:6" x14ac:dyDescent="0.35">
      <c r="A440" s="1">
        <v>2039</v>
      </c>
      <c r="B440" s="1">
        <v>29.372507209275739</v>
      </c>
      <c r="C440" s="1">
        <v>33.242458889358723</v>
      </c>
      <c r="D440" s="1">
        <v>36.18089881102631</v>
      </c>
      <c r="E440" s="1" t="s">
        <v>151</v>
      </c>
      <c r="F440" s="1">
        <v>4</v>
      </c>
    </row>
    <row r="441" spans="1:6" x14ac:dyDescent="0.35">
      <c r="A441" s="1">
        <v>2040</v>
      </c>
      <c r="B441" s="1">
        <v>29.97430728688326</v>
      </c>
      <c r="C441" s="1">
        <v>33.705715717210467</v>
      </c>
      <c r="D441" s="1">
        <v>35.89714179059191</v>
      </c>
      <c r="E441" s="1" t="s">
        <v>151</v>
      </c>
      <c r="F441" s="1">
        <v>4</v>
      </c>
    </row>
    <row r="442" spans="1:6" x14ac:dyDescent="0.35">
      <c r="A442" s="1">
        <v>2041</v>
      </c>
      <c r="B442" s="1">
        <v>38.695484794328991</v>
      </c>
      <c r="C442" s="1">
        <v>45.359380261442617</v>
      </c>
      <c r="D442" s="1">
        <v>50.061754243228478</v>
      </c>
      <c r="E442" s="1" t="s">
        <v>151</v>
      </c>
      <c r="F442" s="1">
        <v>4</v>
      </c>
    </row>
    <row r="443" spans="1:6" x14ac:dyDescent="0.35">
      <c r="A443" s="1">
        <v>2042</v>
      </c>
      <c r="B443" s="1">
        <v>37.652316527527383</v>
      </c>
      <c r="C443" s="1">
        <v>42.162071494092473</v>
      </c>
      <c r="D443" s="1">
        <v>49.456059372835192</v>
      </c>
      <c r="E443" s="1" t="s">
        <v>151</v>
      </c>
      <c r="F443" s="1">
        <v>4</v>
      </c>
    </row>
    <row r="444" spans="1:6" x14ac:dyDescent="0.35">
      <c r="A444" s="1">
        <v>2043</v>
      </c>
      <c r="B444" s="1">
        <v>36.949977796458057</v>
      </c>
      <c r="C444" s="1">
        <v>43.064763882975093</v>
      </c>
      <c r="D444" s="1">
        <v>49.728543576555253</v>
      </c>
      <c r="E444" s="1" t="s">
        <v>151</v>
      </c>
      <c r="F444" s="1">
        <v>4</v>
      </c>
    </row>
    <row r="445" spans="1:6" x14ac:dyDescent="0.35">
      <c r="A445" s="1">
        <v>2044</v>
      </c>
      <c r="B445" s="1">
        <v>37.054087125570213</v>
      </c>
      <c r="C445" s="1">
        <v>42.678343519808926</v>
      </c>
      <c r="D445" s="1">
        <v>49.288955218071088</v>
      </c>
      <c r="E445" s="1" t="s">
        <v>151</v>
      </c>
      <c r="F445" s="1">
        <v>4</v>
      </c>
    </row>
    <row r="446" spans="1:6" x14ac:dyDescent="0.35">
      <c r="A446" s="1">
        <v>2045</v>
      </c>
      <c r="B446" s="1">
        <v>37.484886633271543</v>
      </c>
      <c r="C446" s="1">
        <v>41.707672861260079</v>
      </c>
      <c r="D446" s="1">
        <v>49.898841295369728</v>
      </c>
      <c r="E446" s="1" t="s">
        <v>151</v>
      </c>
      <c r="F446" s="1">
        <v>4</v>
      </c>
    </row>
    <row r="447" spans="1:6" x14ac:dyDescent="0.35">
      <c r="A447" s="1">
        <v>2046</v>
      </c>
      <c r="B447" s="1">
        <v>37.659659201198728</v>
      </c>
      <c r="C447" s="1">
        <v>43.120195771474563</v>
      </c>
      <c r="D447" s="1">
        <v>50.38460576241129</v>
      </c>
      <c r="E447" s="1" t="s">
        <v>151</v>
      </c>
      <c r="F447" s="1">
        <v>4</v>
      </c>
    </row>
    <row r="448" spans="1:6" x14ac:dyDescent="0.35">
      <c r="A448" s="1">
        <v>2047</v>
      </c>
      <c r="B448" s="1">
        <v>51.097285825149982</v>
      </c>
      <c r="C448" s="1">
        <v>56.084722231999997</v>
      </c>
      <c r="D448" s="1">
        <v>56.084722231999997</v>
      </c>
      <c r="E448" s="1" t="s">
        <v>151</v>
      </c>
      <c r="F448" s="1">
        <v>4</v>
      </c>
    </row>
    <row r="449" spans="1:6" x14ac:dyDescent="0.35">
      <c r="A449" s="1">
        <v>2048</v>
      </c>
      <c r="B449" s="1">
        <v>46.81066473699309</v>
      </c>
      <c r="C449" s="1">
        <v>52.834744138995603</v>
      </c>
      <c r="D449" s="1">
        <v>55.57630437841425</v>
      </c>
      <c r="E449" s="1" t="s">
        <v>151</v>
      </c>
      <c r="F449" s="1">
        <v>4</v>
      </c>
    </row>
    <row r="450" spans="1:6" x14ac:dyDescent="0.35">
      <c r="A450" s="1">
        <v>2049</v>
      </c>
      <c r="B450" s="1">
        <v>56.084722231999997</v>
      </c>
      <c r="C450" s="1">
        <v>56.084722231999997</v>
      </c>
      <c r="D450" s="1">
        <v>56.084722231999997</v>
      </c>
      <c r="E450" s="1" t="s">
        <v>151</v>
      </c>
      <c r="F450" s="1">
        <v>4</v>
      </c>
    </row>
    <row r="451" spans="1:6" x14ac:dyDescent="0.35">
      <c r="A451" s="1">
        <v>2050</v>
      </c>
      <c r="B451" s="1">
        <v>50.157295566239192</v>
      </c>
      <c r="C451" s="1">
        <v>53.952330849250387</v>
      </c>
      <c r="D451" s="1">
        <v>56.084722231999997</v>
      </c>
      <c r="E451" s="1" t="s">
        <v>151</v>
      </c>
      <c r="F451" s="1">
        <v>4</v>
      </c>
    </row>
    <row r="452" spans="1:6" x14ac:dyDescent="0.35">
      <c r="A452" s="1">
        <v>2026</v>
      </c>
      <c r="B452" s="1">
        <v>25.090846423331129</v>
      </c>
      <c r="C452" s="1">
        <v>26.27855898663778</v>
      </c>
      <c r="D452" s="1">
        <v>26.42276171722234</v>
      </c>
      <c r="E452" s="1" t="s">
        <v>152</v>
      </c>
      <c r="F452" s="1">
        <v>4</v>
      </c>
    </row>
    <row r="453" spans="1:6" x14ac:dyDescent="0.35">
      <c r="A453" s="1">
        <v>2027</v>
      </c>
      <c r="B453" s="1">
        <v>24.790992137696289</v>
      </c>
      <c r="C453" s="1">
        <v>26.31155266317753</v>
      </c>
      <c r="D453" s="1">
        <v>25.10967624025389</v>
      </c>
      <c r="E453" s="1" t="s">
        <v>152</v>
      </c>
      <c r="F453" s="1">
        <v>4</v>
      </c>
    </row>
    <row r="454" spans="1:6" x14ac:dyDescent="0.35">
      <c r="A454" s="1">
        <v>2028</v>
      </c>
      <c r="B454" s="1">
        <v>24.586900538499851</v>
      </c>
      <c r="C454" s="1">
        <v>25.36814579875195</v>
      </c>
      <c r="D454" s="1">
        <v>25.327629778589699</v>
      </c>
      <c r="E454" s="1" t="s">
        <v>152</v>
      </c>
      <c r="F454" s="1">
        <v>4</v>
      </c>
    </row>
    <row r="455" spans="1:6" x14ac:dyDescent="0.35">
      <c r="A455" s="1">
        <v>2029</v>
      </c>
      <c r="B455" s="1">
        <v>33.673553536985708</v>
      </c>
      <c r="C455" s="1">
        <v>34.563210696647729</v>
      </c>
      <c r="D455" s="1">
        <v>35.078801975825748</v>
      </c>
      <c r="E455" s="1" t="s">
        <v>152</v>
      </c>
      <c r="F455" s="1">
        <v>4</v>
      </c>
    </row>
    <row r="456" spans="1:6" x14ac:dyDescent="0.35">
      <c r="A456" s="1">
        <v>2030</v>
      </c>
      <c r="B456" s="1">
        <v>30.502841778237531</v>
      </c>
      <c r="C456" s="1">
        <v>32.050123949467007</v>
      </c>
      <c r="D456" s="1">
        <v>35.072254547471921</v>
      </c>
      <c r="E456" s="1" t="s">
        <v>152</v>
      </c>
      <c r="F456" s="1">
        <v>4</v>
      </c>
    </row>
    <row r="457" spans="1:6" x14ac:dyDescent="0.35">
      <c r="A457" s="1">
        <v>2031</v>
      </c>
      <c r="B457" s="1">
        <v>30.37566608167818</v>
      </c>
      <c r="C457" s="1">
        <v>32.720442543377573</v>
      </c>
      <c r="D457" s="1">
        <v>35.188005210938982</v>
      </c>
      <c r="E457" s="1" t="s">
        <v>152</v>
      </c>
      <c r="F457" s="1">
        <v>4</v>
      </c>
    </row>
    <row r="458" spans="1:6" x14ac:dyDescent="0.35">
      <c r="A458" s="1">
        <v>2032</v>
      </c>
      <c r="B458" s="1">
        <v>30.265650533565349</v>
      </c>
      <c r="C458" s="1">
        <v>32.168078680348067</v>
      </c>
      <c r="D458" s="1">
        <v>35.750776279590717</v>
      </c>
      <c r="E458" s="1" t="s">
        <v>152</v>
      </c>
      <c r="F458" s="1">
        <v>4</v>
      </c>
    </row>
    <row r="459" spans="1:6" x14ac:dyDescent="0.35">
      <c r="A459" s="1">
        <v>2033</v>
      </c>
      <c r="B459" s="1">
        <v>29.897936003040108</v>
      </c>
      <c r="C459" s="1">
        <v>31.30535610846524</v>
      </c>
      <c r="D459" s="1">
        <v>35.788066885549</v>
      </c>
      <c r="E459" s="1" t="s">
        <v>152</v>
      </c>
      <c r="F459" s="1">
        <v>4</v>
      </c>
    </row>
    <row r="460" spans="1:6" x14ac:dyDescent="0.35">
      <c r="A460" s="1">
        <v>2034</v>
      </c>
      <c r="B460" s="1">
        <v>40.974098579169322</v>
      </c>
      <c r="C460" s="1">
        <v>43.311921927930918</v>
      </c>
      <c r="D460" s="1">
        <v>47.955406107408251</v>
      </c>
      <c r="E460" s="1" t="s">
        <v>152</v>
      </c>
      <c r="F460" s="1">
        <v>4</v>
      </c>
    </row>
    <row r="461" spans="1:6" x14ac:dyDescent="0.35">
      <c r="A461" s="1">
        <v>2035</v>
      </c>
      <c r="B461" s="1">
        <v>37.99656452290963</v>
      </c>
      <c r="C461" s="1">
        <v>43.094048145810802</v>
      </c>
      <c r="D461" s="1">
        <v>45.974868157917669</v>
      </c>
      <c r="E461" s="1" t="s">
        <v>152</v>
      </c>
      <c r="F461" s="1">
        <v>4</v>
      </c>
    </row>
    <row r="462" spans="1:6" x14ac:dyDescent="0.35">
      <c r="A462" s="1">
        <v>2036</v>
      </c>
      <c r="B462" s="1">
        <v>37.48109599714207</v>
      </c>
      <c r="C462" s="1">
        <v>43.555174528653687</v>
      </c>
      <c r="D462" s="1">
        <v>46.737348487025649</v>
      </c>
      <c r="E462" s="1" t="s">
        <v>152</v>
      </c>
      <c r="F462" s="1">
        <v>4</v>
      </c>
    </row>
    <row r="463" spans="1:6" x14ac:dyDescent="0.35">
      <c r="A463" s="1">
        <v>2037</v>
      </c>
      <c r="B463" s="1">
        <v>38.408533430010088</v>
      </c>
      <c r="C463" s="1">
        <v>43.308921165838143</v>
      </c>
      <c r="D463" s="1">
        <v>46.475809818862587</v>
      </c>
      <c r="E463" s="1" t="s">
        <v>152</v>
      </c>
      <c r="F463" s="1">
        <v>4</v>
      </c>
    </row>
    <row r="464" spans="1:6" x14ac:dyDescent="0.35">
      <c r="A464" s="1">
        <v>2038</v>
      </c>
      <c r="B464" s="1">
        <v>37.489457457057782</v>
      </c>
      <c r="C464" s="1">
        <v>42.303668509175871</v>
      </c>
      <c r="D464" s="1">
        <v>48.255482571529747</v>
      </c>
      <c r="E464" s="1" t="s">
        <v>152</v>
      </c>
      <c r="F464" s="1">
        <v>4</v>
      </c>
    </row>
    <row r="465" spans="1:6" x14ac:dyDescent="0.35">
      <c r="A465" s="1">
        <v>2039</v>
      </c>
      <c r="B465" s="1">
        <v>50.164826090376188</v>
      </c>
      <c r="C465" s="1">
        <v>56.084722231999997</v>
      </c>
      <c r="D465" s="1">
        <v>56.084722231999997</v>
      </c>
      <c r="E465" s="1" t="s">
        <v>152</v>
      </c>
      <c r="F465" s="1">
        <v>4</v>
      </c>
    </row>
    <row r="466" spans="1:6" x14ac:dyDescent="0.35">
      <c r="A466" s="1">
        <v>2040</v>
      </c>
      <c r="B466" s="1">
        <v>48.499734577047242</v>
      </c>
      <c r="C466" s="1">
        <v>51.195638734434027</v>
      </c>
      <c r="D466" s="1">
        <v>56.084722231999997</v>
      </c>
      <c r="E466" s="1" t="s">
        <v>152</v>
      </c>
      <c r="F466" s="1">
        <v>4</v>
      </c>
    </row>
    <row r="467" spans="1:6" x14ac:dyDescent="0.35">
      <c r="A467" s="1">
        <v>2041</v>
      </c>
      <c r="B467" s="1">
        <v>47.637496031868388</v>
      </c>
      <c r="C467" s="1">
        <v>51.165205621831973</v>
      </c>
      <c r="D467" s="1">
        <v>56.084722231999997</v>
      </c>
      <c r="E467" s="1" t="s">
        <v>152</v>
      </c>
      <c r="F467" s="1">
        <v>4</v>
      </c>
    </row>
    <row r="468" spans="1:6" x14ac:dyDescent="0.35">
      <c r="A468" s="1">
        <v>2042</v>
      </c>
      <c r="B468" s="1">
        <v>47.81502563156797</v>
      </c>
      <c r="C468" s="1">
        <v>51.833351418837999</v>
      </c>
      <c r="D468" s="1">
        <v>54.611145903779999</v>
      </c>
      <c r="E468" s="1" t="s">
        <v>152</v>
      </c>
      <c r="F468" s="1">
        <v>4</v>
      </c>
    </row>
    <row r="469" spans="1:6" x14ac:dyDescent="0.35">
      <c r="A469" s="1">
        <v>2043</v>
      </c>
      <c r="B469" s="1">
        <v>46.873622947386409</v>
      </c>
      <c r="C469" s="1">
        <v>52.332075368309468</v>
      </c>
      <c r="D469" s="1">
        <v>54.352953369848137</v>
      </c>
      <c r="E469" s="1" t="s">
        <v>152</v>
      </c>
      <c r="F469" s="1">
        <v>4</v>
      </c>
    </row>
    <row r="470" spans="1:6" x14ac:dyDescent="0.35">
      <c r="A470" s="1">
        <v>2044</v>
      </c>
      <c r="B470" s="1">
        <v>47.946533498891327</v>
      </c>
      <c r="C470" s="1">
        <v>51.594413531826341</v>
      </c>
      <c r="D470" s="1">
        <v>53.944065286130837</v>
      </c>
      <c r="E470" s="1" t="s">
        <v>152</v>
      </c>
      <c r="F470" s="1">
        <v>4</v>
      </c>
    </row>
    <row r="471" spans="1:6" x14ac:dyDescent="0.35">
      <c r="A471" s="1">
        <v>2045</v>
      </c>
      <c r="B471" s="1">
        <v>47.062824184883759</v>
      </c>
      <c r="C471" s="1">
        <v>51.958547543144249</v>
      </c>
      <c r="D471" s="1">
        <v>56.084722231999997</v>
      </c>
      <c r="E471" s="1" t="s">
        <v>152</v>
      </c>
      <c r="F471" s="1">
        <v>4</v>
      </c>
    </row>
    <row r="472" spans="1:6" x14ac:dyDescent="0.35">
      <c r="A472" s="1">
        <v>2046</v>
      </c>
      <c r="B472" s="1">
        <v>56.084722231999997</v>
      </c>
      <c r="C472" s="1">
        <v>56.084722231999997</v>
      </c>
      <c r="D472" s="1">
        <v>56.084722231999997</v>
      </c>
      <c r="E472" s="1" t="s">
        <v>152</v>
      </c>
      <c r="F472" s="1">
        <v>4</v>
      </c>
    </row>
    <row r="473" spans="1:6" x14ac:dyDescent="0.35">
      <c r="A473" s="1">
        <v>2047</v>
      </c>
      <c r="B473" s="1">
        <v>50.260818475869847</v>
      </c>
      <c r="C473" s="1">
        <v>54.913836884174607</v>
      </c>
      <c r="D473" s="1">
        <v>56.084722231999997</v>
      </c>
      <c r="E473" s="1" t="s">
        <v>152</v>
      </c>
      <c r="F473" s="1">
        <v>4</v>
      </c>
    </row>
    <row r="474" spans="1:6" x14ac:dyDescent="0.35">
      <c r="A474" s="1">
        <v>2048</v>
      </c>
      <c r="B474" s="1">
        <v>49.793002880066297</v>
      </c>
      <c r="C474" s="1">
        <v>53.856710188984842</v>
      </c>
      <c r="D474" s="1">
        <v>56.084722231999997</v>
      </c>
      <c r="E474" s="1" t="s">
        <v>152</v>
      </c>
      <c r="F474" s="1">
        <v>4</v>
      </c>
    </row>
    <row r="475" spans="1:6" x14ac:dyDescent="0.35">
      <c r="A475" s="1">
        <v>2049</v>
      </c>
      <c r="B475" s="1">
        <v>49.659531314982367</v>
      </c>
      <c r="C475" s="1">
        <v>53.802767005922028</v>
      </c>
      <c r="D475" s="1">
        <v>56.084722231999997</v>
      </c>
      <c r="E475" s="1" t="s">
        <v>152</v>
      </c>
      <c r="F475" s="1">
        <v>4</v>
      </c>
    </row>
    <row r="476" spans="1:6" x14ac:dyDescent="0.35">
      <c r="A476" s="1">
        <v>2050</v>
      </c>
      <c r="B476" s="1">
        <v>50.282950714490973</v>
      </c>
      <c r="C476" s="1">
        <v>53.928076472243802</v>
      </c>
      <c r="D476" s="1">
        <v>56.084722231999997</v>
      </c>
      <c r="E476" s="1" t="s">
        <v>152</v>
      </c>
      <c r="F476" s="1">
        <v>4</v>
      </c>
    </row>
    <row r="477" spans="1:6" x14ac:dyDescent="0.35">
      <c r="A477" s="1">
        <v>2026</v>
      </c>
      <c r="B477" s="1">
        <v>24.34802412281654</v>
      </c>
      <c r="C477" s="1">
        <v>25.52129229758706</v>
      </c>
      <c r="D477" s="1">
        <v>25.95533425523417</v>
      </c>
      <c r="E477" s="1" t="s">
        <v>153</v>
      </c>
      <c r="F477" s="1">
        <v>4</v>
      </c>
    </row>
    <row r="478" spans="1:6" x14ac:dyDescent="0.35">
      <c r="A478" s="1">
        <v>2027</v>
      </c>
      <c r="B478" s="1">
        <v>32.22832825114736</v>
      </c>
      <c r="C478" s="1">
        <v>33.672242141590253</v>
      </c>
      <c r="D478" s="1">
        <v>34.971047669724243</v>
      </c>
      <c r="E478" s="1" t="s">
        <v>153</v>
      </c>
      <c r="F478" s="1">
        <v>4</v>
      </c>
    </row>
    <row r="479" spans="1:6" x14ac:dyDescent="0.35">
      <c r="A479" s="1">
        <v>2028</v>
      </c>
      <c r="B479" s="1">
        <v>31.554564171513309</v>
      </c>
      <c r="C479" s="1">
        <v>30.951152388676579</v>
      </c>
      <c r="D479" s="1">
        <v>34.634016584770592</v>
      </c>
      <c r="E479" s="1" t="s">
        <v>153</v>
      </c>
      <c r="F479" s="1">
        <v>4</v>
      </c>
    </row>
    <row r="480" spans="1:6" x14ac:dyDescent="0.35">
      <c r="A480" s="1">
        <v>2029</v>
      </c>
      <c r="B480" s="1">
        <v>30.712299793607041</v>
      </c>
      <c r="C480" s="1">
        <v>32.981979130214093</v>
      </c>
      <c r="D480" s="1">
        <v>35.855372476211748</v>
      </c>
      <c r="E480" s="1" t="s">
        <v>153</v>
      </c>
      <c r="F480" s="1">
        <v>4</v>
      </c>
    </row>
    <row r="481" spans="1:6" x14ac:dyDescent="0.35">
      <c r="A481" s="1">
        <v>2030</v>
      </c>
      <c r="B481" s="1">
        <v>30.364137890561111</v>
      </c>
      <c r="C481" s="1">
        <v>33.057112885826839</v>
      </c>
      <c r="D481" s="1">
        <v>35.004453989167622</v>
      </c>
      <c r="E481" s="1" t="s">
        <v>153</v>
      </c>
      <c r="F481" s="1">
        <v>4</v>
      </c>
    </row>
    <row r="482" spans="1:6" x14ac:dyDescent="0.35">
      <c r="A482" s="1">
        <v>2031</v>
      </c>
      <c r="B482" s="1">
        <v>31.188827503295389</v>
      </c>
      <c r="C482" s="1">
        <v>32.303813886207308</v>
      </c>
      <c r="D482" s="1">
        <v>36.779039436911347</v>
      </c>
      <c r="E482" s="1" t="s">
        <v>153</v>
      </c>
      <c r="F482" s="1">
        <v>4</v>
      </c>
    </row>
    <row r="483" spans="1:6" x14ac:dyDescent="0.35">
      <c r="A483" s="1">
        <v>2032</v>
      </c>
      <c r="B483" s="1">
        <v>41.317664201667981</v>
      </c>
      <c r="C483" s="1">
        <v>44.062512163376169</v>
      </c>
      <c r="D483" s="1">
        <v>49.420950883246178</v>
      </c>
      <c r="E483" s="1" t="s">
        <v>153</v>
      </c>
      <c r="F483" s="1">
        <v>4</v>
      </c>
    </row>
    <row r="484" spans="1:6" x14ac:dyDescent="0.35">
      <c r="A484" s="1">
        <v>2033</v>
      </c>
      <c r="B484" s="1">
        <v>38.20532715891914</v>
      </c>
      <c r="C484" s="1">
        <v>41.673690417735692</v>
      </c>
      <c r="D484" s="1">
        <v>46.170796861122433</v>
      </c>
      <c r="E484" s="1" t="s">
        <v>153</v>
      </c>
      <c r="F484" s="1">
        <v>4</v>
      </c>
    </row>
    <row r="485" spans="1:6" x14ac:dyDescent="0.35">
      <c r="A485" s="1">
        <v>2034</v>
      </c>
      <c r="B485" s="1">
        <v>38.249915470243323</v>
      </c>
      <c r="C485" s="1">
        <v>41.766815594218308</v>
      </c>
      <c r="D485" s="1">
        <v>46.653205076765133</v>
      </c>
      <c r="E485" s="1" t="s">
        <v>153</v>
      </c>
      <c r="F485" s="1">
        <v>4</v>
      </c>
    </row>
    <row r="486" spans="1:6" x14ac:dyDescent="0.35">
      <c r="A486" s="1">
        <v>2035</v>
      </c>
      <c r="B486" s="1">
        <v>37.703355084877757</v>
      </c>
      <c r="C486" s="1">
        <v>41.273035981266112</v>
      </c>
      <c r="D486" s="1">
        <v>46.613028235940902</v>
      </c>
      <c r="E486" s="1" t="s">
        <v>153</v>
      </c>
      <c r="F486" s="1">
        <v>4</v>
      </c>
    </row>
    <row r="487" spans="1:6" x14ac:dyDescent="0.35">
      <c r="A487" s="1">
        <v>2036</v>
      </c>
      <c r="B487" s="1">
        <v>37.826632322402247</v>
      </c>
      <c r="C487" s="1">
        <v>41.858963886186743</v>
      </c>
      <c r="D487" s="1">
        <v>47.839994455313239</v>
      </c>
      <c r="E487" s="1" t="s">
        <v>153</v>
      </c>
      <c r="F487" s="1">
        <v>4</v>
      </c>
    </row>
    <row r="488" spans="1:6" x14ac:dyDescent="0.35">
      <c r="A488" s="1">
        <v>2037</v>
      </c>
      <c r="B488" s="1">
        <v>50.583435876390539</v>
      </c>
      <c r="C488" s="1">
        <v>56.084722231999997</v>
      </c>
      <c r="D488" s="1">
        <v>56.084722231999997</v>
      </c>
      <c r="E488" s="1" t="s">
        <v>153</v>
      </c>
      <c r="F488" s="1">
        <v>4</v>
      </c>
    </row>
    <row r="489" spans="1:6" x14ac:dyDescent="0.35">
      <c r="A489" s="1">
        <v>2038</v>
      </c>
      <c r="B489" s="1">
        <v>46.617399797199077</v>
      </c>
      <c r="C489" s="1">
        <v>51.694649642698828</v>
      </c>
      <c r="D489" s="1">
        <v>56.084722231999997</v>
      </c>
      <c r="E489" s="1" t="s">
        <v>153</v>
      </c>
      <c r="F489" s="1">
        <v>4</v>
      </c>
    </row>
    <row r="490" spans="1:6" x14ac:dyDescent="0.35">
      <c r="A490" s="1">
        <v>2039</v>
      </c>
      <c r="B490" s="1">
        <v>46.163931008403033</v>
      </c>
      <c r="C490" s="1">
        <v>53.155392806858913</v>
      </c>
      <c r="D490" s="1">
        <v>56.084722231999997</v>
      </c>
      <c r="E490" s="1" t="s">
        <v>153</v>
      </c>
      <c r="F490" s="1">
        <v>4</v>
      </c>
    </row>
    <row r="491" spans="1:6" x14ac:dyDescent="0.35">
      <c r="A491" s="1">
        <v>2040</v>
      </c>
      <c r="B491" s="1">
        <v>46.473455064352692</v>
      </c>
      <c r="C491" s="1">
        <v>52.752320620675853</v>
      </c>
      <c r="D491" s="1">
        <v>56.029774110316453</v>
      </c>
      <c r="E491" s="1" t="s">
        <v>153</v>
      </c>
      <c r="F491" s="1">
        <v>4</v>
      </c>
    </row>
    <row r="492" spans="1:6" x14ac:dyDescent="0.35">
      <c r="A492" s="1">
        <v>2041</v>
      </c>
      <c r="B492" s="1">
        <v>46.652437372919387</v>
      </c>
      <c r="C492" s="1">
        <v>51.192428178042221</v>
      </c>
      <c r="D492" s="1">
        <v>56.084722231999997</v>
      </c>
      <c r="E492" s="1" t="s">
        <v>153</v>
      </c>
      <c r="F492" s="1">
        <v>4</v>
      </c>
    </row>
    <row r="493" spans="1:6" x14ac:dyDescent="0.35">
      <c r="A493" s="1">
        <v>2042</v>
      </c>
      <c r="B493" s="1">
        <v>56.084722231999997</v>
      </c>
      <c r="C493" s="1">
        <v>56.084722231999997</v>
      </c>
      <c r="D493" s="1">
        <v>56.084722231999997</v>
      </c>
      <c r="E493" s="1" t="s">
        <v>153</v>
      </c>
      <c r="F493" s="1">
        <v>4</v>
      </c>
    </row>
    <row r="494" spans="1:6" x14ac:dyDescent="0.35">
      <c r="A494" s="1">
        <v>2043</v>
      </c>
      <c r="B494" s="1">
        <v>51.883449990165779</v>
      </c>
      <c r="C494" s="1">
        <v>52.268086855631907</v>
      </c>
      <c r="D494" s="1">
        <v>56.084722231999997</v>
      </c>
      <c r="E494" s="1" t="s">
        <v>153</v>
      </c>
      <c r="F494" s="1">
        <v>4</v>
      </c>
    </row>
    <row r="495" spans="1:6" x14ac:dyDescent="0.35">
      <c r="A495" s="1">
        <v>2044</v>
      </c>
      <c r="B495" s="1">
        <v>52.178088215936469</v>
      </c>
      <c r="C495" s="1">
        <v>53.284718945324038</v>
      </c>
      <c r="D495" s="1">
        <v>55.94801388569779</v>
      </c>
      <c r="E495" s="1" t="s">
        <v>153</v>
      </c>
      <c r="F495" s="1">
        <v>4</v>
      </c>
    </row>
    <row r="496" spans="1:6" x14ac:dyDescent="0.35">
      <c r="A496" s="1">
        <v>2045</v>
      </c>
      <c r="B496" s="1">
        <v>50.922633432498507</v>
      </c>
      <c r="C496" s="1">
        <v>54.58963727073597</v>
      </c>
      <c r="D496" s="1">
        <v>54.745748256936658</v>
      </c>
      <c r="E496" s="1" t="s">
        <v>153</v>
      </c>
      <c r="F496" s="1">
        <v>4</v>
      </c>
    </row>
    <row r="497" spans="1:6" x14ac:dyDescent="0.35">
      <c r="A497" s="1">
        <v>2046</v>
      </c>
      <c r="B497" s="1">
        <v>50.109388945615073</v>
      </c>
      <c r="C497" s="1">
        <v>54.717535067766811</v>
      </c>
      <c r="D497" s="1">
        <v>55.057926376443902</v>
      </c>
      <c r="E497" s="1" t="s">
        <v>153</v>
      </c>
      <c r="F497" s="1">
        <v>4</v>
      </c>
    </row>
    <row r="498" spans="1:6" x14ac:dyDescent="0.35">
      <c r="A498" s="1">
        <v>2047</v>
      </c>
      <c r="B498" s="1">
        <v>50.133694891666771</v>
      </c>
      <c r="C498" s="1">
        <v>53.742166674283709</v>
      </c>
      <c r="D498" s="1">
        <v>55.212530023978189</v>
      </c>
      <c r="E498" s="1" t="s">
        <v>153</v>
      </c>
      <c r="F498" s="1">
        <v>4</v>
      </c>
    </row>
    <row r="499" spans="1:6" x14ac:dyDescent="0.35">
      <c r="A499" s="1">
        <v>2048</v>
      </c>
      <c r="B499" s="1">
        <v>48.807930107150469</v>
      </c>
      <c r="C499" s="1">
        <v>53.151312959221897</v>
      </c>
      <c r="D499" s="1">
        <v>55.813305149413551</v>
      </c>
      <c r="E499" s="1" t="s">
        <v>153</v>
      </c>
      <c r="F499" s="1">
        <v>4</v>
      </c>
    </row>
    <row r="500" spans="1:6" x14ac:dyDescent="0.35">
      <c r="A500" s="1">
        <v>2049</v>
      </c>
      <c r="B500" s="1">
        <v>49.373799128840787</v>
      </c>
      <c r="C500" s="1">
        <v>53.4390216723585</v>
      </c>
      <c r="D500" s="1">
        <v>55.5558355304277</v>
      </c>
      <c r="E500" s="1" t="s">
        <v>153</v>
      </c>
      <c r="F500" s="1">
        <v>4</v>
      </c>
    </row>
    <row r="501" spans="1:6" x14ac:dyDescent="0.35">
      <c r="A501" s="1">
        <v>2050</v>
      </c>
      <c r="B501" s="1">
        <v>49.371994439854298</v>
      </c>
      <c r="C501" s="1">
        <v>53.73048726745742</v>
      </c>
      <c r="D501" s="1">
        <v>54.394478925683217</v>
      </c>
      <c r="E501" s="1" t="s">
        <v>153</v>
      </c>
      <c r="F501" s="1">
        <v>4</v>
      </c>
    </row>
    <row r="502" spans="1:6" x14ac:dyDescent="0.35">
      <c r="A502" s="1">
        <v>2026</v>
      </c>
      <c r="B502" s="1">
        <v>34.278794108621661</v>
      </c>
      <c r="C502" s="1">
        <v>33.151432662127661</v>
      </c>
      <c r="D502" s="1">
        <v>34.690403353241649</v>
      </c>
      <c r="E502" s="1" t="s">
        <v>154</v>
      </c>
      <c r="F502" s="1">
        <v>5</v>
      </c>
    </row>
    <row r="503" spans="1:6" x14ac:dyDescent="0.35">
      <c r="A503" s="1">
        <v>2027</v>
      </c>
      <c r="B503" s="1">
        <v>31.758776403414331</v>
      </c>
      <c r="C503" s="1">
        <v>32.249917820297412</v>
      </c>
      <c r="D503" s="1">
        <v>34.781766350334451</v>
      </c>
      <c r="E503" s="1" t="s">
        <v>154</v>
      </c>
      <c r="F503" s="1">
        <v>5</v>
      </c>
    </row>
    <row r="504" spans="1:6" x14ac:dyDescent="0.35">
      <c r="A504" s="1">
        <v>2028</v>
      </c>
      <c r="B504" s="1">
        <v>42.793148232053113</v>
      </c>
      <c r="C504" s="1">
        <v>44.671027082337723</v>
      </c>
      <c r="D504" s="1">
        <v>48.499774032202112</v>
      </c>
      <c r="E504" s="1" t="s">
        <v>154</v>
      </c>
      <c r="F504" s="1">
        <v>5</v>
      </c>
    </row>
    <row r="505" spans="1:6" x14ac:dyDescent="0.35">
      <c r="A505" s="1">
        <v>2029</v>
      </c>
      <c r="B505" s="1">
        <v>39.421775047001667</v>
      </c>
      <c r="C505" s="1">
        <v>41.965748758210502</v>
      </c>
      <c r="D505" s="1">
        <v>45.484465654133011</v>
      </c>
      <c r="E505" s="1" t="s">
        <v>154</v>
      </c>
      <c r="F505" s="1">
        <v>5</v>
      </c>
    </row>
    <row r="506" spans="1:6" x14ac:dyDescent="0.35">
      <c r="A506" s="1">
        <v>2030</v>
      </c>
      <c r="B506" s="1">
        <v>38.379692966616339</v>
      </c>
      <c r="C506" s="1">
        <v>42.272957104158053</v>
      </c>
      <c r="D506" s="1">
        <v>45.249045475745781</v>
      </c>
      <c r="E506" s="1" t="s">
        <v>154</v>
      </c>
      <c r="F506" s="1">
        <v>5</v>
      </c>
    </row>
    <row r="507" spans="1:6" x14ac:dyDescent="0.35">
      <c r="A507" s="1">
        <v>2031</v>
      </c>
      <c r="B507" s="1">
        <v>38.081305957775129</v>
      </c>
      <c r="C507" s="1">
        <v>42.101936153180382</v>
      </c>
      <c r="D507" s="1">
        <v>46.615441255392888</v>
      </c>
      <c r="E507" s="1" t="s">
        <v>154</v>
      </c>
      <c r="F507" s="1">
        <v>5</v>
      </c>
    </row>
    <row r="508" spans="1:6" x14ac:dyDescent="0.35">
      <c r="A508" s="1">
        <v>2032</v>
      </c>
      <c r="B508" s="1">
        <v>38.001782785819849</v>
      </c>
      <c r="C508" s="1">
        <v>42.120345443408972</v>
      </c>
      <c r="D508" s="1">
        <v>47.398700592658592</v>
      </c>
      <c r="E508" s="1" t="s">
        <v>154</v>
      </c>
      <c r="F508" s="1">
        <v>5</v>
      </c>
    </row>
    <row r="509" spans="1:6" x14ac:dyDescent="0.35">
      <c r="A509" s="1">
        <v>2033</v>
      </c>
      <c r="B509" s="1">
        <v>37.980727333347062</v>
      </c>
      <c r="C509" s="1">
        <v>42.37356697377853</v>
      </c>
      <c r="D509" s="1">
        <v>48.213600042889937</v>
      </c>
      <c r="E509" s="1" t="s">
        <v>154</v>
      </c>
      <c r="F509" s="1">
        <v>5</v>
      </c>
    </row>
    <row r="510" spans="1:6" x14ac:dyDescent="0.35">
      <c r="A510" s="1">
        <v>2034</v>
      </c>
      <c r="B510" s="1">
        <v>50.537948693445387</v>
      </c>
      <c r="C510" s="1">
        <v>56.084722231999997</v>
      </c>
      <c r="D510" s="1">
        <v>56.084722231999997</v>
      </c>
      <c r="E510" s="1" t="s">
        <v>154</v>
      </c>
      <c r="F510" s="1">
        <v>5</v>
      </c>
    </row>
    <row r="511" spans="1:6" x14ac:dyDescent="0.35">
      <c r="A511" s="1">
        <v>2035</v>
      </c>
      <c r="B511" s="1">
        <v>47.809515095095861</v>
      </c>
      <c r="C511" s="1">
        <v>53.048620963802939</v>
      </c>
      <c r="D511" s="1">
        <v>54.988314908611272</v>
      </c>
      <c r="E511" s="1" t="s">
        <v>154</v>
      </c>
      <c r="F511" s="1">
        <v>5</v>
      </c>
    </row>
    <row r="512" spans="1:6" x14ac:dyDescent="0.35">
      <c r="A512" s="1">
        <v>2036</v>
      </c>
      <c r="B512" s="1">
        <v>47.303217407133637</v>
      </c>
      <c r="C512" s="1">
        <v>52.272473924206118</v>
      </c>
      <c r="D512" s="1">
        <v>56.084722231999997</v>
      </c>
      <c r="E512" s="1" t="s">
        <v>154</v>
      </c>
      <c r="F512" s="1">
        <v>5</v>
      </c>
    </row>
    <row r="513" spans="1:6" x14ac:dyDescent="0.35">
      <c r="A513" s="1">
        <v>2037</v>
      </c>
      <c r="B513" s="1">
        <v>47.0982597800242</v>
      </c>
      <c r="C513" s="1">
        <v>53.219429886763947</v>
      </c>
      <c r="D513" s="1">
        <v>56.084722231999997</v>
      </c>
      <c r="E513" s="1" t="s">
        <v>154</v>
      </c>
      <c r="F513" s="1">
        <v>5</v>
      </c>
    </row>
    <row r="514" spans="1:6" x14ac:dyDescent="0.35">
      <c r="A514" s="1">
        <v>2038</v>
      </c>
      <c r="B514" s="1">
        <v>48.383548464660898</v>
      </c>
      <c r="C514" s="1">
        <v>53.340688094022383</v>
      </c>
      <c r="D514" s="1">
        <v>56.084722231999997</v>
      </c>
      <c r="E514" s="1" t="s">
        <v>154</v>
      </c>
      <c r="F514" s="1">
        <v>5</v>
      </c>
    </row>
    <row r="515" spans="1:6" x14ac:dyDescent="0.35">
      <c r="A515" s="1">
        <v>2039</v>
      </c>
      <c r="B515" s="1">
        <v>46.546020579974822</v>
      </c>
      <c r="C515" s="1">
        <v>53.701151884086777</v>
      </c>
      <c r="D515" s="1">
        <v>56.009389847946672</v>
      </c>
      <c r="E515" s="1" t="s">
        <v>154</v>
      </c>
      <c r="F515" s="1">
        <v>5</v>
      </c>
    </row>
    <row r="516" spans="1:6" x14ac:dyDescent="0.35">
      <c r="A516" s="1">
        <v>2040</v>
      </c>
      <c r="B516" s="1">
        <v>46.274508151961179</v>
      </c>
      <c r="C516" s="1">
        <v>53.083836645759213</v>
      </c>
      <c r="D516" s="1">
        <v>55.11221514669095</v>
      </c>
      <c r="E516" s="1" t="s">
        <v>154</v>
      </c>
      <c r="F516" s="1">
        <v>5</v>
      </c>
    </row>
    <row r="517" spans="1:6" x14ac:dyDescent="0.35">
      <c r="A517" s="1">
        <v>2041</v>
      </c>
      <c r="B517" s="1">
        <v>56.084722231999997</v>
      </c>
      <c r="C517" s="1">
        <v>56.084722231999997</v>
      </c>
      <c r="D517" s="1">
        <v>56.084722231999997</v>
      </c>
      <c r="E517" s="1" t="s">
        <v>154</v>
      </c>
      <c r="F517" s="1">
        <v>5</v>
      </c>
    </row>
    <row r="518" spans="1:6" x14ac:dyDescent="0.35">
      <c r="A518" s="1">
        <v>2042</v>
      </c>
      <c r="B518" s="1">
        <v>47.47872212568106</v>
      </c>
      <c r="C518" s="1">
        <v>54.709588963130692</v>
      </c>
      <c r="D518" s="1">
        <v>55.56625951997308</v>
      </c>
      <c r="E518" s="1" t="s">
        <v>154</v>
      </c>
      <c r="F518" s="1">
        <v>5</v>
      </c>
    </row>
    <row r="519" spans="1:6" x14ac:dyDescent="0.35">
      <c r="A519" s="1">
        <v>2043</v>
      </c>
      <c r="B519" s="1">
        <v>56.084722231999997</v>
      </c>
      <c r="C519" s="1">
        <v>56.084722231999997</v>
      </c>
      <c r="D519" s="1">
        <v>56.084722231999997</v>
      </c>
      <c r="E519" s="1" t="s">
        <v>154</v>
      </c>
      <c r="F519" s="1">
        <v>5</v>
      </c>
    </row>
    <row r="520" spans="1:6" x14ac:dyDescent="0.35">
      <c r="A520" s="1">
        <v>2044</v>
      </c>
      <c r="B520" s="1">
        <v>51.39317067325954</v>
      </c>
      <c r="C520" s="1">
        <v>54.756127408681351</v>
      </c>
      <c r="D520" s="1">
        <v>56.084722231999997</v>
      </c>
      <c r="E520" s="1" t="s">
        <v>154</v>
      </c>
      <c r="F520" s="1">
        <v>5</v>
      </c>
    </row>
    <row r="521" spans="1:6" x14ac:dyDescent="0.35">
      <c r="A521" s="1">
        <v>2045</v>
      </c>
      <c r="B521" s="1">
        <v>50.525549511205817</v>
      </c>
      <c r="C521" s="1">
        <v>54.723622952144339</v>
      </c>
      <c r="D521" s="1">
        <v>56.084722231999997</v>
      </c>
      <c r="E521" s="1" t="s">
        <v>154</v>
      </c>
      <c r="F521" s="1">
        <v>5</v>
      </c>
    </row>
    <row r="522" spans="1:6" x14ac:dyDescent="0.35">
      <c r="A522" s="1">
        <v>2046</v>
      </c>
      <c r="B522" s="1">
        <v>49.955974275870972</v>
      </c>
      <c r="C522" s="1">
        <v>55.039332612974597</v>
      </c>
      <c r="D522" s="1">
        <v>55.919142874765413</v>
      </c>
      <c r="E522" s="1" t="s">
        <v>154</v>
      </c>
      <c r="F522" s="1">
        <v>5</v>
      </c>
    </row>
    <row r="523" spans="1:6" x14ac:dyDescent="0.35">
      <c r="A523" s="1">
        <v>2047</v>
      </c>
      <c r="B523" s="1">
        <v>50.61213339965154</v>
      </c>
      <c r="C523" s="1">
        <v>54.074482580585652</v>
      </c>
      <c r="D523" s="1">
        <v>55.716642402306157</v>
      </c>
      <c r="E523" s="1" t="s">
        <v>154</v>
      </c>
      <c r="F523" s="1">
        <v>5</v>
      </c>
    </row>
    <row r="524" spans="1:6" x14ac:dyDescent="0.35">
      <c r="A524" s="1">
        <v>2048</v>
      </c>
      <c r="B524" s="1">
        <v>48.183896252226504</v>
      </c>
      <c r="C524" s="1">
        <v>54.469639293669111</v>
      </c>
      <c r="D524" s="1">
        <v>55.670870657807477</v>
      </c>
      <c r="E524" s="1" t="s">
        <v>154</v>
      </c>
      <c r="F524" s="1">
        <v>5</v>
      </c>
    </row>
    <row r="525" spans="1:6" x14ac:dyDescent="0.35">
      <c r="A525" s="1">
        <v>2049</v>
      </c>
      <c r="B525" s="1">
        <v>47.946656925905991</v>
      </c>
      <c r="C525" s="1">
        <v>52.994987599784537</v>
      </c>
      <c r="D525" s="1">
        <v>53.93307393503035</v>
      </c>
      <c r="E525" s="1" t="s">
        <v>154</v>
      </c>
      <c r="F525" s="1">
        <v>5</v>
      </c>
    </row>
    <row r="526" spans="1:6" x14ac:dyDescent="0.35">
      <c r="A526" s="1">
        <v>2050</v>
      </c>
      <c r="B526" s="1">
        <v>47.235802306601542</v>
      </c>
      <c r="C526" s="1">
        <v>52.416433504323528</v>
      </c>
      <c r="D526" s="1">
        <v>53.333788212320812</v>
      </c>
      <c r="E526" s="1" t="s">
        <v>154</v>
      </c>
      <c r="F526" s="1">
        <v>5</v>
      </c>
    </row>
    <row r="527" spans="1:6" x14ac:dyDescent="0.35">
      <c r="A527" s="1">
        <v>2026</v>
      </c>
      <c r="B527" s="1">
        <v>25.947618390221301</v>
      </c>
      <c r="C527" s="1">
        <v>25.497998773124849</v>
      </c>
      <c r="D527" s="1">
        <v>26.47149957280223</v>
      </c>
      <c r="E527" s="1" t="s">
        <v>155</v>
      </c>
      <c r="F527" s="1">
        <v>5</v>
      </c>
    </row>
    <row r="528" spans="1:6" x14ac:dyDescent="0.35">
      <c r="A528" s="1">
        <v>2027</v>
      </c>
      <c r="B528" s="1">
        <v>25.749146424997448</v>
      </c>
      <c r="C528" s="1">
        <v>25.037688325710501</v>
      </c>
      <c r="D528" s="1">
        <v>26.117851131487441</v>
      </c>
      <c r="E528" s="1" t="s">
        <v>155</v>
      </c>
      <c r="F528" s="1">
        <v>5</v>
      </c>
    </row>
    <row r="529" spans="1:6" x14ac:dyDescent="0.35">
      <c r="A529" s="1">
        <v>2028</v>
      </c>
      <c r="B529" s="1">
        <v>24.66793035250566</v>
      </c>
      <c r="C529" s="1">
        <v>25.92949929648524</v>
      </c>
      <c r="D529" s="1">
        <v>26.696421380432</v>
      </c>
      <c r="E529" s="1" t="s">
        <v>155</v>
      </c>
      <c r="F529" s="1">
        <v>5</v>
      </c>
    </row>
    <row r="530" spans="1:6" x14ac:dyDescent="0.35">
      <c r="A530" s="1">
        <v>2029</v>
      </c>
      <c r="B530" s="1">
        <v>33.26633273142086</v>
      </c>
      <c r="C530" s="1">
        <v>35.40348107259581</v>
      </c>
      <c r="D530" s="1">
        <v>36.553031477757017</v>
      </c>
      <c r="E530" s="1" t="s">
        <v>155</v>
      </c>
      <c r="F530" s="1">
        <v>5</v>
      </c>
    </row>
    <row r="531" spans="1:6" x14ac:dyDescent="0.35">
      <c r="A531" s="1">
        <v>2030</v>
      </c>
      <c r="B531" s="1">
        <v>30.636803450111639</v>
      </c>
      <c r="C531" s="1">
        <v>33.261517932810648</v>
      </c>
      <c r="D531" s="1">
        <v>35.856444100251807</v>
      </c>
      <c r="E531" s="1" t="s">
        <v>155</v>
      </c>
      <c r="F531" s="1">
        <v>5</v>
      </c>
    </row>
    <row r="532" spans="1:6" x14ac:dyDescent="0.35">
      <c r="A532" s="1">
        <v>2031</v>
      </c>
      <c r="B532" s="1">
        <v>41.47645337187879</v>
      </c>
      <c r="C532" s="1">
        <v>44.913136408512358</v>
      </c>
      <c r="D532" s="1">
        <v>48.930224768896792</v>
      </c>
      <c r="E532" s="1" t="s">
        <v>155</v>
      </c>
      <c r="F532" s="1">
        <v>5</v>
      </c>
    </row>
    <row r="533" spans="1:6" x14ac:dyDescent="0.35">
      <c r="A533" s="1">
        <v>2032</v>
      </c>
      <c r="B533" s="1">
        <v>38.737115306742467</v>
      </c>
      <c r="C533" s="1">
        <v>41.19541478740252</v>
      </c>
      <c r="D533" s="1">
        <v>46.497453491582093</v>
      </c>
      <c r="E533" s="1" t="s">
        <v>155</v>
      </c>
      <c r="F533" s="1">
        <v>5</v>
      </c>
    </row>
    <row r="534" spans="1:6" x14ac:dyDescent="0.35">
      <c r="A534" s="1">
        <v>2033</v>
      </c>
      <c r="B534" s="1">
        <v>37.445075067779293</v>
      </c>
      <c r="C534" s="1">
        <v>40.965659261661592</v>
      </c>
      <c r="D534" s="1">
        <v>48.005951056733579</v>
      </c>
      <c r="E534" s="1" t="s">
        <v>155</v>
      </c>
      <c r="F534" s="1">
        <v>5</v>
      </c>
    </row>
    <row r="535" spans="1:6" x14ac:dyDescent="0.35">
      <c r="A535" s="1">
        <v>2034</v>
      </c>
      <c r="B535" s="1">
        <v>36.878487374999658</v>
      </c>
      <c r="C535" s="1">
        <v>41.917629297525863</v>
      </c>
      <c r="D535" s="1">
        <v>49.12927020460284</v>
      </c>
      <c r="E535" s="1" t="s">
        <v>155</v>
      </c>
      <c r="F535" s="1">
        <v>5</v>
      </c>
    </row>
    <row r="536" spans="1:6" x14ac:dyDescent="0.35">
      <c r="A536" s="1">
        <v>2035</v>
      </c>
      <c r="B536" s="1">
        <v>35.986189015834967</v>
      </c>
      <c r="C536" s="1">
        <v>42.837432131502787</v>
      </c>
      <c r="D536" s="1">
        <v>46.97785951828417</v>
      </c>
      <c r="E536" s="1" t="s">
        <v>155</v>
      </c>
      <c r="F536" s="1">
        <v>5</v>
      </c>
    </row>
    <row r="537" spans="1:6" x14ac:dyDescent="0.35">
      <c r="A537" s="1">
        <v>2036</v>
      </c>
      <c r="B537" s="1">
        <v>48.34520846567132</v>
      </c>
      <c r="C537" s="1">
        <v>56.084722231999997</v>
      </c>
      <c r="D537" s="1">
        <v>56.084722231999997</v>
      </c>
      <c r="E537" s="1" t="s">
        <v>155</v>
      </c>
      <c r="F537" s="1">
        <v>5</v>
      </c>
    </row>
    <row r="538" spans="1:6" x14ac:dyDescent="0.35">
      <c r="A538" s="1">
        <v>2037</v>
      </c>
      <c r="B538" s="1">
        <v>46.564524764776692</v>
      </c>
      <c r="C538" s="1">
        <v>53.491643072513767</v>
      </c>
      <c r="D538" s="1">
        <v>56.084722231999997</v>
      </c>
      <c r="E538" s="1" t="s">
        <v>155</v>
      </c>
      <c r="F538" s="1">
        <v>5</v>
      </c>
    </row>
    <row r="539" spans="1:6" x14ac:dyDescent="0.35">
      <c r="A539" s="1">
        <v>2038</v>
      </c>
      <c r="B539" s="1">
        <v>47.058054337705457</v>
      </c>
      <c r="C539" s="1">
        <v>52.088086485338422</v>
      </c>
      <c r="D539" s="1">
        <v>56.084722231999997</v>
      </c>
      <c r="E539" s="1" t="s">
        <v>155</v>
      </c>
      <c r="F539" s="1">
        <v>5</v>
      </c>
    </row>
    <row r="540" spans="1:6" x14ac:dyDescent="0.35">
      <c r="A540" s="1">
        <v>2039</v>
      </c>
      <c r="B540" s="1">
        <v>47.767362168981791</v>
      </c>
      <c r="C540" s="1">
        <v>51.942553643956948</v>
      </c>
      <c r="D540" s="1">
        <v>56.084722231999997</v>
      </c>
      <c r="E540" s="1" t="s">
        <v>155</v>
      </c>
      <c r="F540" s="1">
        <v>5</v>
      </c>
    </row>
    <row r="541" spans="1:6" x14ac:dyDescent="0.35">
      <c r="A541" s="1">
        <v>2040</v>
      </c>
      <c r="B541" s="1">
        <v>46.430220145354383</v>
      </c>
      <c r="C541" s="1">
        <v>53.071640127276567</v>
      </c>
      <c r="D541" s="1">
        <v>56.084722231999997</v>
      </c>
      <c r="E541" s="1" t="s">
        <v>155</v>
      </c>
      <c r="F541" s="1">
        <v>5</v>
      </c>
    </row>
    <row r="542" spans="1:6" x14ac:dyDescent="0.35">
      <c r="A542" s="1">
        <v>2041</v>
      </c>
      <c r="B542" s="1">
        <v>45.331590015536428</v>
      </c>
      <c r="C542" s="1">
        <v>52.303231792288862</v>
      </c>
      <c r="D542" s="1">
        <v>56.084722231999997</v>
      </c>
      <c r="E542" s="1" t="s">
        <v>155</v>
      </c>
      <c r="F542" s="1">
        <v>5</v>
      </c>
    </row>
    <row r="543" spans="1:6" x14ac:dyDescent="0.35">
      <c r="A543" s="1">
        <v>2042</v>
      </c>
      <c r="B543" s="1">
        <v>46.002838158594272</v>
      </c>
      <c r="C543" s="1">
        <v>52.376033569020763</v>
      </c>
      <c r="D543" s="1">
        <v>56.084722231999997</v>
      </c>
      <c r="E543" s="1" t="s">
        <v>155</v>
      </c>
      <c r="F543" s="1">
        <v>5</v>
      </c>
    </row>
    <row r="544" spans="1:6" x14ac:dyDescent="0.35">
      <c r="A544" s="1">
        <v>2043</v>
      </c>
      <c r="B544" s="1">
        <v>48.155123107648322</v>
      </c>
      <c r="C544" s="1">
        <v>52.45142409487665</v>
      </c>
      <c r="D544" s="1">
        <v>56.084722231999997</v>
      </c>
      <c r="E544" s="1" t="s">
        <v>155</v>
      </c>
      <c r="F544" s="1">
        <v>5</v>
      </c>
    </row>
    <row r="545" spans="1:6" x14ac:dyDescent="0.35">
      <c r="A545" s="1">
        <v>2044</v>
      </c>
      <c r="B545" s="1">
        <v>47.192330485905103</v>
      </c>
      <c r="C545" s="1">
        <v>50.999973542229718</v>
      </c>
      <c r="D545" s="1">
        <v>56.084722231999997</v>
      </c>
      <c r="E545" s="1" t="s">
        <v>155</v>
      </c>
      <c r="F545" s="1">
        <v>5</v>
      </c>
    </row>
    <row r="546" spans="1:6" x14ac:dyDescent="0.35">
      <c r="A546" s="1">
        <v>2045</v>
      </c>
      <c r="B546" s="1">
        <v>47.545758262972349</v>
      </c>
      <c r="C546" s="1">
        <v>52.369746208467923</v>
      </c>
      <c r="D546" s="1">
        <v>56.084722231999997</v>
      </c>
      <c r="E546" s="1" t="s">
        <v>155</v>
      </c>
      <c r="F546" s="1">
        <v>5</v>
      </c>
    </row>
    <row r="547" spans="1:6" x14ac:dyDescent="0.35">
      <c r="A547" s="1">
        <v>2046</v>
      </c>
      <c r="B547" s="1">
        <v>56.084722231999997</v>
      </c>
      <c r="C547" s="1">
        <v>56.084722231999997</v>
      </c>
      <c r="D547" s="1">
        <v>56.084722231999997</v>
      </c>
      <c r="E547" s="1" t="s">
        <v>155</v>
      </c>
      <c r="F547" s="1">
        <v>5</v>
      </c>
    </row>
    <row r="548" spans="1:6" x14ac:dyDescent="0.35">
      <c r="A548" s="1">
        <v>2047</v>
      </c>
      <c r="B548" s="1">
        <v>51.896068239247832</v>
      </c>
      <c r="C548" s="1">
        <v>52.298337113146303</v>
      </c>
      <c r="D548" s="1">
        <v>54.1548791775148</v>
      </c>
      <c r="E548" s="1" t="s">
        <v>155</v>
      </c>
      <c r="F548" s="1">
        <v>5</v>
      </c>
    </row>
    <row r="549" spans="1:6" x14ac:dyDescent="0.35">
      <c r="A549" s="1">
        <v>2048</v>
      </c>
      <c r="B549" s="1">
        <v>56.084722231999997</v>
      </c>
      <c r="C549" s="1">
        <v>56.084722231999997</v>
      </c>
      <c r="D549" s="1">
        <v>56.084722231999997</v>
      </c>
      <c r="E549" s="1" t="s">
        <v>155</v>
      </c>
      <c r="F549" s="1">
        <v>5</v>
      </c>
    </row>
    <row r="550" spans="1:6" x14ac:dyDescent="0.35">
      <c r="A550" s="1">
        <v>2049</v>
      </c>
      <c r="B550" s="1">
        <v>49.653934228719343</v>
      </c>
      <c r="C550" s="1">
        <v>54.824919762070742</v>
      </c>
      <c r="D550" s="1">
        <v>56.084722231999997</v>
      </c>
      <c r="E550" s="1" t="s">
        <v>155</v>
      </c>
      <c r="F550" s="1">
        <v>5</v>
      </c>
    </row>
    <row r="551" spans="1:6" x14ac:dyDescent="0.35">
      <c r="A551" s="1">
        <v>2050</v>
      </c>
      <c r="B551" s="1">
        <v>50.328186135043062</v>
      </c>
      <c r="C551" s="1">
        <v>53.160289873006938</v>
      </c>
      <c r="D551" s="1">
        <v>56.084722231999997</v>
      </c>
      <c r="E551" s="1" t="s">
        <v>155</v>
      </c>
      <c r="F551" s="1">
        <v>5</v>
      </c>
    </row>
    <row r="552" spans="1:6" x14ac:dyDescent="0.35">
      <c r="A552" s="1">
        <v>2026</v>
      </c>
      <c r="B552" s="1">
        <v>25.258142287818121</v>
      </c>
      <c r="C552" s="1">
        <v>25.99554093942082</v>
      </c>
      <c r="D552" s="1">
        <v>25.45870672521178</v>
      </c>
      <c r="E552" s="1" t="s">
        <v>156</v>
      </c>
      <c r="F552" s="1">
        <v>5</v>
      </c>
    </row>
    <row r="553" spans="1:6" x14ac:dyDescent="0.35">
      <c r="A553" s="1">
        <v>2027</v>
      </c>
      <c r="B553" s="1">
        <v>24.571872403823239</v>
      </c>
      <c r="C553" s="1">
        <v>25.944428580665281</v>
      </c>
      <c r="D553" s="1">
        <v>25.671670939954719</v>
      </c>
      <c r="E553" s="1" t="s">
        <v>156</v>
      </c>
      <c r="F553" s="1">
        <v>5</v>
      </c>
    </row>
    <row r="554" spans="1:6" x14ac:dyDescent="0.35">
      <c r="A554" s="1">
        <v>2028</v>
      </c>
      <c r="B554" s="1">
        <v>24.769751572817771</v>
      </c>
      <c r="C554" s="1">
        <v>25.654301288213269</v>
      </c>
      <c r="D554" s="1">
        <v>26.23370644304881</v>
      </c>
      <c r="E554" s="1" t="s">
        <v>156</v>
      </c>
      <c r="F554" s="1">
        <v>5</v>
      </c>
    </row>
    <row r="555" spans="1:6" x14ac:dyDescent="0.35">
      <c r="A555" s="1">
        <v>2029</v>
      </c>
      <c r="B555" s="1">
        <v>24.251281887393858</v>
      </c>
      <c r="C555" s="1">
        <v>25.351813476527891</v>
      </c>
      <c r="D555" s="1">
        <v>26.228274909014701</v>
      </c>
      <c r="E555" s="1" t="s">
        <v>156</v>
      </c>
      <c r="F555" s="1">
        <v>5</v>
      </c>
    </row>
    <row r="556" spans="1:6" x14ac:dyDescent="0.35">
      <c r="A556" s="1">
        <v>2030</v>
      </c>
      <c r="B556" s="1">
        <v>31.928435393232821</v>
      </c>
      <c r="C556" s="1">
        <v>33.678064011902663</v>
      </c>
      <c r="D556" s="1">
        <v>37.276252903113843</v>
      </c>
      <c r="E556" s="1" t="s">
        <v>156</v>
      </c>
      <c r="F556" s="1">
        <v>5</v>
      </c>
    </row>
    <row r="557" spans="1:6" x14ac:dyDescent="0.35">
      <c r="A557" s="1">
        <v>2031</v>
      </c>
      <c r="B557" s="1">
        <v>29.624830158508299</v>
      </c>
      <c r="C557" s="1">
        <v>32.158508075717101</v>
      </c>
      <c r="D557" s="1">
        <v>35.527051883085313</v>
      </c>
      <c r="E557" s="1" t="s">
        <v>156</v>
      </c>
      <c r="F557" s="1">
        <v>5</v>
      </c>
    </row>
    <row r="558" spans="1:6" x14ac:dyDescent="0.35">
      <c r="A558" s="1">
        <v>2032</v>
      </c>
      <c r="B558" s="1">
        <v>29.757245106490629</v>
      </c>
      <c r="C558" s="1">
        <v>32.640623120787509</v>
      </c>
      <c r="D558" s="1">
        <v>35.501178617898368</v>
      </c>
      <c r="E558" s="1" t="s">
        <v>156</v>
      </c>
      <c r="F558" s="1">
        <v>5</v>
      </c>
    </row>
    <row r="559" spans="1:6" x14ac:dyDescent="0.35">
      <c r="A559" s="1">
        <v>2033</v>
      </c>
      <c r="B559" s="1">
        <v>29.635802308792659</v>
      </c>
      <c r="C559" s="1">
        <v>33.055357403173858</v>
      </c>
      <c r="D559" s="1">
        <v>36.221959544382123</v>
      </c>
      <c r="E559" s="1" t="s">
        <v>156</v>
      </c>
      <c r="F559" s="1">
        <v>5</v>
      </c>
    </row>
    <row r="560" spans="1:6" x14ac:dyDescent="0.35">
      <c r="A560" s="1">
        <v>2034</v>
      </c>
      <c r="B560" s="1">
        <v>29.819863567196531</v>
      </c>
      <c r="C560" s="1">
        <v>33.904375215529257</v>
      </c>
      <c r="D560" s="1">
        <v>36.113366343736139</v>
      </c>
      <c r="E560" s="1" t="s">
        <v>156</v>
      </c>
      <c r="F560" s="1">
        <v>5</v>
      </c>
    </row>
    <row r="561" spans="1:6" x14ac:dyDescent="0.35">
      <c r="A561" s="1">
        <v>2035</v>
      </c>
      <c r="B561" s="1">
        <v>29.66934948692214</v>
      </c>
      <c r="C561" s="1">
        <v>32.904294798305088</v>
      </c>
      <c r="D561" s="1">
        <v>35.249574534486563</v>
      </c>
      <c r="E561" s="1" t="s">
        <v>156</v>
      </c>
      <c r="F561" s="1">
        <v>5</v>
      </c>
    </row>
    <row r="562" spans="1:6" x14ac:dyDescent="0.35">
      <c r="A562" s="1">
        <v>2036</v>
      </c>
      <c r="B562" s="1">
        <v>28.565741885744519</v>
      </c>
      <c r="C562" s="1">
        <v>32.970356578515187</v>
      </c>
      <c r="D562" s="1">
        <v>34.819447887146268</v>
      </c>
      <c r="E562" s="1" t="s">
        <v>156</v>
      </c>
      <c r="F562" s="1">
        <v>5</v>
      </c>
    </row>
    <row r="563" spans="1:6" x14ac:dyDescent="0.35">
      <c r="A563" s="1">
        <v>2037</v>
      </c>
      <c r="B563" s="1">
        <v>39.754652610654887</v>
      </c>
      <c r="C563" s="1">
        <v>43.280902813383427</v>
      </c>
      <c r="D563" s="1">
        <v>46.841030644066379</v>
      </c>
      <c r="E563" s="1" t="s">
        <v>156</v>
      </c>
      <c r="F563" s="1">
        <v>5</v>
      </c>
    </row>
    <row r="564" spans="1:6" x14ac:dyDescent="0.35">
      <c r="A564" s="1">
        <v>2038</v>
      </c>
      <c r="B564" s="1">
        <v>36.569779814736648</v>
      </c>
      <c r="C564" s="1">
        <v>42.664948821907757</v>
      </c>
      <c r="D564" s="1">
        <v>46.994988750259438</v>
      </c>
      <c r="E564" s="1" t="s">
        <v>156</v>
      </c>
      <c r="F564" s="1">
        <v>5</v>
      </c>
    </row>
    <row r="565" spans="1:6" x14ac:dyDescent="0.35">
      <c r="A565" s="1">
        <v>2039</v>
      </c>
      <c r="B565" s="1">
        <v>37.387710537771888</v>
      </c>
      <c r="C565" s="1">
        <v>42.82036703653781</v>
      </c>
      <c r="D565" s="1">
        <v>49.041122984533168</v>
      </c>
      <c r="E565" s="1" t="s">
        <v>156</v>
      </c>
      <c r="F565" s="1">
        <v>5</v>
      </c>
    </row>
    <row r="566" spans="1:6" x14ac:dyDescent="0.35">
      <c r="A566" s="1">
        <v>2040</v>
      </c>
      <c r="B566" s="1">
        <v>36.484961128837377</v>
      </c>
      <c r="C566" s="1">
        <v>42.495693657334733</v>
      </c>
      <c r="D566" s="1">
        <v>48.955734912954682</v>
      </c>
      <c r="E566" s="1" t="s">
        <v>156</v>
      </c>
      <c r="F566" s="1">
        <v>5</v>
      </c>
    </row>
    <row r="567" spans="1:6" x14ac:dyDescent="0.35">
      <c r="A567" s="1">
        <v>2041</v>
      </c>
      <c r="B567" s="1">
        <v>35.463510775588951</v>
      </c>
      <c r="C567" s="1">
        <v>41.528753855872587</v>
      </c>
      <c r="D567" s="1">
        <v>48.081847432582578</v>
      </c>
      <c r="E567" s="1" t="s">
        <v>156</v>
      </c>
      <c r="F567" s="1">
        <v>5</v>
      </c>
    </row>
    <row r="568" spans="1:6" x14ac:dyDescent="0.35">
      <c r="A568" s="1">
        <v>2042</v>
      </c>
      <c r="B568" s="1">
        <v>36.366206262785568</v>
      </c>
      <c r="C568" s="1">
        <v>41.688786965016412</v>
      </c>
      <c r="D568" s="1">
        <v>48.733703479316347</v>
      </c>
      <c r="E568" s="1" t="s">
        <v>156</v>
      </c>
      <c r="F568" s="1">
        <v>5</v>
      </c>
    </row>
    <row r="569" spans="1:6" x14ac:dyDescent="0.35">
      <c r="A569" s="1">
        <v>2043</v>
      </c>
      <c r="B569" s="1">
        <v>35.741027643142367</v>
      </c>
      <c r="C569" s="1">
        <v>42.05286957400611</v>
      </c>
      <c r="D569" s="1">
        <v>48.443177052625707</v>
      </c>
      <c r="E569" s="1" t="s">
        <v>156</v>
      </c>
      <c r="F569" s="1">
        <v>5</v>
      </c>
    </row>
    <row r="570" spans="1:6" x14ac:dyDescent="0.35">
      <c r="A570" s="1">
        <v>2044</v>
      </c>
      <c r="B570" s="1">
        <v>36.035377144663357</v>
      </c>
      <c r="C570" s="1">
        <v>41.10415075016838</v>
      </c>
      <c r="D570" s="1">
        <v>48.397190440579607</v>
      </c>
      <c r="E570" s="1" t="s">
        <v>156</v>
      </c>
      <c r="F570" s="1">
        <v>5</v>
      </c>
    </row>
    <row r="571" spans="1:6" x14ac:dyDescent="0.35">
      <c r="A571" s="1">
        <v>2045</v>
      </c>
      <c r="B571" s="1">
        <v>49.435184454183961</v>
      </c>
      <c r="C571" s="1">
        <v>55.807540752881991</v>
      </c>
      <c r="D571" s="1">
        <v>56.084722231999997</v>
      </c>
      <c r="E571" s="1" t="s">
        <v>156</v>
      </c>
      <c r="F571" s="1">
        <v>5</v>
      </c>
    </row>
    <row r="572" spans="1:6" x14ac:dyDescent="0.35">
      <c r="A572" s="1">
        <v>2046</v>
      </c>
      <c r="B572" s="1">
        <v>46.6272970484087</v>
      </c>
      <c r="C572" s="1">
        <v>52.914750202995258</v>
      </c>
      <c r="D572" s="1">
        <v>55.330600845001257</v>
      </c>
      <c r="E572" s="1" t="s">
        <v>156</v>
      </c>
      <c r="F572" s="1">
        <v>5</v>
      </c>
    </row>
    <row r="573" spans="1:6" x14ac:dyDescent="0.35">
      <c r="A573" s="1">
        <v>2047</v>
      </c>
      <c r="B573" s="1">
        <v>56.084722231999997</v>
      </c>
      <c r="C573" s="1">
        <v>56.084722231999997</v>
      </c>
      <c r="D573" s="1">
        <v>56.084722231999997</v>
      </c>
      <c r="E573" s="1" t="s">
        <v>156</v>
      </c>
      <c r="F573" s="1">
        <v>5</v>
      </c>
    </row>
    <row r="574" spans="1:6" x14ac:dyDescent="0.35">
      <c r="A574" s="1">
        <v>2048</v>
      </c>
      <c r="B574" s="1">
        <v>49.864861362574423</v>
      </c>
      <c r="C574" s="1">
        <v>54.325755676089528</v>
      </c>
      <c r="D574" s="1">
        <v>56.084722231999997</v>
      </c>
      <c r="E574" s="1" t="s">
        <v>156</v>
      </c>
      <c r="F574" s="1">
        <v>5</v>
      </c>
    </row>
    <row r="575" spans="1:6" x14ac:dyDescent="0.35">
      <c r="A575" s="1">
        <v>2049</v>
      </c>
      <c r="B575" s="1">
        <v>50.456247515358307</v>
      </c>
      <c r="C575" s="1">
        <v>52.825948976418879</v>
      </c>
      <c r="D575" s="1">
        <v>55.742225432928379</v>
      </c>
      <c r="E575" s="1" t="s">
        <v>156</v>
      </c>
      <c r="F575" s="1">
        <v>5</v>
      </c>
    </row>
    <row r="576" spans="1:6" x14ac:dyDescent="0.35">
      <c r="A576" s="1">
        <v>2050</v>
      </c>
      <c r="B576" s="1">
        <v>56.084722231999997</v>
      </c>
      <c r="C576" s="1">
        <v>56.084722231999997</v>
      </c>
      <c r="D576" s="1">
        <v>56.084722231999997</v>
      </c>
      <c r="E576" s="1" t="s">
        <v>156</v>
      </c>
      <c r="F576" s="1">
        <v>5</v>
      </c>
    </row>
    <row r="577" spans="1:6" x14ac:dyDescent="0.35">
      <c r="A577" s="1">
        <v>2026</v>
      </c>
      <c r="B577" s="1">
        <v>24.34802412281654</v>
      </c>
      <c r="C577" s="1">
        <v>25.99554093942082</v>
      </c>
      <c r="D577" s="1">
        <v>25.561188860753539</v>
      </c>
      <c r="E577" s="1" t="s">
        <v>157</v>
      </c>
      <c r="F577" s="1">
        <v>5</v>
      </c>
    </row>
    <row r="578" spans="1:6" x14ac:dyDescent="0.35">
      <c r="A578" s="1">
        <v>2027</v>
      </c>
      <c r="B578" s="1">
        <v>23.874524754760689</v>
      </c>
      <c r="C578" s="1">
        <v>25.944428580665281</v>
      </c>
      <c r="D578" s="1">
        <v>26.04013231474482</v>
      </c>
      <c r="E578" s="1" t="s">
        <v>157</v>
      </c>
      <c r="F578" s="1">
        <v>5</v>
      </c>
    </row>
    <row r="579" spans="1:6" x14ac:dyDescent="0.35">
      <c r="A579" s="1">
        <v>2028</v>
      </c>
      <c r="B579" s="1">
        <v>24.147278201741571</v>
      </c>
      <c r="C579" s="1">
        <v>25.654301288213269</v>
      </c>
      <c r="D579" s="1">
        <v>26.584562959472979</v>
      </c>
      <c r="E579" s="1" t="s">
        <v>157</v>
      </c>
      <c r="F579" s="1">
        <v>5</v>
      </c>
    </row>
    <row r="580" spans="1:6" x14ac:dyDescent="0.35">
      <c r="A580" s="1">
        <v>2029</v>
      </c>
      <c r="B580" s="1">
        <v>23.502731436900479</v>
      </c>
      <c r="C580" s="1">
        <v>25.351813476527891</v>
      </c>
      <c r="D580" s="1">
        <v>26.843900534765879</v>
      </c>
      <c r="E580" s="1" t="s">
        <v>157</v>
      </c>
      <c r="F580" s="1">
        <v>5</v>
      </c>
    </row>
    <row r="581" spans="1:6" x14ac:dyDescent="0.35">
      <c r="A581" s="1">
        <v>2030</v>
      </c>
      <c r="B581" s="1">
        <v>23.236298907951539</v>
      </c>
      <c r="C581" s="1">
        <v>24.953561188436019</v>
      </c>
      <c r="D581" s="1">
        <v>26.664354477677339</v>
      </c>
      <c r="E581" s="1" t="s">
        <v>157</v>
      </c>
      <c r="F581" s="1">
        <v>5</v>
      </c>
    </row>
    <row r="582" spans="1:6" x14ac:dyDescent="0.35">
      <c r="A582" s="1">
        <v>2031</v>
      </c>
      <c r="B582" s="1">
        <v>23.86739650133104</v>
      </c>
      <c r="C582" s="1">
        <v>24.969013801669359</v>
      </c>
      <c r="D582" s="1">
        <v>26.52066625361201</v>
      </c>
      <c r="E582" s="1" t="s">
        <v>157</v>
      </c>
      <c r="F582" s="1">
        <v>5</v>
      </c>
    </row>
    <row r="583" spans="1:6" x14ac:dyDescent="0.35">
      <c r="A583" s="1">
        <v>2032</v>
      </c>
      <c r="B583" s="1">
        <v>31.618536282130702</v>
      </c>
      <c r="C583" s="1">
        <v>34.147937381750133</v>
      </c>
      <c r="D583" s="1">
        <v>35.506805950938883</v>
      </c>
      <c r="E583" s="1" t="s">
        <v>157</v>
      </c>
      <c r="F583" s="1">
        <v>5</v>
      </c>
    </row>
    <row r="584" spans="1:6" x14ac:dyDescent="0.35">
      <c r="A584" s="1">
        <v>2033</v>
      </c>
      <c r="B584" s="1">
        <v>29.236805765418652</v>
      </c>
      <c r="C584" s="1">
        <v>33.532902407835742</v>
      </c>
      <c r="D584" s="1">
        <v>36.344373941541093</v>
      </c>
      <c r="E584" s="1" t="s">
        <v>157</v>
      </c>
      <c r="F584" s="1">
        <v>5</v>
      </c>
    </row>
    <row r="585" spans="1:6" x14ac:dyDescent="0.35">
      <c r="A585" s="1">
        <v>2034</v>
      </c>
      <c r="B585" s="1">
        <v>29.270927179748401</v>
      </c>
      <c r="C585" s="1">
        <v>34.394185832999803</v>
      </c>
      <c r="D585" s="1">
        <v>37.329011277276081</v>
      </c>
      <c r="E585" s="1" t="s">
        <v>157</v>
      </c>
      <c r="F585" s="1">
        <v>5</v>
      </c>
    </row>
    <row r="586" spans="1:6" x14ac:dyDescent="0.35">
      <c r="A586" s="1">
        <v>2035</v>
      </c>
      <c r="B586" s="1">
        <v>38.937410987707473</v>
      </c>
      <c r="C586" s="1">
        <v>45.084205734411483</v>
      </c>
      <c r="D586" s="1">
        <v>49.825194782858453</v>
      </c>
      <c r="E586" s="1" t="s">
        <v>157</v>
      </c>
      <c r="F586" s="1">
        <v>5</v>
      </c>
    </row>
    <row r="587" spans="1:6" x14ac:dyDescent="0.35">
      <c r="A587" s="1">
        <v>2036</v>
      </c>
      <c r="B587" s="1">
        <v>37.410573100923671</v>
      </c>
      <c r="C587" s="1">
        <v>43.189407447863708</v>
      </c>
      <c r="D587" s="1">
        <v>46.301049728814007</v>
      </c>
      <c r="E587" s="1" t="s">
        <v>157</v>
      </c>
      <c r="F587" s="1">
        <v>5</v>
      </c>
    </row>
    <row r="588" spans="1:6" x14ac:dyDescent="0.35">
      <c r="A588" s="1">
        <v>2037</v>
      </c>
      <c r="B588" s="1">
        <v>37.08112407238584</v>
      </c>
      <c r="C588" s="1">
        <v>41.980072290275032</v>
      </c>
      <c r="D588" s="1">
        <v>46.735981406763528</v>
      </c>
      <c r="E588" s="1" t="s">
        <v>157</v>
      </c>
      <c r="F588" s="1">
        <v>5</v>
      </c>
    </row>
    <row r="589" spans="1:6" x14ac:dyDescent="0.35">
      <c r="A589" s="1">
        <v>2038</v>
      </c>
      <c r="B589" s="1">
        <v>36.543719870976069</v>
      </c>
      <c r="C589" s="1">
        <v>42.583574710769369</v>
      </c>
      <c r="D589" s="1">
        <v>46.416154059500862</v>
      </c>
      <c r="E589" s="1" t="s">
        <v>157</v>
      </c>
      <c r="F589" s="1">
        <v>5</v>
      </c>
    </row>
    <row r="590" spans="1:6" x14ac:dyDescent="0.35">
      <c r="A590" s="1">
        <v>2039</v>
      </c>
      <c r="B590" s="1">
        <v>48.824884372972853</v>
      </c>
      <c r="C590" s="1">
        <v>56.084722231999997</v>
      </c>
      <c r="D590" s="1">
        <v>56.084722231999997</v>
      </c>
      <c r="E590" s="1" t="s">
        <v>157</v>
      </c>
      <c r="F590" s="1">
        <v>5</v>
      </c>
    </row>
    <row r="591" spans="1:6" x14ac:dyDescent="0.35">
      <c r="A591" s="1">
        <v>2040</v>
      </c>
      <c r="B591" s="1">
        <v>47.285682577687183</v>
      </c>
      <c r="C591" s="1">
        <v>52.536329042105862</v>
      </c>
      <c r="D591" s="1">
        <v>55.987989856770639</v>
      </c>
      <c r="E591" s="1" t="s">
        <v>157</v>
      </c>
      <c r="F591" s="1">
        <v>5</v>
      </c>
    </row>
    <row r="592" spans="1:6" x14ac:dyDescent="0.35">
      <c r="A592" s="1">
        <v>2041</v>
      </c>
      <c r="B592" s="1">
        <v>47.467793002190518</v>
      </c>
      <c r="C592" s="1">
        <v>51.34092632711203</v>
      </c>
      <c r="D592" s="1">
        <v>56.084722231999997</v>
      </c>
      <c r="E592" s="1" t="s">
        <v>157</v>
      </c>
      <c r="F592" s="1">
        <v>5</v>
      </c>
    </row>
    <row r="593" spans="1:6" x14ac:dyDescent="0.35">
      <c r="A593" s="1">
        <v>2042</v>
      </c>
      <c r="B593" s="1">
        <v>56.084722231999997</v>
      </c>
      <c r="C593" s="1">
        <v>56.084722231999997</v>
      </c>
      <c r="D593" s="1">
        <v>56.084722231999997</v>
      </c>
      <c r="E593" s="1" t="s">
        <v>157</v>
      </c>
      <c r="F593" s="1">
        <v>5</v>
      </c>
    </row>
    <row r="594" spans="1:6" x14ac:dyDescent="0.35">
      <c r="A594" s="1">
        <v>2043</v>
      </c>
      <c r="B594" s="1">
        <v>51.883449990165779</v>
      </c>
      <c r="C594" s="1">
        <v>54.572171308497047</v>
      </c>
      <c r="D594" s="1">
        <v>56.084722231999997</v>
      </c>
      <c r="E594" s="1" t="s">
        <v>157</v>
      </c>
      <c r="F594" s="1">
        <v>5</v>
      </c>
    </row>
    <row r="595" spans="1:6" x14ac:dyDescent="0.35">
      <c r="A595" s="1">
        <v>2044</v>
      </c>
      <c r="B595" s="1">
        <v>56.084722231999997</v>
      </c>
      <c r="C595" s="1">
        <v>56.084722231999997</v>
      </c>
      <c r="D595" s="1">
        <v>56.084722231999997</v>
      </c>
      <c r="E595" s="1" t="s">
        <v>157</v>
      </c>
      <c r="F595" s="1">
        <v>5</v>
      </c>
    </row>
    <row r="596" spans="1:6" x14ac:dyDescent="0.35">
      <c r="A596" s="1">
        <v>2045</v>
      </c>
      <c r="B596" s="1">
        <v>50.524870919474118</v>
      </c>
      <c r="C596" s="1">
        <v>54.382595846983143</v>
      </c>
      <c r="D596" s="1">
        <v>54.297522188638411</v>
      </c>
      <c r="E596" s="1" t="s">
        <v>157</v>
      </c>
      <c r="F596" s="1">
        <v>5</v>
      </c>
    </row>
    <row r="597" spans="1:6" x14ac:dyDescent="0.35">
      <c r="A597" s="1">
        <v>2046</v>
      </c>
      <c r="B597" s="1">
        <v>49.717978778276702</v>
      </c>
      <c r="C597" s="1">
        <v>54.251811004586962</v>
      </c>
      <c r="D597" s="1">
        <v>54.81341966478012</v>
      </c>
      <c r="E597" s="1" t="s">
        <v>157</v>
      </c>
      <c r="F597" s="1">
        <v>5</v>
      </c>
    </row>
    <row r="598" spans="1:6" x14ac:dyDescent="0.35">
      <c r="A598" s="1">
        <v>2047</v>
      </c>
      <c r="B598" s="1">
        <v>49.742094867804283</v>
      </c>
      <c r="C598" s="1">
        <v>53.507260570660037</v>
      </c>
      <c r="D598" s="1">
        <v>56.084722231999997</v>
      </c>
      <c r="E598" s="1" t="s">
        <v>157</v>
      </c>
      <c r="F598" s="1">
        <v>5</v>
      </c>
    </row>
    <row r="599" spans="1:6" x14ac:dyDescent="0.35">
      <c r="A599" s="1">
        <v>2048</v>
      </c>
      <c r="B599" s="1">
        <v>48.426685783628322</v>
      </c>
      <c r="C599" s="1">
        <v>53.869891815853407</v>
      </c>
      <c r="D599" s="1">
        <v>56.084722231999997</v>
      </c>
      <c r="E599" s="1" t="s">
        <v>157</v>
      </c>
      <c r="F599" s="1">
        <v>5</v>
      </c>
    </row>
    <row r="600" spans="1:6" x14ac:dyDescent="0.35">
      <c r="A600" s="1">
        <v>2049</v>
      </c>
      <c r="B600" s="1">
        <v>48.988134737679992</v>
      </c>
      <c r="C600" s="1">
        <v>52.382670448189863</v>
      </c>
      <c r="D600" s="1">
        <v>54.521667490511263</v>
      </c>
      <c r="E600" s="1" t="s">
        <v>157</v>
      </c>
      <c r="F600" s="1">
        <v>5</v>
      </c>
    </row>
    <row r="601" spans="1:6" x14ac:dyDescent="0.35">
      <c r="A601" s="1">
        <v>2050</v>
      </c>
      <c r="B601" s="1">
        <v>48.986344145325553</v>
      </c>
      <c r="C601" s="1">
        <v>52.32004999547803</v>
      </c>
      <c r="D601" s="1">
        <v>54.836998089135427</v>
      </c>
      <c r="E601" s="1" t="s">
        <v>157</v>
      </c>
      <c r="F601" s="1">
        <v>5</v>
      </c>
    </row>
    <row r="602" spans="1:6" x14ac:dyDescent="0.35">
      <c r="A602" s="1">
        <v>2026</v>
      </c>
      <c r="B602" s="1">
        <v>24.89252491135835</v>
      </c>
      <c r="C602" s="1">
        <v>25.685068025184201</v>
      </c>
      <c r="D602" s="1">
        <v>25.930758236262701</v>
      </c>
      <c r="E602" s="1" t="s">
        <v>158</v>
      </c>
      <c r="F602" s="1">
        <v>5</v>
      </c>
    </row>
    <row r="603" spans="1:6" x14ac:dyDescent="0.35">
      <c r="A603" s="1">
        <v>2027</v>
      </c>
      <c r="B603" s="1">
        <v>32.838823453428077</v>
      </c>
      <c r="C603" s="1">
        <v>35.358099254760162</v>
      </c>
      <c r="D603" s="1">
        <v>34.785928244553318</v>
      </c>
      <c r="E603" s="1" t="s">
        <v>158</v>
      </c>
      <c r="F603" s="1">
        <v>5</v>
      </c>
    </row>
    <row r="604" spans="1:6" x14ac:dyDescent="0.35">
      <c r="A604" s="1">
        <v>2028</v>
      </c>
      <c r="B604" s="1">
        <v>30.406351951692859</v>
      </c>
      <c r="C604" s="1">
        <v>32.295322200249437</v>
      </c>
      <c r="D604" s="1">
        <v>33.118476518601732</v>
      </c>
      <c r="E604" s="1" t="s">
        <v>158</v>
      </c>
      <c r="F604" s="1">
        <v>5</v>
      </c>
    </row>
    <row r="605" spans="1:6" x14ac:dyDescent="0.35">
      <c r="A605" s="1">
        <v>2029</v>
      </c>
      <c r="B605" s="1">
        <v>29.709903222148888</v>
      </c>
      <c r="C605" s="1">
        <v>31.728683607782781</v>
      </c>
      <c r="D605" s="1">
        <v>34.456806836622142</v>
      </c>
      <c r="E605" s="1" t="s">
        <v>158</v>
      </c>
      <c r="F605" s="1">
        <v>5</v>
      </c>
    </row>
    <row r="606" spans="1:6" x14ac:dyDescent="0.35">
      <c r="A606" s="1">
        <v>2030</v>
      </c>
      <c r="B606" s="1">
        <v>31.050113058018042</v>
      </c>
      <c r="C606" s="1">
        <v>31.834262312334872</v>
      </c>
      <c r="D606" s="1">
        <v>34.48707784552338</v>
      </c>
      <c r="E606" s="1" t="s">
        <v>158</v>
      </c>
      <c r="F606" s="1">
        <v>5</v>
      </c>
    </row>
    <row r="607" spans="1:6" x14ac:dyDescent="0.35">
      <c r="A607" s="1">
        <v>2031</v>
      </c>
      <c r="B607" s="1">
        <v>30.48675451257245</v>
      </c>
      <c r="C607" s="1">
        <v>32.486732636823568</v>
      </c>
      <c r="D607" s="1">
        <v>34.267119350544426</v>
      </c>
      <c r="E607" s="1" t="s">
        <v>158</v>
      </c>
      <c r="F607" s="1">
        <v>5</v>
      </c>
    </row>
    <row r="608" spans="1:6" x14ac:dyDescent="0.35">
      <c r="A608" s="1">
        <v>2032</v>
      </c>
      <c r="B608" s="1">
        <v>30.155394952029361</v>
      </c>
      <c r="C608" s="1">
        <v>32.030762716758836</v>
      </c>
      <c r="D608" s="1">
        <v>34.611723687703723</v>
      </c>
      <c r="E608" s="1" t="s">
        <v>158</v>
      </c>
      <c r="F608" s="1">
        <v>5</v>
      </c>
    </row>
    <row r="609" spans="1:6" x14ac:dyDescent="0.35">
      <c r="A609" s="1">
        <v>2033</v>
      </c>
      <c r="B609" s="1">
        <v>39.85949479908119</v>
      </c>
      <c r="C609" s="1">
        <v>44.534389284830169</v>
      </c>
      <c r="D609" s="1">
        <v>47.367067830447922</v>
      </c>
      <c r="E609" s="1" t="s">
        <v>158</v>
      </c>
      <c r="F609" s="1">
        <v>5</v>
      </c>
    </row>
    <row r="610" spans="1:6" x14ac:dyDescent="0.35">
      <c r="A610" s="1">
        <v>2034</v>
      </c>
      <c r="B610" s="1">
        <v>38.751845120251467</v>
      </c>
      <c r="C610" s="1">
        <v>42.912638036755219</v>
      </c>
      <c r="D610" s="1">
        <v>46.492193698304817</v>
      </c>
      <c r="E610" s="1" t="s">
        <v>158</v>
      </c>
      <c r="F610" s="1">
        <v>5</v>
      </c>
    </row>
    <row r="611" spans="1:6" x14ac:dyDescent="0.35">
      <c r="A611" s="1">
        <v>2035</v>
      </c>
      <c r="B611" s="1">
        <v>38.768967299929393</v>
      </c>
      <c r="C611" s="1">
        <v>43.154031919212727</v>
      </c>
      <c r="D611" s="1">
        <v>46.126144895329141</v>
      </c>
      <c r="E611" s="1" t="s">
        <v>158</v>
      </c>
      <c r="F611" s="1">
        <v>5</v>
      </c>
    </row>
    <row r="612" spans="1:6" x14ac:dyDescent="0.35">
      <c r="A612" s="1">
        <v>2036</v>
      </c>
      <c r="B612" s="1">
        <v>37.65663135490373</v>
      </c>
      <c r="C612" s="1">
        <v>42.47683733854074</v>
      </c>
      <c r="D612" s="1">
        <v>46.045472979969063</v>
      </c>
      <c r="E612" s="1" t="s">
        <v>158</v>
      </c>
      <c r="F612" s="1">
        <v>5</v>
      </c>
    </row>
    <row r="613" spans="1:6" x14ac:dyDescent="0.35">
      <c r="A613" s="1">
        <v>2037</v>
      </c>
      <c r="B613" s="1">
        <v>37.318365395160747</v>
      </c>
      <c r="C613" s="1">
        <v>42.674982422513743</v>
      </c>
      <c r="D613" s="1">
        <v>46.462671562076352</v>
      </c>
      <c r="E613" s="1" t="s">
        <v>158</v>
      </c>
      <c r="F613" s="1">
        <v>5</v>
      </c>
    </row>
    <row r="614" spans="1:6" x14ac:dyDescent="0.35">
      <c r="A614" s="1">
        <v>2038</v>
      </c>
      <c r="B614" s="1">
        <v>50.169576282212368</v>
      </c>
      <c r="C614" s="1">
        <v>56.040675577442443</v>
      </c>
      <c r="D614" s="1">
        <v>56.084722231999997</v>
      </c>
      <c r="E614" s="1" t="s">
        <v>158</v>
      </c>
      <c r="F614" s="1">
        <v>5</v>
      </c>
    </row>
    <row r="615" spans="1:6" x14ac:dyDescent="0.35">
      <c r="A615" s="1">
        <v>2039</v>
      </c>
      <c r="B615" s="1">
        <v>46.300700011543142</v>
      </c>
      <c r="C615" s="1">
        <v>51.346506928290701</v>
      </c>
      <c r="D615" s="1">
        <v>55.096040962792529</v>
      </c>
      <c r="E615" s="1" t="s">
        <v>158</v>
      </c>
      <c r="F615" s="1">
        <v>5</v>
      </c>
    </row>
    <row r="616" spans="1:6" x14ac:dyDescent="0.35">
      <c r="A616" s="1">
        <v>2040</v>
      </c>
      <c r="B616" s="1">
        <v>56.084722231999997</v>
      </c>
      <c r="C616" s="1">
        <v>56.084722231999997</v>
      </c>
      <c r="D616" s="1">
        <v>56.084722231999997</v>
      </c>
      <c r="E616" s="1" t="s">
        <v>158</v>
      </c>
      <c r="F616" s="1">
        <v>5</v>
      </c>
    </row>
    <row r="617" spans="1:6" x14ac:dyDescent="0.35">
      <c r="A617" s="1">
        <v>2041</v>
      </c>
      <c r="B617" s="1">
        <v>49.048374964096872</v>
      </c>
      <c r="C617" s="1">
        <v>53.605725779598927</v>
      </c>
      <c r="D617" s="1">
        <v>56.084722231999997</v>
      </c>
      <c r="E617" s="1" t="s">
        <v>158</v>
      </c>
      <c r="F617" s="1">
        <v>5</v>
      </c>
    </row>
    <row r="618" spans="1:6" x14ac:dyDescent="0.35">
      <c r="A618" s="1">
        <v>2042</v>
      </c>
      <c r="B618" s="1">
        <v>48.093124086956777</v>
      </c>
      <c r="C618" s="1">
        <v>53.999049963430608</v>
      </c>
      <c r="D618" s="1">
        <v>56.084722231999997</v>
      </c>
      <c r="E618" s="1" t="s">
        <v>158</v>
      </c>
      <c r="F618" s="1">
        <v>5</v>
      </c>
    </row>
    <row r="619" spans="1:6" x14ac:dyDescent="0.35">
      <c r="A619" s="1">
        <v>2043</v>
      </c>
      <c r="B619" s="1">
        <v>48.975311737036208</v>
      </c>
      <c r="C619" s="1">
        <v>53.919889379469389</v>
      </c>
      <c r="D619" s="1">
        <v>56.084722231999997</v>
      </c>
      <c r="E619" s="1" t="s">
        <v>158</v>
      </c>
      <c r="F619" s="1">
        <v>5</v>
      </c>
    </row>
    <row r="620" spans="1:6" x14ac:dyDescent="0.35">
      <c r="A620" s="1">
        <v>2044</v>
      </c>
      <c r="B620" s="1">
        <v>46.985833028831429</v>
      </c>
      <c r="C620" s="1">
        <v>52.894745548671587</v>
      </c>
      <c r="D620" s="1">
        <v>55.588946783759688</v>
      </c>
      <c r="E620" s="1" t="s">
        <v>158</v>
      </c>
      <c r="F620" s="1">
        <v>5</v>
      </c>
    </row>
    <row r="621" spans="1:6" x14ac:dyDescent="0.35">
      <c r="A621" s="1">
        <v>2045</v>
      </c>
      <c r="B621" s="1">
        <v>47.530620010478138</v>
      </c>
      <c r="C621" s="1">
        <v>51.51011129109569</v>
      </c>
      <c r="D621" s="1">
        <v>56.084722231999997</v>
      </c>
      <c r="E621" s="1" t="s">
        <v>158</v>
      </c>
      <c r="F621" s="1">
        <v>5</v>
      </c>
    </row>
    <row r="622" spans="1:6" x14ac:dyDescent="0.35">
      <c r="A622" s="1">
        <v>2046</v>
      </c>
      <c r="B622" s="1">
        <v>48.316319523289231</v>
      </c>
      <c r="C622" s="1">
        <v>52.371912228384737</v>
      </c>
      <c r="D622" s="1">
        <v>56.084722231999997</v>
      </c>
      <c r="E622" s="1" t="s">
        <v>158</v>
      </c>
      <c r="F622" s="1">
        <v>5</v>
      </c>
    </row>
    <row r="623" spans="1:6" x14ac:dyDescent="0.35">
      <c r="A623" s="1">
        <v>2047</v>
      </c>
      <c r="B623" s="1">
        <v>48.509571224129211</v>
      </c>
      <c r="C623" s="1">
        <v>52.754424151971932</v>
      </c>
      <c r="D623" s="1">
        <v>55.83237987193349</v>
      </c>
      <c r="E623" s="1" t="s">
        <v>158</v>
      </c>
      <c r="F623" s="1">
        <v>5</v>
      </c>
    </row>
    <row r="624" spans="1:6" x14ac:dyDescent="0.35">
      <c r="A624" s="1">
        <v>2048</v>
      </c>
      <c r="B624" s="1">
        <v>48.392968979901532</v>
      </c>
      <c r="C624" s="1">
        <v>53.336645939606221</v>
      </c>
      <c r="D624" s="1">
        <v>56.084722231999997</v>
      </c>
      <c r="E624" s="1" t="s">
        <v>158</v>
      </c>
      <c r="F624" s="1">
        <v>5</v>
      </c>
    </row>
    <row r="625" spans="1:6" x14ac:dyDescent="0.35">
      <c r="A625" s="1">
        <v>2049</v>
      </c>
      <c r="B625" s="1">
        <v>56.084722231999997</v>
      </c>
      <c r="C625" s="1">
        <v>56.084722231999997</v>
      </c>
      <c r="D625" s="1">
        <v>56.084722231999997</v>
      </c>
      <c r="E625" s="1" t="s">
        <v>158</v>
      </c>
      <c r="F625" s="1">
        <v>5</v>
      </c>
    </row>
    <row r="626" spans="1:6" x14ac:dyDescent="0.35">
      <c r="A626" s="1">
        <v>2050</v>
      </c>
      <c r="B626" s="1">
        <v>49.877626515357917</v>
      </c>
      <c r="C626" s="1">
        <v>53.08819975966194</v>
      </c>
      <c r="D626" s="1">
        <v>56.084722231999997</v>
      </c>
      <c r="E626" s="1" t="s">
        <v>158</v>
      </c>
      <c r="F626" s="1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8C01-3063-47C0-9DCC-86095A5A3AB8}">
  <sheetPr>
    <tabColor rgb="FFE56B6F"/>
  </sheetPr>
  <dimension ref="A1:G626"/>
  <sheetViews>
    <sheetView topLeftCell="A115" workbookViewId="0">
      <selection activeCell="F16" sqref="F16"/>
    </sheetView>
  </sheetViews>
  <sheetFormatPr defaultRowHeight="14.5" x14ac:dyDescent="0.35"/>
  <cols>
    <col min="1" max="4" width="8.7265625" style="1"/>
    <col min="5" max="5" width="25.453125" style="1" customWidth="1"/>
    <col min="6" max="6" width="16.1796875" style="1" customWidth="1"/>
  </cols>
  <sheetData>
    <row r="1" spans="1:7" x14ac:dyDescent="0.35">
      <c r="A1" s="15" t="s">
        <v>4</v>
      </c>
      <c r="B1" s="15" t="s">
        <v>129</v>
      </c>
      <c r="C1" s="15" t="s">
        <v>130</v>
      </c>
      <c r="D1" s="15" t="s">
        <v>131</v>
      </c>
      <c r="E1" s="15" t="s">
        <v>132</v>
      </c>
      <c r="F1" s="15" t="s">
        <v>133</v>
      </c>
      <c r="G1" s="16"/>
    </row>
    <row r="2" spans="1:7" x14ac:dyDescent="0.35">
      <c r="A2" s="1">
        <v>2026</v>
      </c>
      <c r="B2" s="1">
        <v>52.131650615948899</v>
      </c>
      <c r="C2" s="1">
        <v>52.131650615948899</v>
      </c>
      <c r="D2" s="1">
        <v>52.131650615948899</v>
      </c>
      <c r="E2" s="1" t="s">
        <v>134</v>
      </c>
      <c r="F2" s="1">
        <v>1</v>
      </c>
    </row>
    <row r="3" spans="1:7" x14ac:dyDescent="0.35">
      <c r="A3" s="1">
        <v>2027</v>
      </c>
      <c r="B3" s="1">
        <v>31.619444439999999</v>
      </c>
      <c r="C3" s="1">
        <v>36.923091881504043</v>
      </c>
      <c r="D3" s="1">
        <v>48.552430782892962</v>
      </c>
      <c r="E3" s="1" t="s">
        <v>134</v>
      </c>
      <c r="F3" s="1">
        <v>1</v>
      </c>
    </row>
    <row r="4" spans="1:7" x14ac:dyDescent="0.35">
      <c r="A4" s="1">
        <v>2028</v>
      </c>
      <c r="B4" s="1">
        <v>31.480434527314671</v>
      </c>
      <c r="C4" s="1">
        <v>38.582234796613392</v>
      </c>
      <c r="D4" s="1">
        <v>48.826716100147387</v>
      </c>
      <c r="E4" s="1" t="s">
        <v>134</v>
      </c>
      <c r="F4" s="1">
        <v>1</v>
      </c>
    </row>
    <row r="5" spans="1:7" x14ac:dyDescent="0.35">
      <c r="A5" s="1">
        <v>2029</v>
      </c>
      <c r="B5" s="1">
        <v>31.123851808288361</v>
      </c>
      <c r="C5" s="1">
        <v>38.821187918002693</v>
      </c>
      <c r="D5" s="1">
        <v>51.79514124389776</v>
      </c>
      <c r="E5" s="1" t="s">
        <v>134</v>
      </c>
      <c r="F5" s="1">
        <v>1</v>
      </c>
    </row>
    <row r="6" spans="1:7" x14ac:dyDescent="0.35">
      <c r="A6" s="1">
        <v>2030</v>
      </c>
      <c r="B6" s="1">
        <v>30.81184063037162</v>
      </c>
      <c r="C6" s="1">
        <v>39.157964434052722</v>
      </c>
      <c r="D6" s="1">
        <v>50.938008839589948</v>
      </c>
      <c r="E6" s="1" t="s">
        <v>134</v>
      </c>
      <c r="F6" s="1">
        <v>1</v>
      </c>
    </row>
    <row r="7" spans="1:7" x14ac:dyDescent="0.35">
      <c r="A7" s="1">
        <v>2031</v>
      </c>
      <c r="B7" s="1">
        <v>30.695883664951239</v>
      </c>
      <c r="C7" s="1">
        <v>38.744496835674333</v>
      </c>
      <c r="D7" s="1">
        <v>50.567892871418593</v>
      </c>
      <c r="E7" s="1" t="s">
        <v>134</v>
      </c>
      <c r="F7" s="1">
        <v>1</v>
      </c>
    </row>
    <row r="8" spans="1:7" x14ac:dyDescent="0.35">
      <c r="A8" s="1">
        <v>2032</v>
      </c>
      <c r="B8" s="1">
        <v>31.520636342617571</v>
      </c>
      <c r="C8" s="1">
        <v>37.515614468874809</v>
      </c>
      <c r="D8" s="1">
        <v>49.992286394598928</v>
      </c>
      <c r="E8" s="1" t="s">
        <v>134</v>
      </c>
      <c r="F8" s="1">
        <v>1</v>
      </c>
    </row>
    <row r="9" spans="1:7" x14ac:dyDescent="0.35">
      <c r="A9" s="1">
        <v>2033</v>
      </c>
      <c r="B9" s="1">
        <v>30.062128617295659</v>
      </c>
      <c r="C9" s="1">
        <v>37.412372748971592</v>
      </c>
      <c r="D9" s="1">
        <v>51.402272874051157</v>
      </c>
      <c r="E9" s="1" t="s">
        <v>134</v>
      </c>
      <c r="F9" s="1">
        <v>1</v>
      </c>
    </row>
    <row r="10" spans="1:7" x14ac:dyDescent="0.35">
      <c r="A10" s="1">
        <v>2034</v>
      </c>
      <c r="B10" s="1">
        <v>29.85209661960662</v>
      </c>
      <c r="C10" s="1">
        <v>38.338394013300253</v>
      </c>
      <c r="D10" s="1">
        <v>51.170231673328679</v>
      </c>
      <c r="E10" s="1" t="s">
        <v>134</v>
      </c>
      <c r="F10" s="1">
        <v>1</v>
      </c>
    </row>
    <row r="11" spans="1:7" x14ac:dyDescent="0.35">
      <c r="A11" s="1">
        <v>2035</v>
      </c>
      <c r="B11" s="1">
        <v>30.852190974139919</v>
      </c>
      <c r="C11" s="1">
        <v>40.204814594151827</v>
      </c>
      <c r="D11" s="1">
        <v>51.314267334871737</v>
      </c>
      <c r="E11" s="1" t="s">
        <v>134</v>
      </c>
      <c r="F11" s="1">
        <v>1</v>
      </c>
    </row>
    <row r="12" spans="1:7" x14ac:dyDescent="0.35">
      <c r="A12" s="1">
        <v>2036</v>
      </c>
      <c r="B12" s="1">
        <v>30.27512812820914</v>
      </c>
      <c r="C12" s="1">
        <v>39.500694990286732</v>
      </c>
      <c r="D12" s="1">
        <v>50.065142501041407</v>
      </c>
      <c r="E12" s="1" t="s">
        <v>134</v>
      </c>
      <c r="F12" s="1">
        <v>1</v>
      </c>
    </row>
    <row r="13" spans="1:7" x14ac:dyDescent="0.35">
      <c r="A13" s="1">
        <v>2037</v>
      </c>
      <c r="B13" s="1">
        <v>29.778023430589499</v>
      </c>
      <c r="C13" s="1">
        <v>38.576161986554283</v>
      </c>
      <c r="D13" s="1">
        <v>50.746628674692431</v>
      </c>
      <c r="E13" s="1" t="s">
        <v>134</v>
      </c>
      <c r="F13" s="1">
        <v>1</v>
      </c>
    </row>
    <row r="14" spans="1:7" x14ac:dyDescent="0.35">
      <c r="A14" s="1">
        <v>2038</v>
      </c>
      <c r="B14" s="1">
        <v>30.703403448043971</v>
      </c>
      <c r="C14" s="1">
        <v>36.559868586266241</v>
      </c>
      <c r="D14" s="1">
        <v>52.697429135932737</v>
      </c>
      <c r="E14" s="1" t="s">
        <v>134</v>
      </c>
      <c r="F14" s="1">
        <v>1</v>
      </c>
    </row>
    <row r="15" spans="1:7" x14ac:dyDescent="0.35">
      <c r="A15" s="1">
        <v>2039</v>
      </c>
      <c r="B15" s="1">
        <v>30.356660431932742</v>
      </c>
      <c r="C15" s="1">
        <v>37.291636108981713</v>
      </c>
      <c r="D15" s="1">
        <v>51.062722729627232</v>
      </c>
      <c r="E15" s="1" t="s">
        <v>134</v>
      </c>
      <c r="F15" s="1">
        <v>1</v>
      </c>
    </row>
    <row r="16" spans="1:7" x14ac:dyDescent="0.35">
      <c r="A16" s="1">
        <v>2040</v>
      </c>
      <c r="B16" s="1">
        <v>29.89227235407499</v>
      </c>
      <c r="C16" s="1">
        <v>37.521829217343537</v>
      </c>
      <c r="D16" s="1">
        <v>50.658398728432147</v>
      </c>
      <c r="E16" s="1" t="s">
        <v>134</v>
      </c>
      <c r="F16" s="1">
        <v>1</v>
      </c>
    </row>
    <row r="17" spans="1:6" x14ac:dyDescent="0.35">
      <c r="A17" s="1">
        <v>2041</v>
      </c>
      <c r="B17" s="1">
        <v>29.682461482440939</v>
      </c>
      <c r="C17" s="1">
        <v>39.212754634558117</v>
      </c>
      <c r="D17" s="1">
        <v>51.046792315662401</v>
      </c>
      <c r="E17" s="1" t="s">
        <v>134</v>
      </c>
      <c r="F17" s="1">
        <v>1</v>
      </c>
    </row>
    <row r="18" spans="1:6" x14ac:dyDescent="0.35">
      <c r="A18" s="1">
        <v>2042</v>
      </c>
      <c r="B18" s="1">
        <v>29.607983278143571</v>
      </c>
      <c r="C18" s="1">
        <v>38.588190541897937</v>
      </c>
      <c r="D18" s="1">
        <v>52.223198598593548</v>
      </c>
      <c r="E18" s="1" t="s">
        <v>134</v>
      </c>
      <c r="F18" s="1">
        <v>1</v>
      </c>
    </row>
    <row r="19" spans="1:6" x14ac:dyDescent="0.35">
      <c r="A19" s="1">
        <v>2043</v>
      </c>
      <c r="B19" s="1">
        <v>30.802862814019591</v>
      </c>
      <c r="C19" s="1">
        <v>38.199778894638627</v>
      </c>
      <c r="D19" s="1">
        <v>50.670243498553518</v>
      </c>
      <c r="E19" s="1" t="s">
        <v>134</v>
      </c>
      <c r="F19" s="1">
        <v>1</v>
      </c>
    </row>
    <row r="20" spans="1:6" x14ac:dyDescent="0.35">
      <c r="A20" s="1">
        <v>2044</v>
      </c>
      <c r="B20" s="1">
        <v>30.765536623834642</v>
      </c>
      <c r="C20" s="1">
        <v>38.75365394295072</v>
      </c>
      <c r="D20" s="1">
        <v>51.27310619442688</v>
      </c>
      <c r="E20" s="1" t="s">
        <v>134</v>
      </c>
      <c r="F20" s="1">
        <v>1</v>
      </c>
    </row>
    <row r="21" spans="1:6" x14ac:dyDescent="0.35">
      <c r="A21" s="1">
        <v>2045</v>
      </c>
      <c r="B21" s="1">
        <v>30.346139499939259</v>
      </c>
      <c r="C21" s="1">
        <v>37.356538604060908</v>
      </c>
      <c r="D21" s="1">
        <v>53.936776674091753</v>
      </c>
      <c r="E21" s="1" t="s">
        <v>134</v>
      </c>
      <c r="F21" s="1">
        <v>1</v>
      </c>
    </row>
    <row r="22" spans="1:6" x14ac:dyDescent="0.35">
      <c r="A22" s="1">
        <v>2046</v>
      </c>
      <c r="B22" s="1">
        <v>30.688754142081049</v>
      </c>
      <c r="C22" s="1">
        <v>38.659083769148538</v>
      </c>
      <c r="D22" s="1">
        <v>53.8952437312347</v>
      </c>
      <c r="E22" s="1" t="s">
        <v>134</v>
      </c>
      <c r="F22" s="1">
        <v>1</v>
      </c>
    </row>
    <row r="23" spans="1:6" x14ac:dyDescent="0.35">
      <c r="A23" s="1">
        <v>2047</v>
      </c>
      <c r="B23" s="1">
        <v>29.439186705477461</v>
      </c>
      <c r="C23" s="1">
        <v>39.226672834314321</v>
      </c>
      <c r="D23" s="1">
        <v>55.032550866068448</v>
      </c>
      <c r="E23" s="1" t="s">
        <v>134</v>
      </c>
      <c r="F23" s="1">
        <v>1</v>
      </c>
    </row>
    <row r="24" spans="1:6" x14ac:dyDescent="0.35">
      <c r="A24" s="1">
        <v>2048</v>
      </c>
      <c r="B24" s="1">
        <v>29.641877374811539</v>
      </c>
      <c r="C24" s="1">
        <v>39.114105722336546</v>
      </c>
      <c r="D24" s="1">
        <v>53.483168579589602</v>
      </c>
      <c r="E24" s="1" t="s">
        <v>134</v>
      </c>
      <c r="F24" s="1">
        <v>1</v>
      </c>
    </row>
    <row r="25" spans="1:6" x14ac:dyDescent="0.35">
      <c r="A25" s="1">
        <v>2049</v>
      </c>
      <c r="B25" s="1">
        <v>30.168109645173221</v>
      </c>
      <c r="C25" s="1">
        <v>38.560473199256052</v>
      </c>
      <c r="D25" s="1">
        <v>53.406950457438022</v>
      </c>
      <c r="E25" s="1" t="s">
        <v>134</v>
      </c>
      <c r="F25" s="1">
        <v>1</v>
      </c>
    </row>
    <row r="26" spans="1:6" x14ac:dyDescent="0.35">
      <c r="A26" s="1">
        <v>2050</v>
      </c>
      <c r="B26" s="1">
        <v>30.54881797450728</v>
      </c>
      <c r="C26" s="1">
        <v>38.388239165958318</v>
      </c>
      <c r="D26" s="1">
        <v>53.932144284965943</v>
      </c>
      <c r="E26" s="1" t="s">
        <v>134</v>
      </c>
      <c r="F26" s="1">
        <v>1</v>
      </c>
    </row>
    <row r="27" spans="1:6" x14ac:dyDescent="0.35">
      <c r="A27" s="1">
        <v>2026</v>
      </c>
      <c r="B27" s="1">
        <v>30.99057804982187</v>
      </c>
      <c r="C27" s="1">
        <v>30.36490174226876</v>
      </c>
      <c r="D27" s="1">
        <v>32.783359022615663</v>
      </c>
      <c r="E27" s="1" t="s">
        <v>135</v>
      </c>
      <c r="F27" s="1">
        <v>1</v>
      </c>
    </row>
    <row r="28" spans="1:6" x14ac:dyDescent="0.35">
      <c r="A28" s="1">
        <v>2027</v>
      </c>
      <c r="B28" s="1">
        <v>29.441300426505961</v>
      </c>
      <c r="C28" s="1">
        <v>30.438147445697219</v>
      </c>
      <c r="D28" s="1">
        <v>33.654165623735253</v>
      </c>
      <c r="E28" s="1" t="s">
        <v>135</v>
      </c>
      <c r="F28" s="1">
        <v>1</v>
      </c>
    </row>
    <row r="29" spans="1:6" x14ac:dyDescent="0.35">
      <c r="A29" s="1">
        <v>2028</v>
      </c>
      <c r="B29" s="1">
        <v>29.934648536755521</v>
      </c>
      <c r="C29" s="1">
        <v>29.97678290098267</v>
      </c>
      <c r="D29" s="1">
        <v>32.939563421606209</v>
      </c>
      <c r="E29" s="1" t="s">
        <v>135</v>
      </c>
      <c r="F29" s="1">
        <v>1</v>
      </c>
    </row>
    <row r="30" spans="1:6" x14ac:dyDescent="0.35">
      <c r="A30" s="1">
        <v>2029</v>
      </c>
      <c r="B30" s="1">
        <v>29.961898742838901</v>
      </c>
      <c r="C30" s="1">
        <v>30.640068858609791</v>
      </c>
      <c r="D30" s="1">
        <v>34.044208894550529</v>
      </c>
      <c r="E30" s="1" t="s">
        <v>135</v>
      </c>
      <c r="F30" s="1">
        <v>1</v>
      </c>
    </row>
    <row r="31" spans="1:6" x14ac:dyDescent="0.35">
      <c r="A31" s="1">
        <v>2030</v>
      </c>
      <c r="B31" s="1">
        <v>28.814727182185742</v>
      </c>
      <c r="C31" s="1">
        <v>31.888781394982789</v>
      </c>
      <c r="D31" s="1">
        <v>34.956615514833487</v>
      </c>
      <c r="E31" s="1" t="s">
        <v>135</v>
      </c>
      <c r="F31" s="1">
        <v>1</v>
      </c>
    </row>
    <row r="32" spans="1:6" x14ac:dyDescent="0.35">
      <c r="A32" s="1">
        <v>2031</v>
      </c>
      <c r="B32" s="1">
        <v>47.507453614690803</v>
      </c>
      <c r="C32" s="1">
        <v>52.575712182614623</v>
      </c>
      <c r="D32" s="1">
        <v>57.633715550992093</v>
      </c>
      <c r="E32" s="1" t="s">
        <v>135</v>
      </c>
      <c r="F32" s="1">
        <v>1</v>
      </c>
    </row>
    <row r="33" spans="1:6" x14ac:dyDescent="0.35">
      <c r="A33" s="1">
        <v>2032</v>
      </c>
      <c r="B33" s="1">
        <v>32.244275992497158</v>
      </c>
      <c r="C33" s="1">
        <v>37.450107109774223</v>
      </c>
      <c r="D33" s="1">
        <v>48.758363756733488</v>
      </c>
      <c r="E33" s="1" t="s">
        <v>135</v>
      </c>
      <c r="F33" s="1">
        <v>1</v>
      </c>
    </row>
    <row r="34" spans="1:6" x14ac:dyDescent="0.35">
      <c r="A34" s="1">
        <v>2033</v>
      </c>
      <c r="B34" s="1">
        <v>32.644955900997047</v>
      </c>
      <c r="C34" s="1">
        <v>37.224037847034623</v>
      </c>
      <c r="D34" s="1">
        <v>50.225107824442702</v>
      </c>
      <c r="E34" s="1" t="s">
        <v>135</v>
      </c>
      <c r="F34" s="1">
        <v>1</v>
      </c>
    </row>
    <row r="35" spans="1:6" x14ac:dyDescent="0.35">
      <c r="A35" s="1">
        <v>2034</v>
      </c>
      <c r="B35" s="1">
        <v>31.341027047856411</v>
      </c>
      <c r="C35" s="1">
        <v>36.537156205643768</v>
      </c>
      <c r="D35" s="1">
        <v>48.396781924628293</v>
      </c>
      <c r="E35" s="1" t="s">
        <v>135</v>
      </c>
      <c r="F35" s="1">
        <v>1</v>
      </c>
    </row>
    <row r="36" spans="1:6" x14ac:dyDescent="0.35">
      <c r="A36" s="1">
        <v>2035</v>
      </c>
      <c r="B36" s="1">
        <v>32.388442848446623</v>
      </c>
      <c r="C36" s="1">
        <v>38.17950416903011</v>
      </c>
      <c r="D36" s="1">
        <v>50.637268021705417</v>
      </c>
      <c r="E36" s="1" t="s">
        <v>135</v>
      </c>
      <c r="F36" s="1">
        <v>1</v>
      </c>
    </row>
    <row r="37" spans="1:6" x14ac:dyDescent="0.35">
      <c r="A37" s="1">
        <v>2036</v>
      </c>
      <c r="B37" s="1">
        <v>32.020682509461977</v>
      </c>
      <c r="C37" s="1">
        <v>38.539050341302669</v>
      </c>
      <c r="D37" s="1">
        <v>51.249683035773828</v>
      </c>
      <c r="E37" s="1" t="s">
        <v>135</v>
      </c>
      <c r="F37" s="1">
        <v>1</v>
      </c>
    </row>
    <row r="38" spans="1:6" x14ac:dyDescent="0.35">
      <c r="A38" s="1">
        <v>2037</v>
      </c>
      <c r="B38" s="1">
        <v>31.506477685483912</v>
      </c>
      <c r="C38" s="1">
        <v>38.148812423073387</v>
      </c>
      <c r="D38" s="1">
        <v>51.062989755515517</v>
      </c>
      <c r="E38" s="1" t="s">
        <v>135</v>
      </c>
      <c r="F38" s="1">
        <v>1</v>
      </c>
    </row>
    <row r="39" spans="1:6" x14ac:dyDescent="0.35">
      <c r="A39" s="1">
        <v>2038</v>
      </c>
      <c r="B39" s="1">
        <v>30.683209222594311</v>
      </c>
      <c r="C39" s="1">
        <v>37.259410367935907</v>
      </c>
      <c r="D39" s="1">
        <v>51.72805507722051</v>
      </c>
      <c r="E39" s="1" t="s">
        <v>135</v>
      </c>
      <c r="F39" s="1">
        <v>1</v>
      </c>
    </row>
    <row r="40" spans="1:6" x14ac:dyDescent="0.35">
      <c r="A40" s="1">
        <v>2039</v>
      </c>
      <c r="B40" s="1">
        <v>29.441948793884318</v>
      </c>
      <c r="C40" s="1">
        <v>37.650920425622132</v>
      </c>
      <c r="D40" s="1">
        <v>51.637736665271021</v>
      </c>
      <c r="E40" s="1" t="s">
        <v>135</v>
      </c>
      <c r="F40" s="1">
        <v>1</v>
      </c>
    </row>
    <row r="41" spans="1:6" x14ac:dyDescent="0.35">
      <c r="A41" s="1">
        <v>2040</v>
      </c>
      <c r="B41" s="1">
        <v>30.109054058076261</v>
      </c>
      <c r="C41" s="1">
        <v>39.253421397947712</v>
      </c>
      <c r="D41" s="1">
        <v>53.054706749003557</v>
      </c>
      <c r="E41" s="1" t="s">
        <v>135</v>
      </c>
      <c r="F41" s="1">
        <v>1</v>
      </c>
    </row>
    <row r="42" spans="1:6" x14ac:dyDescent="0.35">
      <c r="A42" s="1">
        <v>2041</v>
      </c>
      <c r="B42" s="1">
        <v>30.543594127395199</v>
      </c>
      <c r="C42" s="1">
        <v>39.129322648635721</v>
      </c>
      <c r="D42" s="1">
        <v>51.344960472073261</v>
      </c>
      <c r="E42" s="1" t="s">
        <v>135</v>
      </c>
      <c r="F42" s="1">
        <v>1</v>
      </c>
    </row>
    <row r="43" spans="1:6" x14ac:dyDescent="0.35">
      <c r="A43" s="1">
        <v>2042</v>
      </c>
      <c r="B43" s="1">
        <v>30.79778242737547</v>
      </c>
      <c r="C43" s="1">
        <v>38.446815442161821</v>
      </c>
      <c r="D43" s="1">
        <v>52.497071276592557</v>
      </c>
      <c r="E43" s="1" t="s">
        <v>135</v>
      </c>
      <c r="F43" s="1">
        <v>1</v>
      </c>
    </row>
    <row r="44" spans="1:6" x14ac:dyDescent="0.35">
      <c r="A44" s="1">
        <v>2043</v>
      </c>
      <c r="B44" s="1">
        <v>29.150298607374939</v>
      </c>
      <c r="C44" s="1">
        <v>37.876348108209143</v>
      </c>
      <c r="D44" s="1">
        <v>52.934050399054918</v>
      </c>
      <c r="E44" s="1" t="s">
        <v>135</v>
      </c>
      <c r="F44" s="1">
        <v>1</v>
      </c>
    </row>
    <row r="45" spans="1:6" x14ac:dyDescent="0.35">
      <c r="A45" s="1">
        <v>2044</v>
      </c>
      <c r="B45" s="1">
        <v>30.747818421466722</v>
      </c>
      <c r="C45" s="1">
        <v>38.123550800245368</v>
      </c>
      <c r="D45" s="1">
        <v>53.788962942999191</v>
      </c>
      <c r="E45" s="1" t="s">
        <v>135</v>
      </c>
      <c r="F45" s="1">
        <v>1</v>
      </c>
    </row>
    <row r="46" spans="1:6" x14ac:dyDescent="0.35">
      <c r="A46" s="1">
        <v>2045</v>
      </c>
      <c r="B46" s="1">
        <v>30.55939572681902</v>
      </c>
      <c r="C46" s="1">
        <v>38.270570789721113</v>
      </c>
      <c r="D46" s="1">
        <v>49.611698391204349</v>
      </c>
      <c r="E46" s="1" t="s">
        <v>135</v>
      </c>
      <c r="F46" s="1">
        <v>1</v>
      </c>
    </row>
    <row r="47" spans="1:6" x14ac:dyDescent="0.35">
      <c r="A47" s="1">
        <v>2046</v>
      </c>
      <c r="B47" s="1">
        <v>29.681343526866339</v>
      </c>
      <c r="C47" s="1">
        <v>38.742016694391609</v>
      </c>
      <c r="D47" s="1">
        <v>51.214399846046888</v>
      </c>
      <c r="E47" s="1" t="s">
        <v>135</v>
      </c>
      <c r="F47" s="1">
        <v>1</v>
      </c>
    </row>
    <row r="48" spans="1:6" x14ac:dyDescent="0.35">
      <c r="A48" s="1">
        <v>2047</v>
      </c>
      <c r="B48" s="1">
        <v>30.380970508412641</v>
      </c>
      <c r="C48" s="1">
        <v>37.965371904812613</v>
      </c>
      <c r="D48" s="1">
        <v>51.253309337585243</v>
      </c>
      <c r="E48" s="1" t="s">
        <v>135</v>
      </c>
      <c r="F48" s="1">
        <v>1</v>
      </c>
    </row>
    <row r="49" spans="1:6" x14ac:dyDescent="0.35">
      <c r="A49" s="1">
        <v>2048</v>
      </c>
      <c r="B49" s="1">
        <v>29.65828726251544</v>
      </c>
      <c r="C49" s="1">
        <v>37.816800293620837</v>
      </c>
      <c r="D49" s="1">
        <v>51.801855059957113</v>
      </c>
      <c r="E49" s="1" t="s">
        <v>135</v>
      </c>
      <c r="F49" s="1">
        <v>1</v>
      </c>
    </row>
    <row r="50" spans="1:6" x14ac:dyDescent="0.35">
      <c r="A50" s="1">
        <v>2049</v>
      </c>
      <c r="B50" s="1">
        <v>29.07942093528105</v>
      </c>
      <c r="C50" s="1">
        <v>38.323725706471407</v>
      </c>
      <c r="D50" s="1">
        <v>53.517018021365537</v>
      </c>
      <c r="E50" s="1" t="s">
        <v>135</v>
      </c>
      <c r="F50" s="1">
        <v>1</v>
      </c>
    </row>
    <row r="51" spans="1:6" x14ac:dyDescent="0.35">
      <c r="A51" s="1">
        <v>2050</v>
      </c>
      <c r="B51" s="1">
        <v>27.911616040619428</v>
      </c>
      <c r="C51" s="1">
        <v>39.336880421413348</v>
      </c>
      <c r="D51" s="1">
        <v>56.426513699737782</v>
      </c>
      <c r="E51" s="1" t="s">
        <v>135</v>
      </c>
      <c r="F51" s="1">
        <v>1</v>
      </c>
    </row>
    <row r="52" spans="1:6" x14ac:dyDescent="0.35">
      <c r="A52" s="1">
        <v>2026</v>
      </c>
      <c r="B52" s="1">
        <v>30.849946489682559</v>
      </c>
      <c r="C52" s="1">
        <v>32.430417068058937</v>
      </c>
      <c r="D52" s="1">
        <v>31.289745472857259</v>
      </c>
      <c r="E52" s="1" t="s">
        <v>136</v>
      </c>
      <c r="F52" s="1">
        <v>1</v>
      </c>
    </row>
    <row r="53" spans="1:6" x14ac:dyDescent="0.35">
      <c r="A53" s="1">
        <v>2027</v>
      </c>
      <c r="B53" s="1">
        <v>30.81060222035229</v>
      </c>
      <c r="C53" s="1">
        <v>32.78759523871026</v>
      </c>
      <c r="D53" s="1">
        <v>32.098585677669959</v>
      </c>
      <c r="E53" s="1" t="s">
        <v>136</v>
      </c>
      <c r="F53" s="1">
        <v>1</v>
      </c>
    </row>
    <row r="54" spans="1:6" x14ac:dyDescent="0.35">
      <c r="A54" s="1">
        <v>2028</v>
      </c>
      <c r="B54" s="1">
        <v>29.793173630620188</v>
      </c>
      <c r="C54" s="1">
        <v>32.171726332481413</v>
      </c>
      <c r="D54" s="1">
        <v>33.219510026872641</v>
      </c>
      <c r="E54" s="1" t="s">
        <v>136</v>
      </c>
      <c r="F54" s="1">
        <v>1</v>
      </c>
    </row>
    <row r="55" spans="1:6" x14ac:dyDescent="0.35">
      <c r="A55" s="1">
        <v>2029</v>
      </c>
      <c r="B55" s="1">
        <v>29.772213180206279</v>
      </c>
      <c r="C55" s="1">
        <v>31.339754258620719</v>
      </c>
      <c r="D55" s="1">
        <v>35.048430109686507</v>
      </c>
      <c r="E55" s="1" t="s">
        <v>136</v>
      </c>
      <c r="F55" s="1">
        <v>1</v>
      </c>
    </row>
    <row r="56" spans="1:6" x14ac:dyDescent="0.35">
      <c r="A56" s="1">
        <v>2030</v>
      </c>
      <c r="B56" s="1">
        <v>28.926898255118441</v>
      </c>
      <c r="C56" s="1">
        <v>29.847170776136341</v>
      </c>
      <c r="D56" s="1">
        <v>35.304221717151883</v>
      </c>
      <c r="E56" s="1" t="s">
        <v>136</v>
      </c>
      <c r="F56" s="1">
        <v>1</v>
      </c>
    </row>
    <row r="57" spans="1:6" x14ac:dyDescent="0.35">
      <c r="A57" s="1">
        <v>2031</v>
      </c>
      <c r="B57" s="1">
        <v>29.106733589215079</v>
      </c>
      <c r="C57" s="1">
        <v>33.072672757601552</v>
      </c>
      <c r="D57" s="1">
        <v>35.046357607529167</v>
      </c>
      <c r="E57" s="1" t="s">
        <v>136</v>
      </c>
      <c r="F57" s="1">
        <v>1</v>
      </c>
    </row>
    <row r="58" spans="1:6" x14ac:dyDescent="0.35">
      <c r="A58" s="1">
        <v>2032</v>
      </c>
      <c r="B58" s="1">
        <v>28.040406659125331</v>
      </c>
      <c r="C58" s="1">
        <v>32.566299581648693</v>
      </c>
      <c r="D58" s="1">
        <v>34.369660084345298</v>
      </c>
      <c r="E58" s="1" t="s">
        <v>136</v>
      </c>
      <c r="F58" s="1">
        <v>1</v>
      </c>
    </row>
    <row r="59" spans="1:6" x14ac:dyDescent="0.35">
      <c r="A59" s="1">
        <v>2033</v>
      </c>
      <c r="B59" s="1">
        <v>28.640591422629289</v>
      </c>
      <c r="C59" s="1">
        <v>32.18077392808226</v>
      </c>
      <c r="D59" s="1">
        <v>34.024864531062939</v>
      </c>
      <c r="E59" s="1" t="s">
        <v>136</v>
      </c>
      <c r="F59" s="1">
        <v>1</v>
      </c>
    </row>
    <row r="60" spans="1:6" x14ac:dyDescent="0.35">
      <c r="A60" s="1">
        <v>2034</v>
      </c>
      <c r="B60" s="1">
        <v>28.54769105988683</v>
      </c>
      <c r="C60" s="1">
        <v>31.922725952284448</v>
      </c>
      <c r="D60" s="1">
        <v>34.777315173368947</v>
      </c>
      <c r="E60" s="1" t="s">
        <v>136</v>
      </c>
      <c r="F60" s="1">
        <v>1</v>
      </c>
    </row>
    <row r="61" spans="1:6" x14ac:dyDescent="0.35">
      <c r="A61" s="1">
        <v>2035</v>
      </c>
      <c r="B61" s="1">
        <v>28.01187193707656</v>
      </c>
      <c r="C61" s="1">
        <v>30.745370893360921</v>
      </c>
      <c r="D61" s="1">
        <v>35.69687225367003</v>
      </c>
      <c r="E61" s="1" t="s">
        <v>136</v>
      </c>
      <c r="F61" s="1">
        <v>1</v>
      </c>
    </row>
    <row r="62" spans="1:6" x14ac:dyDescent="0.35">
      <c r="A62" s="1">
        <v>2036</v>
      </c>
      <c r="B62" s="1">
        <v>28.53223311066251</v>
      </c>
      <c r="C62" s="1">
        <v>32.331007797934923</v>
      </c>
      <c r="D62" s="1">
        <v>36.339629724622789</v>
      </c>
      <c r="E62" s="1" t="s">
        <v>136</v>
      </c>
      <c r="F62" s="1">
        <v>1</v>
      </c>
    </row>
    <row r="63" spans="1:6" x14ac:dyDescent="0.35">
      <c r="A63" s="1">
        <v>2037</v>
      </c>
      <c r="B63" s="1">
        <v>28.995368194579989</v>
      </c>
      <c r="C63" s="1">
        <v>32.633325961418379</v>
      </c>
      <c r="D63" s="1">
        <v>35.757460427213722</v>
      </c>
      <c r="E63" s="1" t="s">
        <v>136</v>
      </c>
      <c r="F63" s="1">
        <v>1</v>
      </c>
    </row>
    <row r="64" spans="1:6" x14ac:dyDescent="0.35">
      <c r="A64" s="1">
        <v>2038</v>
      </c>
      <c r="B64" s="1">
        <v>47.805280294185998</v>
      </c>
      <c r="C64" s="1">
        <v>53.803258646281193</v>
      </c>
      <c r="D64" s="1">
        <v>58.954085592565363</v>
      </c>
      <c r="E64" s="1" t="s">
        <v>136</v>
      </c>
      <c r="F64" s="1">
        <v>1</v>
      </c>
    </row>
    <row r="65" spans="1:6" x14ac:dyDescent="0.35">
      <c r="A65" s="1">
        <v>2039</v>
      </c>
      <c r="B65" s="1">
        <v>30.556856570112181</v>
      </c>
      <c r="C65" s="1">
        <v>38.414438225451043</v>
      </c>
      <c r="D65" s="1">
        <v>55.898124813754208</v>
      </c>
      <c r="E65" s="1" t="s">
        <v>136</v>
      </c>
      <c r="F65" s="1">
        <v>1</v>
      </c>
    </row>
    <row r="66" spans="1:6" x14ac:dyDescent="0.35">
      <c r="A66" s="1">
        <v>2040</v>
      </c>
      <c r="B66" s="1">
        <v>30.031116153654459</v>
      </c>
      <c r="C66" s="1">
        <v>37.299438854144157</v>
      </c>
      <c r="D66" s="1">
        <v>54.436293614997368</v>
      </c>
      <c r="E66" s="1" t="s">
        <v>136</v>
      </c>
      <c r="F66" s="1">
        <v>1</v>
      </c>
    </row>
    <row r="67" spans="1:6" x14ac:dyDescent="0.35">
      <c r="A67" s="1">
        <v>2041</v>
      </c>
      <c r="B67" s="1">
        <v>31.208971272750951</v>
      </c>
      <c r="C67" s="1">
        <v>37.42593042727713</v>
      </c>
      <c r="D67" s="1">
        <v>52.981155979537128</v>
      </c>
      <c r="E67" s="1" t="s">
        <v>136</v>
      </c>
      <c r="F67" s="1">
        <v>1</v>
      </c>
    </row>
    <row r="68" spans="1:6" x14ac:dyDescent="0.35">
      <c r="A68" s="1">
        <v>2042</v>
      </c>
      <c r="B68" s="1">
        <v>29.344129022626198</v>
      </c>
      <c r="C68" s="1">
        <v>39.635513077666317</v>
      </c>
      <c r="D68" s="1">
        <v>53.451687336149639</v>
      </c>
      <c r="E68" s="1" t="s">
        <v>136</v>
      </c>
      <c r="F68" s="1">
        <v>1</v>
      </c>
    </row>
    <row r="69" spans="1:6" x14ac:dyDescent="0.35">
      <c r="A69" s="1">
        <v>2043</v>
      </c>
      <c r="B69" s="1">
        <v>29.01401524783099</v>
      </c>
      <c r="C69" s="1">
        <v>38.258946111464461</v>
      </c>
      <c r="D69" s="1">
        <v>54.185441676940407</v>
      </c>
      <c r="E69" s="1" t="s">
        <v>136</v>
      </c>
      <c r="F69" s="1">
        <v>1</v>
      </c>
    </row>
    <row r="70" spans="1:6" x14ac:dyDescent="0.35">
      <c r="A70" s="1">
        <v>2044</v>
      </c>
      <c r="B70" s="1">
        <v>29.895490231702141</v>
      </c>
      <c r="C70" s="1">
        <v>39.497513122926968</v>
      </c>
      <c r="D70" s="1">
        <v>51.344092930722873</v>
      </c>
      <c r="E70" s="1" t="s">
        <v>136</v>
      </c>
      <c r="F70" s="1">
        <v>1</v>
      </c>
    </row>
    <row r="71" spans="1:6" x14ac:dyDescent="0.35">
      <c r="A71" s="1">
        <v>2045</v>
      </c>
      <c r="B71" s="1">
        <v>29.840994866669451</v>
      </c>
      <c r="C71" s="1">
        <v>38.197773136930337</v>
      </c>
      <c r="D71" s="1">
        <v>50.014168594185413</v>
      </c>
      <c r="E71" s="1" t="s">
        <v>136</v>
      </c>
      <c r="F71" s="1">
        <v>1</v>
      </c>
    </row>
    <row r="72" spans="1:6" x14ac:dyDescent="0.35">
      <c r="A72" s="1">
        <v>2046</v>
      </c>
      <c r="B72" s="1">
        <v>28.708938784563831</v>
      </c>
      <c r="C72" s="1">
        <v>39.455950065285187</v>
      </c>
      <c r="D72" s="1">
        <v>53.192221112484887</v>
      </c>
      <c r="E72" s="1" t="s">
        <v>136</v>
      </c>
      <c r="F72" s="1">
        <v>1</v>
      </c>
    </row>
    <row r="73" spans="1:6" x14ac:dyDescent="0.35">
      <c r="A73" s="1">
        <v>2047</v>
      </c>
      <c r="B73" s="1">
        <v>29.17278372287273</v>
      </c>
      <c r="C73" s="1">
        <v>40.045491706082338</v>
      </c>
      <c r="D73" s="1">
        <v>54.064360678836273</v>
      </c>
      <c r="E73" s="1" t="s">
        <v>136</v>
      </c>
      <c r="F73" s="1">
        <v>1</v>
      </c>
    </row>
    <row r="74" spans="1:6" x14ac:dyDescent="0.35">
      <c r="A74" s="1">
        <v>2048</v>
      </c>
      <c r="B74" s="1">
        <v>29.52654819287751</v>
      </c>
      <c r="C74" s="1">
        <v>38.742827986609868</v>
      </c>
      <c r="D74" s="1">
        <v>52.518072111072421</v>
      </c>
      <c r="E74" s="1" t="s">
        <v>136</v>
      </c>
      <c r="F74" s="1">
        <v>1</v>
      </c>
    </row>
    <row r="75" spans="1:6" x14ac:dyDescent="0.35">
      <c r="A75" s="1">
        <v>2049</v>
      </c>
      <c r="B75" s="1">
        <v>30.41371905835183</v>
      </c>
      <c r="C75" s="1">
        <v>37.292763915727832</v>
      </c>
      <c r="D75" s="1">
        <v>53.78511063751688</v>
      </c>
      <c r="E75" s="1" t="s">
        <v>136</v>
      </c>
      <c r="F75" s="1">
        <v>1</v>
      </c>
    </row>
    <row r="76" spans="1:6" x14ac:dyDescent="0.35">
      <c r="A76" s="1">
        <v>2050</v>
      </c>
      <c r="B76" s="1">
        <v>30.67446353502616</v>
      </c>
      <c r="C76" s="1">
        <v>38.267145598176931</v>
      </c>
      <c r="D76" s="1">
        <v>55.982606321696558</v>
      </c>
      <c r="E76" s="1" t="s">
        <v>136</v>
      </c>
      <c r="F76" s="1">
        <v>1</v>
      </c>
    </row>
    <row r="77" spans="1:6" x14ac:dyDescent="0.35">
      <c r="A77" s="1">
        <v>2026</v>
      </c>
      <c r="B77" s="1">
        <v>30.849946489682559</v>
      </c>
      <c r="C77" s="1">
        <v>31.33585929799116</v>
      </c>
      <c r="D77" s="1">
        <v>33.108079340312983</v>
      </c>
      <c r="E77" s="1" t="s">
        <v>137</v>
      </c>
      <c r="F77" s="1">
        <v>1</v>
      </c>
    </row>
    <row r="78" spans="1:6" x14ac:dyDescent="0.35">
      <c r="A78" s="1">
        <v>2027</v>
      </c>
      <c r="B78" s="1">
        <v>30.81060222035229</v>
      </c>
      <c r="C78" s="1">
        <v>32.789972692732618</v>
      </c>
      <c r="D78" s="1">
        <v>31.241591471913249</v>
      </c>
      <c r="E78" s="1" t="s">
        <v>137</v>
      </c>
      <c r="F78" s="1">
        <v>1</v>
      </c>
    </row>
    <row r="79" spans="1:6" x14ac:dyDescent="0.35">
      <c r="A79" s="1">
        <v>2028</v>
      </c>
      <c r="B79" s="1">
        <v>29.793173630620188</v>
      </c>
      <c r="C79" s="1">
        <v>32.195533995918566</v>
      </c>
      <c r="D79" s="1">
        <v>31.690725722348709</v>
      </c>
      <c r="E79" s="1" t="s">
        <v>137</v>
      </c>
      <c r="F79" s="1">
        <v>1</v>
      </c>
    </row>
    <row r="80" spans="1:6" x14ac:dyDescent="0.35">
      <c r="A80" s="1">
        <v>2029</v>
      </c>
      <c r="B80" s="1">
        <v>29.772213180206279</v>
      </c>
      <c r="C80" s="1">
        <v>31.902997363994139</v>
      </c>
      <c r="D80" s="1">
        <v>34.738603360125268</v>
      </c>
      <c r="E80" s="1" t="s">
        <v>137</v>
      </c>
      <c r="F80" s="1">
        <v>1</v>
      </c>
    </row>
    <row r="81" spans="1:6" x14ac:dyDescent="0.35">
      <c r="A81" s="1">
        <v>2030</v>
      </c>
      <c r="B81" s="1">
        <v>28.926898255118441</v>
      </c>
      <c r="C81" s="1">
        <v>30.2474845733983</v>
      </c>
      <c r="D81" s="1">
        <v>34.091350943608177</v>
      </c>
      <c r="E81" s="1" t="s">
        <v>137</v>
      </c>
      <c r="F81" s="1">
        <v>1</v>
      </c>
    </row>
    <row r="82" spans="1:6" x14ac:dyDescent="0.35">
      <c r="A82" s="1">
        <v>2031</v>
      </c>
      <c r="B82" s="1">
        <v>29.106733589215079</v>
      </c>
      <c r="C82" s="1">
        <v>31.819019031572459</v>
      </c>
      <c r="D82" s="1">
        <v>34.123750185042248</v>
      </c>
      <c r="E82" s="1" t="s">
        <v>137</v>
      </c>
      <c r="F82" s="1">
        <v>1</v>
      </c>
    </row>
    <row r="83" spans="1:6" x14ac:dyDescent="0.35">
      <c r="A83" s="1">
        <v>2032</v>
      </c>
      <c r="B83" s="1">
        <v>28.040406659125331</v>
      </c>
      <c r="C83" s="1">
        <v>31.557736901193969</v>
      </c>
      <c r="D83" s="1">
        <v>34.787102447638553</v>
      </c>
      <c r="E83" s="1" t="s">
        <v>137</v>
      </c>
      <c r="F83" s="1">
        <v>1</v>
      </c>
    </row>
    <row r="84" spans="1:6" x14ac:dyDescent="0.35">
      <c r="A84" s="1">
        <v>2033</v>
      </c>
      <c r="B84" s="1">
        <v>28.640591422629289</v>
      </c>
      <c r="C84" s="1">
        <v>31.710273040808872</v>
      </c>
      <c r="D84" s="1">
        <v>35.328415724647527</v>
      </c>
      <c r="E84" s="1" t="s">
        <v>137</v>
      </c>
      <c r="F84" s="1">
        <v>1</v>
      </c>
    </row>
    <row r="85" spans="1:6" x14ac:dyDescent="0.35">
      <c r="A85" s="1">
        <v>2034</v>
      </c>
      <c r="B85" s="1">
        <v>28.54769105988683</v>
      </c>
      <c r="C85" s="1">
        <v>31.723989847499048</v>
      </c>
      <c r="D85" s="1">
        <v>34.736924258111259</v>
      </c>
      <c r="E85" s="1" t="s">
        <v>137</v>
      </c>
      <c r="F85" s="1">
        <v>1</v>
      </c>
    </row>
    <row r="86" spans="1:6" x14ac:dyDescent="0.35">
      <c r="A86" s="1">
        <v>2035</v>
      </c>
      <c r="B86" s="1">
        <v>28.01187193707656</v>
      </c>
      <c r="C86" s="1">
        <v>30.963071176972459</v>
      </c>
      <c r="D86" s="1">
        <v>35.221647481025073</v>
      </c>
      <c r="E86" s="1" t="s">
        <v>137</v>
      </c>
      <c r="F86" s="1">
        <v>1</v>
      </c>
    </row>
    <row r="87" spans="1:6" x14ac:dyDescent="0.35">
      <c r="A87" s="1">
        <v>2036</v>
      </c>
      <c r="B87" s="1">
        <v>28.53223311066251</v>
      </c>
      <c r="C87" s="1">
        <v>30.29327162658225</v>
      </c>
      <c r="D87" s="1">
        <v>35.468422325660143</v>
      </c>
      <c r="E87" s="1" t="s">
        <v>137</v>
      </c>
      <c r="F87" s="1">
        <v>1</v>
      </c>
    </row>
    <row r="88" spans="1:6" x14ac:dyDescent="0.35">
      <c r="A88" s="1">
        <v>2037</v>
      </c>
      <c r="B88" s="1">
        <v>28.995368194579989</v>
      </c>
      <c r="C88" s="1">
        <v>30.13877714409033</v>
      </c>
      <c r="D88" s="1">
        <v>35.859053696408189</v>
      </c>
      <c r="E88" s="1" t="s">
        <v>137</v>
      </c>
      <c r="F88" s="1">
        <v>1</v>
      </c>
    </row>
    <row r="89" spans="1:6" x14ac:dyDescent="0.35">
      <c r="A89" s="1">
        <v>2038</v>
      </c>
      <c r="B89" s="1">
        <v>28.681558985202301</v>
      </c>
      <c r="C89" s="1">
        <v>30.848040225916609</v>
      </c>
      <c r="D89" s="1">
        <v>34.498027755812757</v>
      </c>
      <c r="E89" s="1" t="s">
        <v>137</v>
      </c>
      <c r="F89" s="1">
        <v>1</v>
      </c>
    </row>
    <row r="90" spans="1:6" x14ac:dyDescent="0.35">
      <c r="A90" s="1">
        <v>2039</v>
      </c>
      <c r="B90" s="1">
        <v>28.065011120294699</v>
      </c>
      <c r="C90" s="1">
        <v>32.74733722261665</v>
      </c>
      <c r="D90" s="1">
        <v>34.524099238387443</v>
      </c>
      <c r="E90" s="1" t="s">
        <v>137</v>
      </c>
      <c r="F90" s="1">
        <v>1</v>
      </c>
    </row>
    <row r="91" spans="1:6" x14ac:dyDescent="0.35">
      <c r="A91" s="1">
        <v>2040</v>
      </c>
      <c r="B91" s="1">
        <v>27.582143695747298</v>
      </c>
      <c r="C91" s="1">
        <v>32.193907226364537</v>
      </c>
      <c r="D91" s="1">
        <v>36.374331896338617</v>
      </c>
      <c r="E91" s="1" t="s">
        <v>137</v>
      </c>
      <c r="F91" s="1">
        <v>1</v>
      </c>
    </row>
    <row r="92" spans="1:6" x14ac:dyDescent="0.35">
      <c r="A92" s="1">
        <v>2041</v>
      </c>
      <c r="B92" s="1">
        <v>28.663947281783429</v>
      </c>
      <c r="C92" s="1">
        <v>32.056214420751502</v>
      </c>
      <c r="D92" s="1">
        <v>35.629420965903563</v>
      </c>
      <c r="E92" s="1" t="s">
        <v>137</v>
      </c>
      <c r="F92" s="1">
        <v>1</v>
      </c>
    </row>
    <row r="93" spans="1:6" x14ac:dyDescent="0.35">
      <c r="A93" s="1">
        <v>2042</v>
      </c>
      <c r="B93" s="1">
        <v>42.881900588514277</v>
      </c>
      <c r="C93" s="1">
        <v>52.851762573617187</v>
      </c>
      <c r="D93" s="1">
        <v>58.742984209214313</v>
      </c>
      <c r="E93" s="1" t="s">
        <v>137</v>
      </c>
      <c r="F93" s="1">
        <v>1</v>
      </c>
    </row>
    <row r="94" spans="1:6" x14ac:dyDescent="0.35">
      <c r="A94" s="1">
        <v>2043</v>
      </c>
      <c r="B94" s="1">
        <v>29.5159080641826</v>
      </c>
      <c r="C94" s="1">
        <v>39.729579884508539</v>
      </c>
      <c r="D94" s="1">
        <v>51.150188006311893</v>
      </c>
      <c r="E94" s="1" t="s">
        <v>137</v>
      </c>
      <c r="F94" s="1">
        <v>1</v>
      </c>
    </row>
    <row r="95" spans="1:6" x14ac:dyDescent="0.35">
      <c r="A95" s="1">
        <v>2044</v>
      </c>
      <c r="B95" s="1">
        <v>30.412631056935659</v>
      </c>
      <c r="C95" s="1">
        <v>38.062932048678412</v>
      </c>
      <c r="D95" s="1">
        <v>51.651804528214157</v>
      </c>
      <c r="E95" s="1" t="s">
        <v>137</v>
      </c>
      <c r="F95" s="1">
        <v>1</v>
      </c>
    </row>
    <row r="96" spans="1:6" x14ac:dyDescent="0.35">
      <c r="A96" s="1">
        <v>2045</v>
      </c>
      <c r="B96" s="1">
        <v>30.357193015337842</v>
      </c>
      <c r="C96" s="1">
        <v>38.481665716503137</v>
      </c>
      <c r="D96" s="1">
        <v>52.386770513779901</v>
      </c>
      <c r="E96" s="1" t="s">
        <v>137</v>
      </c>
      <c r="F96" s="1">
        <v>1</v>
      </c>
    </row>
    <row r="97" spans="1:6" x14ac:dyDescent="0.35">
      <c r="A97" s="1">
        <v>2046</v>
      </c>
      <c r="B97" s="1">
        <v>29.205554300133599</v>
      </c>
      <c r="C97" s="1">
        <v>38.717723429417447</v>
      </c>
      <c r="D97" s="1">
        <v>53.362360575217863</v>
      </c>
      <c r="E97" s="1" t="s">
        <v>137</v>
      </c>
      <c r="F97" s="1">
        <v>1</v>
      </c>
    </row>
    <row r="98" spans="1:6" x14ac:dyDescent="0.35">
      <c r="A98" s="1">
        <v>2047</v>
      </c>
      <c r="B98" s="1">
        <v>29.67742296216532</v>
      </c>
      <c r="C98" s="1">
        <v>39.382465923675987</v>
      </c>
      <c r="D98" s="1">
        <v>51.301274201078947</v>
      </c>
      <c r="E98" s="1" t="s">
        <v>137</v>
      </c>
      <c r="F98" s="1">
        <v>1</v>
      </c>
    </row>
    <row r="99" spans="1:6" x14ac:dyDescent="0.35">
      <c r="A99" s="1">
        <v>2048</v>
      </c>
      <c r="B99" s="1">
        <v>30.037306952155841</v>
      </c>
      <c r="C99" s="1">
        <v>38.139154850326037</v>
      </c>
      <c r="D99" s="1">
        <v>53.290838080210307</v>
      </c>
      <c r="E99" s="1" t="s">
        <v>137</v>
      </c>
      <c r="F99" s="1">
        <v>1</v>
      </c>
    </row>
    <row r="100" spans="1:6" x14ac:dyDescent="0.35">
      <c r="A100" s="1">
        <v>2049</v>
      </c>
      <c r="B100" s="1">
        <v>30.939824355517271</v>
      </c>
      <c r="C100" s="1">
        <v>38.0997299660241</v>
      </c>
      <c r="D100" s="1">
        <v>52.173520346326526</v>
      </c>
      <c r="E100" s="1" t="s">
        <v>137</v>
      </c>
      <c r="F100" s="1">
        <v>1</v>
      </c>
    </row>
    <row r="101" spans="1:6" x14ac:dyDescent="0.35">
      <c r="A101" s="1">
        <v>2050</v>
      </c>
      <c r="B101" s="1">
        <v>31.205079265464231</v>
      </c>
      <c r="C101" s="1">
        <v>39.516738354179857</v>
      </c>
      <c r="D101" s="1">
        <v>51.564992754797963</v>
      </c>
      <c r="E101" s="1" t="s">
        <v>137</v>
      </c>
      <c r="F101" s="1">
        <v>1</v>
      </c>
    </row>
    <row r="102" spans="1:6" x14ac:dyDescent="0.35">
      <c r="A102" s="1">
        <v>2026</v>
      </c>
      <c r="B102" s="1">
        <v>30.052936027126499</v>
      </c>
      <c r="C102" s="1">
        <v>31.17520724882543</v>
      </c>
      <c r="D102" s="1">
        <v>31.996856091765469</v>
      </c>
      <c r="E102" s="1" t="s">
        <v>138</v>
      </c>
      <c r="F102" s="1">
        <v>1</v>
      </c>
    </row>
    <row r="103" spans="1:6" x14ac:dyDescent="0.35">
      <c r="A103" s="1">
        <v>2027</v>
      </c>
      <c r="B103" s="1">
        <v>30.051023519474128</v>
      </c>
      <c r="C103" s="1">
        <v>30.948739131477399</v>
      </c>
      <c r="D103" s="1">
        <v>31.990574256344608</v>
      </c>
      <c r="E103" s="1" t="s">
        <v>138</v>
      </c>
      <c r="F103" s="1">
        <v>1</v>
      </c>
    </row>
    <row r="104" spans="1:6" x14ac:dyDescent="0.35">
      <c r="A104" s="1">
        <v>2028</v>
      </c>
      <c r="B104" s="1">
        <v>29.66951138184892</v>
      </c>
      <c r="C104" s="1">
        <v>32.339423893911402</v>
      </c>
      <c r="D104" s="1">
        <v>32.006872332647461</v>
      </c>
      <c r="E104" s="1" t="s">
        <v>138</v>
      </c>
      <c r="F104" s="1">
        <v>1</v>
      </c>
    </row>
    <row r="105" spans="1:6" x14ac:dyDescent="0.35">
      <c r="A105" s="1">
        <v>2029</v>
      </c>
      <c r="B105" s="1">
        <v>29.442884023430171</v>
      </c>
      <c r="C105" s="1">
        <v>32.539713128687929</v>
      </c>
      <c r="D105" s="1">
        <v>33.336334325272098</v>
      </c>
      <c r="E105" s="1" t="s">
        <v>138</v>
      </c>
      <c r="F105" s="1">
        <v>1</v>
      </c>
    </row>
    <row r="106" spans="1:6" x14ac:dyDescent="0.35">
      <c r="A106" s="1">
        <v>2030</v>
      </c>
      <c r="B106" s="1">
        <v>29.17402873886142</v>
      </c>
      <c r="C106" s="1">
        <v>32.82199741230886</v>
      </c>
      <c r="D106" s="1">
        <v>35.458545125599407</v>
      </c>
      <c r="E106" s="1" t="s">
        <v>138</v>
      </c>
      <c r="F106" s="1">
        <v>1</v>
      </c>
    </row>
    <row r="107" spans="1:6" x14ac:dyDescent="0.35">
      <c r="A107" s="1">
        <v>2031</v>
      </c>
      <c r="B107" s="1">
        <v>29.209540263620401</v>
      </c>
      <c r="C107" s="1">
        <v>32.475431071586407</v>
      </c>
      <c r="D107" s="1">
        <v>33.509396738878969</v>
      </c>
      <c r="E107" s="1" t="s">
        <v>138</v>
      </c>
      <c r="F107" s="1">
        <v>1</v>
      </c>
    </row>
    <row r="108" spans="1:6" x14ac:dyDescent="0.35">
      <c r="A108" s="1">
        <v>2032</v>
      </c>
      <c r="B108" s="1">
        <v>29.149703593747091</v>
      </c>
      <c r="C108" s="1">
        <v>31.445388411144901</v>
      </c>
      <c r="D108" s="1">
        <v>32.648351983561952</v>
      </c>
      <c r="E108" s="1" t="s">
        <v>138</v>
      </c>
      <c r="F108" s="1">
        <v>1</v>
      </c>
    </row>
    <row r="109" spans="1:6" x14ac:dyDescent="0.35">
      <c r="A109" s="1">
        <v>2033</v>
      </c>
      <c r="B109" s="1">
        <v>28.11710250922614</v>
      </c>
      <c r="C109" s="1">
        <v>31.35885175091548</v>
      </c>
      <c r="D109" s="1">
        <v>34.350133821760252</v>
      </c>
      <c r="E109" s="1" t="s">
        <v>138</v>
      </c>
      <c r="F109" s="1">
        <v>1</v>
      </c>
    </row>
    <row r="110" spans="1:6" x14ac:dyDescent="0.35">
      <c r="A110" s="1">
        <v>2034</v>
      </c>
      <c r="B110" s="1">
        <v>27.963554025348561</v>
      </c>
      <c r="C110" s="1">
        <v>32.135037846919673</v>
      </c>
      <c r="D110" s="1">
        <v>35.38613671299666</v>
      </c>
      <c r="E110" s="1" t="s">
        <v>138</v>
      </c>
      <c r="F110" s="1">
        <v>1</v>
      </c>
    </row>
    <row r="111" spans="1:6" x14ac:dyDescent="0.35">
      <c r="A111" s="1">
        <v>2035</v>
      </c>
      <c r="B111" s="1">
        <v>27.235322122325641</v>
      </c>
      <c r="C111" s="1">
        <v>33.699461645765489</v>
      </c>
      <c r="D111" s="1">
        <v>36.954335849480728</v>
      </c>
      <c r="E111" s="1" t="s">
        <v>138</v>
      </c>
      <c r="F111" s="1">
        <v>1</v>
      </c>
    </row>
    <row r="112" spans="1:6" x14ac:dyDescent="0.35">
      <c r="A112" s="1">
        <v>2036</v>
      </c>
      <c r="B112" s="1">
        <v>27.037297593442251</v>
      </c>
      <c r="C112" s="1">
        <v>33.109272340727998</v>
      </c>
      <c r="D112" s="1">
        <v>36.924942895694812</v>
      </c>
      <c r="E112" s="1" t="s">
        <v>138</v>
      </c>
      <c r="F112" s="1">
        <v>1</v>
      </c>
    </row>
    <row r="113" spans="1:6" x14ac:dyDescent="0.35">
      <c r="A113" s="1">
        <v>2037</v>
      </c>
      <c r="B113" s="1">
        <v>27.589581713155319</v>
      </c>
      <c r="C113" s="1">
        <v>32.334333696835877</v>
      </c>
      <c r="D113" s="1">
        <v>36.025405126261461</v>
      </c>
      <c r="E113" s="1" t="s">
        <v>138</v>
      </c>
      <c r="F113" s="1">
        <v>1</v>
      </c>
    </row>
    <row r="114" spans="1:6" x14ac:dyDescent="0.35">
      <c r="A114" s="1">
        <v>2038</v>
      </c>
      <c r="B114" s="1">
        <v>27.8765718358001</v>
      </c>
      <c r="C114" s="1">
        <v>30.644287298275941</v>
      </c>
      <c r="D114" s="1">
        <v>35.824799937389358</v>
      </c>
      <c r="E114" s="1" t="s">
        <v>138</v>
      </c>
      <c r="F114" s="1">
        <v>1</v>
      </c>
    </row>
    <row r="115" spans="1:6" x14ac:dyDescent="0.35">
      <c r="A115" s="1">
        <v>2039</v>
      </c>
      <c r="B115" s="1">
        <v>27.358522022698711</v>
      </c>
      <c r="C115" s="1">
        <v>31.25765094176738</v>
      </c>
      <c r="D115" s="1">
        <v>36.571101153403532</v>
      </c>
      <c r="E115" s="1" t="s">
        <v>138</v>
      </c>
      <c r="F115" s="1">
        <v>1</v>
      </c>
    </row>
    <row r="116" spans="1:6" x14ac:dyDescent="0.35">
      <c r="A116" s="1">
        <v>2040</v>
      </c>
      <c r="B116" s="1">
        <v>27.189599332058279</v>
      </c>
      <c r="C116" s="1">
        <v>31.450597580240061</v>
      </c>
      <c r="D116" s="1">
        <v>36.145820260261772</v>
      </c>
      <c r="E116" s="1" t="s">
        <v>138</v>
      </c>
      <c r="F116" s="1">
        <v>1</v>
      </c>
    </row>
    <row r="117" spans="1:6" x14ac:dyDescent="0.35">
      <c r="A117" s="1">
        <v>2041</v>
      </c>
      <c r="B117" s="1">
        <v>26.487862259100989</v>
      </c>
      <c r="C117" s="1">
        <v>32.867922266810353</v>
      </c>
      <c r="D117" s="1">
        <v>36.434336035065293</v>
      </c>
      <c r="E117" s="1" t="s">
        <v>138</v>
      </c>
      <c r="F117" s="1">
        <v>1</v>
      </c>
    </row>
    <row r="118" spans="1:6" x14ac:dyDescent="0.35">
      <c r="A118" s="1">
        <v>2042</v>
      </c>
      <c r="B118" s="1">
        <v>25.805391053868419</v>
      </c>
      <c r="C118" s="1">
        <v>32.344415967915843</v>
      </c>
      <c r="D118" s="1">
        <v>37.405034707310897</v>
      </c>
      <c r="E118" s="1" t="s">
        <v>138</v>
      </c>
      <c r="F118" s="1">
        <v>1</v>
      </c>
    </row>
    <row r="119" spans="1:6" x14ac:dyDescent="0.35">
      <c r="A119" s="1">
        <v>2043</v>
      </c>
      <c r="B119" s="1">
        <v>26.115469889728619</v>
      </c>
      <c r="C119" s="1">
        <v>32.01885139208796</v>
      </c>
      <c r="D119" s="1">
        <v>38.73778244597051</v>
      </c>
      <c r="E119" s="1" t="s">
        <v>138</v>
      </c>
      <c r="F119" s="1">
        <v>1</v>
      </c>
    </row>
    <row r="120" spans="1:6" x14ac:dyDescent="0.35">
      <c r="A120" s="1">
        <v>2044</v>
      </c>
      <c r="B120" s="1">
        <v>25.599432880128511</v>
      </c>
      <c r="C120" s="1">
        <v>32.483106510176597</v>
      </c>
      <c r="D120" s="1">
        <v>39.963941704383942</v>
      </c>
      <c r="E120" s="1" t="s">
        <v>138</v>
      </c>
      <c r="F120" s="1">
        <v>1</v>
      </c>
    </row>
    <row r="121" spans="1:6" x14ac:dyDescent="0.35">
      <c r="A121" s="1">
        <v>2045</v>
      </c>
      <c r="B121" s="1">
        <v>25.70230085767713</v>
      </c>
      <c r="C121" s="1">
        <v>31.312051867768769</v>
      </c>
      <c r="D121" s="1">
        <v>40.09523722544418</v>
      </c>
      <c r="E121" s="1" t="s">
        <v>138</v>
      </c>
      <c r="F121" s="1">
        <v>1</v>
      </c>
    </row>
    <row r="122" spans="1:6" x14ac:dyDescent="0.35">
      <c r="A122" s="1">
        <v>2046</v>
      </c>
      <c r="B122" s="1">
        <v>26.315732537786779</v>
      </c>
      <c r="C122" s="1">
        <v>32.403838293744052</v>
      </c>
      <c r="D122" s="1">
        <v>39.138175734397457</v>
      </c>
      <c r="E122" s="1" t="s">
        <v>138</v>
      </c>
      <c r="F122" s="1">
        <v>1</v>
      </c>
    </row>
    <row r="123" spans="1:6" x14ac:dyDescent="0.35">
      <c r="A123" s="1">
        <v>2047</v>
      </c>
      <c r="B123" s="1">
        <v>43.387307989104528</v>
      </c>
      <c r="C123" s="1">
        <v>53.424897447223167</v>
      </c>
      <c r="D123" s="1">
        <v>64.527942829700692</v>
      </c>
      <c r="E123" s="1" t="s">
        <v>138</v>
      </c>
      <c r="F123" s="1">
        <v>1</v>
      </c>
    </row>
    <row r="124" spans="1:6" x14ac:dyDescent="0.35">
      <c r="A124" s="1">
        <v>2048</v>
      </c>
      <c r="B124" s="1">
        <v>28.804234584926039</v>
      </c>
      <c r="C124" s="1">
        <v>39.045607232392783</v>
      </c>
      <c r="D124" s="1">
        <v>54.710590987458843</v>
      </c>
      <c r="E124" s="1" t="s">
        <v>138</v>
      </c>
      <c r="F124" s="1">
        <v>1</v>
      </c>
    </row>
    <row r="125" spans="1:6" x14ac:dyDescent="0.35">
      <c r="A125" s="1">
        <v>2049</v>
      </c>
      <c r="B125" s="1">
        <v>29.287470584455011</v>
      </c>
      <c r="C125" s="1">
        <v>38.492944257026963</v>
      </c>
      <c r="D125" s="1">
        <v>54.997498401878751</v>
      </c>
      <c r="E125" s="1" t="s">
        <v>138</v>
      </c>
      <c r="F125" s="1">
        <v>1</v>
      </c>
    </row>
    <row r="126" spans="1:6" x14ac:dyDescent="0.35">
      <c r="A126" s="1">
        <v>2050</v>
      </c>
      <c r="B126" s="1">
        <v>29.702918702848521</v>
      </c>
      <c r="C126" s="1">
        <v>38.321011848193862</v>
      </c>
      <c r="D126" s="1">
        <v>54.425592286148152</v>
      </c>
      <c r="E126" s="1" t="s">
        <v>138</v>
      </c>
      <c r="F126" s="1">
        <v>1</v>
      </c>
    </row>
    <row r="127" spans="1:6" x14ac:dyDescent="0.35">
      <c r="A127" s="1">
        <v>2026</v>
      </c>
      <c r="B127" s="1">
        <v>29.569907042759571</v>
      </c>
      <c r="C127" s="1">
        <v>31.80838989268198</v>
      </c>
      <c r="D127" s="1">
        <v>30.962246689644701</v>
      </c>
      <c r="E127" s="1" t="s">
        <v>139</v>
      </c>
      <c r="F127" s="1">
        <v>2</v>
      </c>
    </row>
    <row r="128" spans="1:6" x14ac:dyDescent="0.35">
      <c r="A128" s="1">
        <v>2027</v>
      </c>
      <c r="B128" s="1">
        <v>28.735082253393781</v>
      </c>
      <c r="C128" s="1">
        <v>31.476864165570991</v>
      </c>
      <c r="D128" s="1">
        <v>30.156998666536978</v>
      </c>
      <c r="E128" s="1" t="s">
        <v>139</v>
      </c>
      <c r="F128" s="1">
        <v>2</v>
      </c>
    </row>
    <row r="129" spans="1:6" x14ac:dyDescent="0.35">
      <c r="A129" s="1">
        <v>2028</v>
      </c>
      <c r="B129" s="1">
        <v>29.2150555728544</v>
      </c>
      <c r="C129" s="1">
        <v>32.140588193616132</v>
      </c>
      <c r="D129" s="1">
        <v>31.331138822003659</v>
      </c>
      <c r="E129" s="1" t="s">
        <v>139</v>
      </c>
      <c r="F129" s="1">
        <v>2</v>
      </c>
    </row>
    <row r="130" spans="1:6" x14ac:dyDescent="0.35">
      <c r="A130" s="1">
        <v>2029</v>
      </c>
      <c r="B130" s="1">
        <v>48.167483547651358</v>
      </c>
      <c r="C130" s="1">
        <v>52.990871407628319</v>
      </c>
      <c r="D130" s="1">
        <v>51.656315011095998</v>
      </c>
      <c r="E130" s="1" t="s">
        <v>139</v>
      </c>
      <c r="F130" s="1">
        <v>2</v>
      </c>
    </row>
    <row r="131" spans="1:6" x14ac:dyDescent="0.35">
      <c r="A131" s="1">
        <v>2030</v>
      </c>
      <c r="B131" s="1">
        <v>31.925809603455441</v>
      </c>
      <c r="C131" s="1">
        <v>38.738816742894983</v>
      </c>
      <c r="D131" s="1">
        <v>51.530802999174391</v>
      </c>
      <c r="E131" s="1" t="s">
        <v>139</v>
      </c>
      <c r="F131" s="1">
        <v>2</v>
      </c>
    </row>
    <row r="132" spans="1:6" x14ac:dyDescent="0.35">
      <c r="A132" s="1">
        <v>2031</v>
      </c>
      <c r="B132" s="1">
        <v>33.198107719823717</v>
      </c>
      <c r="C132" s="1">
        <v>39.511604116662902</v>
      </c>
      <c r="D132" s="1">
        <v>52.941920850721083</v>
      </c>
      <c r="E132" s="1" t="s">
        <v>139</v>
      </c>
      <c r="F132" s="1">
        <v>2</v>
      </c>
    </row>
    <row r="133" spans="1:6" x14ac:dyDescent="0.35">
      <c r="A133" s="1">
        <v>2032</v>
      </c>
      <c r="B133" s="1">
        <v>32.30238413843847</v>
      </c>
      <c r="C133" s="1">
        <v>38.745781228956858</v>
      </c>
      <c r="D133" s="1">
        <v>50.161759106066519</v>
      </c>
      <c r="E133" s="1" t="s">
        <v>139</v>
      </c>
      <c r="F133" s="1">
        <v>2</v>
      </c>
    </row>
    <row r="134" spans="1:6" x14ac:dyDescent="0.35">
      <c r="A134" s="1">
        <v>2033</v>
      </c>
      <c r="B134" s="1">
        <v>31.68800641121139</v>
      </c>
      <c r="C134" s="1">
        <v>38.364192931053879</v>
      </c>
      <c r="D134" s="1">
        <v>51.48664032820227</v>
      </c>
      <c r="E134" s="1" t="s">
        <v>139</v>
      </c>
      <c r="F134" s="1">
        <v>2</v>
      </c>
    </row>
    <row r="135" spans="1:6" x14ac:dyDescent="0.35">
      <c r="A135" s="1">
        <v>2034</v>
      </c>
      <c r="B135" s="1">
        <v>31.74195054369228</v>
      </c>
      <c r="C135" s="1">
        <v>38.474927633704901</v>
      </c>
      <c r="D135" s="1">
        <v>52.46471606369284</v>
      </c>
      <c r="E135" s="1" t="s">
        <v>139</v>
      </c>
      <c r="F135" s="1">
        <v>2</v>
      </c>
    </row>
    <row r="136" spans="1:6" x14ac:dyDescent="0.35">
      <c r="A136" s="1">
        <v>2035</v>
      </c>
      <c r="B136" s="1">
        <v>31.082701637776701</v>
      </c>
      <c r="C136" s="1">
        <v>37.810824484038051</v>
      </c>
      <c r="D136" s="1">
        <v>54.48042228493113</v>
      </c>
      <c r="E136" s="1" t="s">
        <v>139</v>
      </c>
      <c r="F136" s="1">
        <v>2</v>
      </c>
    </row>
    <row r="137" spans="1:6" x14ac:dyDescent="0.35">
      <c r="A137" s="1">
        <v>2036</v>
      </c>
      <c r="B137" s="1">
        <v>31.231015862639609</v>
      </c>
      <c r="C137" s="1">
        <v>37.98339890645866</v>
      </c>
      <c r="D137" s="1">
        <v>52.807708504435674</v>
      </c>
      <c r="E137" s="1" t="s">
        <v>139</v>
      </c>
      <c r="F137" s="1">
        <v>2</v>
      </c>
    </row>
    <row r="138" spans="1:6" x14ac:dyDescent="0.35">
      <c r="A138" s="1">
        <v>2037</v>
      </c>
      <c r="B138" s="1">
        <v>51.491240158307043</v>
      </c>
      <c r="C138" s="1">
        <v>62.624037710566377</v>
      </c>
      <c r="D138" s="1">
        <v>72.724722211999989</v>
      </c>
      <c r="E138" s="1" t="s">
        <v>139</v>
      </c>
      <c r="F138" s="1">
        <v>2</v>
      </c>
    </row>
    <row r="139" spans="1:6" x14ac:dyDescent="0.35">
      <c r="A139" s="1">
        <v>2038</v>
      </c>
      <c r="B139" s="1">
        <v>33.016431165819789</v>
      </c>
      <c r="C139" s="1">
        <v>46.218237399625963</v>
      </c>
      <c r="D139" s="1">
        <v>66.526330316193082</v>
      </c>
      <c r="E139" s="1" t="s">
        <v>139</v>
      </c>
      <c r="F139" s="1">
        <v>2</v>
      </c>
    </row>
    <row r="140" spans="1:6" x14ac:dyDescent="0.35">
      <c r="A140" s="1">
        <v>2039</v>
      </c>
      <c r="B140" s="1">
        <v>32.549132217944063</v>
      </c>
      <c r="C140" s="1">
        <v>47.201962445935557</v>
      </c>
      <c r="D140" s="1">
        <v>64.348764320100983</v>
      </c>
      <c r="E140" s="1" t="s">
        <v>139</v>
      </c>
      <c r="F140" s="1">
        <v>2</v>
      </c>
    </row>
    <row r="141" spans="1:6" x14ac:dyDescent="0.35">
      <c r="A141" s="1">
        <v>2040</v>
      </c>
      <c r="B141" s="1">
        <v>32.867869620252527</v>
      </c>
      <c r="C141" s="1">
        <v>48.524836885521871</v>
      </c>
      <c r="D141" s="1">
        <v>65.502784151984699</v>
      </c>
      <c r="E141" s="1" t="s">
        <v>139</v>
      </c>
      <c r="F141" s="1">
        <v>2</v>
      </c>
    </row>
    <row r="142" spans="1:6" x14ac:dyDescent="0.35">
      <c r="A142" s="1">
        <v>2041</v>
      </c>
      <c r="B142" s="1">
        <v>33.05262436762991</v>
      </c>
      <c r="C142" s="1">
        <v>47.080223557735238</v>
      </c>
      <c r="D142" s="1">
        <v>65.462361793148659</v>
      </c>
      <c r="E142" s="1" t="s">
        <v>139</v>
      </c>
      <c r="F142" s="1">
        <v>2</v>
      </c>
    </row>
    <row r="143" spans="1:6" x14ac:dyDescent="0.35">
      <c r="A143" s="1">
        <v>2042</v>
      </c>
      <c r="B143" s="1">
        <v>35.587246074924913</v>
      </c>
      <c r="C143" s="1">
        <v>44.97629439184621</v>
      </c>
      <c r="D143" s="1">
        <v>66.124688445455945</v>
      </c>
      <c r="E143" s="1" t="s">
        <v>139</v>
      </c>
      <c r="F143" s="1">
        <v>2</v>
      </c>
    </row>
    <row r="144" spans="1:6" x14ac:dyDescent="0.35">
      <c r="A144" s="1">
        <v>2043</v>
      </c>
      <c r="B144" s="1">
        <v>34.920252905431568</v>
      </c>
      <c r="C144" s="1">
        <v>46.245114151312727</v>
      </c>
      <c r="D144" s="1">
        <v>64.321890332462232</v>
      </c>
      <c r="E144" s="1" t="s">
        <v>139</v>
      </c>
      <c r="F144" s="1">
        <v>2</v>
      </c>
    </row>
    <row r="145" spans="1:6" x14ac:dyDescent="0.35">
      <c r="A145" s="1">
        <v>2044</v>
      </c>
      <c r="B145" s="1">
        <v>35.209812449272412</v>
      </c>
      <c r="C145" s="1">
        <v>45.955821999244669</v>
      </c>
      <c r="D145" s="1">
        <v>64.470261518735128</v>
      </c>
      <c r="E145" s="1" t="s">
        <v>139</v>
      </c>
      <c r="F145" s="1">
        <v>2</v>
      </c>
    </row>
    <row r="146" spans="1:6" x14ac:dyDescent="0.35">
      <c r="A146" s="1">
        <v>2045</v>
      </c>
      <c r="B146" s="1">
        <v>33.981238743948417</v>
      </c>
      <c r="C146" s="1">
        <v>47.642717537807712</v>
      </c>
      <c r="D146" s="1">
        <v>63.930615317171593</v>
      </c>
      <c r="E146" s="1" t="s">
        <v>139</v>
      </c>
      <c r="F146" s="1">
        <v>2</v>
      </c>
    </row>
    <row r="147" spans="1:6" x14ac:dyDescent="0.35">
      <c r="A147" s="1">
        <v>2046</v>
      </c>
      <c r="B147" s="1">
        <v>33.192762108737831</v>
      </c>
      <c r="C147" s="1">
        <v>47.020033967670663</v>
      </c>
      <c r="D147" s="1">
        <v>66.674758002754999</v>
      </c>
      <c r="E147" s="1" t="s">
        <v>139</v>
      </c>
      <c r="F147" s="1">
        <v>2</v>
      </c>
    </row>
    <row r="148" spans="1:6" x14ac:dyDescent="0.35">
      <c r="A148" s="1">
        <v>2047</v>
      </c>
      <c r="B148" s="1">
        <v>33.21624335676114</v>
      </c>
      <c r="C148" s="1">
        <v>47.793990944243617</v>
      </c>
      <c r="D148" s="1">
        <v>67.483486741203322</v>
      </c>
      <c r="E148" s="1" t="s">
        <v>139</v>
      </c>
      <c r="F148" s="1">
        <v>2</v>
      </c>
    </row>
    <row r="149" spans="1:6" x14ac:dyDescent="0.35">
      <c r="A149" s="1">
        <v>2048</v>
      </c>
      <c r="B149" s="1">
        <v>31.94311826230464</v>
      </c>
      <c r="C149" s="1">
        <v>48.14217074522103</v>
      </c>
      <c r="D149" s="1">
        <v>68.564548025608758</v>
      </c>
      <c r="E149" s="1" t="s">
        <v>139</v>
      </c>
      <c r="F149" s="1">
        <v>2</v>
      </c>
    </row>
    <row r="150" spans="1:6" x14ac:dyDescent="0.35">
      <c r="A150" s="1">
        <v>2049</v>
      </c>
      <c r="B150" s="1">
        <v>32.484606111138397</v>
      </c>
      <c r="C150" s="1">
        <v>48.684566676481019</v>
      </c>
      <c r="D150" s="1">
        <v>65.496818772076949</v>
      </c>
      <c r="E150" s="1" t="s">
        <v>139</v>
      </c>
      <c r="F150" s="1">
        <v>2</v>
      </c>
    </row>
    <row r="151" spans="1:6" x14ac:dyDescent="0.35">
      <c r="A151" s="1">
        <v>2050</v>
      </c>
      <c r="B151" s="1">
        <v>32.482874637483057</v>
      </c>
      <c r="C151" s="1">
        <v>48.332022529989842</v>
      </c>
      <c r="D151" s="1">
        <v>63.343071916953939</v>
      </c>
      <c r="E151" s="1" t="s">
        <v>139</v>
      </c>
      <c r="F151" s="1">
        <v>2</v>
      </c>
    </row>
    <row r="152" spans="1:6" x14ac:dyDescent="0.35">
      <c r="A152" s="1">
        <v>2026</v>
      </c>
      <c r="B152" s="1">
        <v>30.983731683772241</v>
      </c>
      <c r="C152" s="1">
        <v>32.798735703333627</v>
      </c>
      <c r="D152" s="1">
        <v>32.465424832764121</v>
      </c>
      <c r="E152" s="1" t="s">
        <v>140</v>
      </c>
      <c r="F152" s="1">
        <v>2</v>
      </c>
    </row>
    <row r="153" spans="1:6" x14ac:dyDescent="0.35">
      <c r="A153" s="1">
        <v>2027</v>
      </c>
      <c r="B153" s="1">
        <v>30.508466204388029</v>
      </c>
      <c r="C153" s="1">
        <v>31.862626808322609</v>
      </c>
      <c r="D153" s="1">
        <v>34.335821805753064</v>
      </c>
      <c r="E153" s="1" t="s">
        <v>140</v>
      </c>
      <c r="F153" s="1">
        <v>2</v>
      </c>
    </row>
    <row r="154" spans="1:6" x14ac:dyDescent="0.35">
      <c r="A154" s="1">
        <v>2028</v>
      </c>
      <c r="B154" s="1">
        <v>29.51713396840168</v>
      </c>
      <c r="C154" s="1">
        <v>32.518484967449297</v>
      </c>
      <c r="D154" s="1">
        <v>34.775889090704602</v>
      </c>
      <c r="E154" s="1" t="s">
        <v>140</v>
      </c>
      <c r="F154" s="1">
        <v>2</v>
      </c>
    </row>
    <row r="155" spans="1:6" x14ac:dyDescent="0.35">
      <c r="A155" s="1">
        <v>2029</v>
      </c>
      <c r="B155" s="1">
        <v>29.416329366650562</v>
      </c>
      <c r="C155" s="1">
        <v>32.557417592531912</v>
      </c>
      <c r="D155" s="1">
        <v>35.156656590882378</v>
      </c>
      <c r="E155" s="1" t="s">
        <v>140</v>
      </c>
      <c r="F155" s="1">
        <v>2</v>
      </c>
    </row>
    <row r="156" spans="1:6" x14ac:dyDescent="0.35">
      <c r="A156" s="1">
        <v>2030</v>
      </c>
      <c r="B156" s="1">
        <v>48.499327932717613</v>
      </c>
      <c r="C156" s="1">
        <v>53.678106903873918</v>
      </c>
      <c r="D156" s="1">
        <v>57.963527528087631</v>
      </c>
      <c r="E156" s="1" t="s">
        <v>140</v>
      </c>
      <c r="F156" s="1">
        <v>2</v>
      </c>
    </row>
    <row r="157" spans="1:6" x14ac:dyDescent="0.35">
      <c r="A157" s="1">
        <v>2031</v>
      </c>
      <c r="B157" s="1">
        <v>29.416329366650562</v>
      </c>
      <c r="C157" s="1">
        <v>38.631994868765013</v>
      </c>
      <c r="D157" s="1">
        <v>58.09929087151972</v>
      </c>
      <c r="E157" s="1" t="s">
        <v>140</v>
      </c>
      <c r="F157" s="1">
        <v>2</v>
      </c>
    </row>
    <row r="158" spans="1:6" x14ac:dyDescent="0.35">
      <c r="A158" s="1">
        <v>2032</v>
      </c>
      <c r="B158" s="1">
        <v>29.950794113126719</v>
      </c>
      <c r="C158" s="1">
        <v>37.979597097178228</v>
      </c>
      <c r="D158" s="1">
        <v>56.789580819777711</v>
      </c>
      <c r="E158" s="1" t="s">
        <v>140</v>
      </c>
      <c r="F158" s="1">
        <v>2</v>
      </c>
    </row>
    <row r="159" spans="1:6" x14ac:dyDescent="0.35">
      <c r="A159" s="1">
        <v>2033</v>
      </c>
      <c r="B159" s="1">
        <v>30.13074713879406</v>
      </c>
      <c r="C159" s="1">
        <v>38.449796969337498</v>
      </c>
      <c r="D159" s="1">
        <v>54.931840011441899</v>
      </c>
      <c r="E159" s="1" t="s">
        <v>140</v>
      </c>
      <c r="F159" s="1">
        <v>2</v>
      </c>
    </row>
    <row r="160" spans="1:6" x14ac:dyDescent="0.35">
      <c r="A160" s="1">
        <v>2034</v>
      </c>
      <c r="B160" s="1">
        <v>30.865494681502781</v>
      </c>
      <c r="C160" s="1">
        <v>38.514001695784252</v>
      </c>
      <c r="D160" s="1">
        <v>54.343532328767409</v>
      </c>
      <c r="E160" s="1" t="s">
        <v>140</v>
      </c>
      <c r="F160" s="1">
        <v>2</v>
      </c>
    </row>
    <row r="161" spans="1:6" x14ac:dyDescent="0.35">
      <c r="A161" s="1">
        <v>2035</v>
      </c>
      <c r="B161" s="1">
        <v>30.810492177341281</v>
      </c>
      <c r="C161" s="1">
        <v>38.569279393023642</v>
      </c>
      <c r="D161" s="1">
        <v>52.472022903205144</v>
      </c>
      <c r="E161" s="1" t="s">
        <v>140</v>
      </c>
      <c r="F161" s="1">
        <v>2</v>
      </c>
    </row>
    <row r="162" spans="1:6" x14ac:dyDescent="0.35">
      <c r="A162" s="1">
        <v>2036</v>
      </c>
      <c r="B162" s="1">
        <v>30.558535015887511</v>
      </c>
      <c r="C162" s="1">
        <v>39.557677809034018</v>
      </c>
      <c r="D162" s="1">
        <v>52.06290663632101</v>
      </c>
      <c r="E162" s="1" t="s">
        <v>140</v>
      </c>
      <c r="F162" s="1">
        <v>2</v>
      </c>
    </row>
    <row r="163" spans="1:6" x14ac:dyDescent="0.35">
      <c r="A163" s="1">
        <v>2037</v>
      </c>
      <c r="B163" s="1">
        <v>30.167839618492021</v>
      </c>
      <c r="C163" s="1">
        <v>40.054831119753892</v>
      </c>
      <c r="D163" s="1">
        <v>52.451509104893532</v>
      </c>
      <c r="E163" s="1" t="s">
        <v>140</v>
      </c>
      <c r="F163" s="1">
        <v>2</v>
      </c>
    </row>
    <row r="164" spans="1:6" x14ac:dyDescent="0.35">
      <c r="A164" s="1">
        <v>2038</v>
      </c>
      <c r="B164" s="1">
        <v>30.477107486771121</v>
      </c>
      <c r="C164" s="1">
        <v>39.06766070573326</v>
      </c>
      <c r="D164" s="1">
        <v>52.364293633703348</v>
      </c>
      <c r="E164" s="1" t="s">
        <v>140</v>
      </c>
      <c r="F164" s="1">
        <v>2</v>
      </c>
    </row>
    <row r="165" spans="1:6" x14ac:dyDescent="0.35">
      <c r="A165" s="1">
        <v>2039</v>
      </c>
      <c r="B165" s="1">
        <v>29.23764949261173</v>
      </c>
      <c r="C165" s="1">
        <v>39.851066719928163</v>
      </c>
      <c r="D165" s="1">
        <v>53.151225377562177</v>
      </c>
      <c r="E165" s="1" t="s">
        <v>140</v>
      </c>
      <c r="F165" s="1">
        <v>2</v>
      </c>
    </row>
    <row r="166" spans="1:6" x14ac:dyDescent="0.35">
      <c r="A166" s="1">
        <v>2040</v>
      </c>
      <c r="B166" s="1">
        <v>28.1463115255068</v>
      </c>
      <c r="C166" s="1">
        <v>37.680471667789632</v>
      </c>
      <c r="D166" s="1">
        <v>52.892915643340608</v>
      </c>
      <c r="E166" s="1" t="s">
        <v>140</v>
      </c>
      <c r="F166" s="1">
        <v>2</v>
      </c>
    </row>
    <row r="167" spans="1:6" x14ac:dyDescent="0.35">
      <c r="A167" s="1">
        <v>2041</v>
      </c>
      <c r="B167" s="1">
        <v>28.804710129979831</v>
      </c>
      <c r="C167" s="1">
        <v>37.375934505371077</v>
      </c>
      <c r="D167" s="1">
        <v>53.57933324161948</v>
      </c>
      <c r="E167" s="1" t="s">
        <v>140</v>
      </c>
      <c r="F167" s="1">
        <v>2</v>
      </c>
    </row>
    <row r="168" spans="1:6" x14ac:dyDescent="0.35">
      <c r="A168" s="1">
        <v>2042</v>
      </c>
      <c r="B168" s="1">
        <v>28.68606449899708</v>
      </c>
      <c r="C168" s="1">
        <v>36.863280101503207</v>
      </c>
      <c r="D168" s="1">
        <v>53.374094532745183</v>
      </c>
      <c r="E168" s="1" t="s">
        <v>140</v>
      </c>
      <c r="F168" s="1">
        <v>2</v>
      </c>
    </row>
    <row r="169" spans="1:6" x14ac:dyDescent="0.35">
      <c r="A169" s="1">
        <v>2043</v>
      </c>
      <c r="B169" s="1">
        <v>28.69444469024274</v>
      </c>
      <c r="C169" s="1">
        <v>37.322714996216071</v>
      </c>
      <c r="D169" s="1">
        <v>53.83497998656911</v>
      </c>
      <c r="E169" s="1" t="s">
        <v>140</v>
      </c>
      <c r="F169" s="1">
        <v>2</v>
      </c>
    </row>
    <row r="170" spans="1:6" x14ac:dyDescent="0.35">
      <c r="A170" s="1">
        <v>2044</v>
      </c>
      <c r="B170" s="1">
        <v>28.42257286551575</v>
      </c>
      <c r="C170" s="1">
        <v>37.284742117318267</v>
      </c>
      <c r="D170" s="1">
        <v>53.895366149317653</v>
      </c>
      <c r="E170" s="1" t="s">
        <v>140</v>
      </c>
      <c r="F170" s="1">
        <v>2</v>
      </c>
    </row>
    <row r="171" spans="1:6" x14ac:dyDescent="0.35">
      <c r="A171" s="1">
        <v>2045</v>
      </c>
      <c r="B171" s="1">
        <v>27.475047035854718</v>
      </c>
      <c r="C171" s="1">
        <v>37.393399969296723</v>
      </c>
      <c r="D171" s="1">
        <v>53.834171238867057</v>
      </c>
      <c r="E171" s="1" t="s">
        <v>140</v>
      </c>
      <c r="F171" s="1">
        <v>2</v>
      </c>
    </row>
    <row r="172" spans="1:6" x14ac:dyDescent="0.35">
      <c r="A172" s="1">
        <v>2046</v>
      </c>
      <c r="B172" s="1">
        <v>29.553563992518342</v>
      </c>
      <c r="C172" s="1">
        <v>37.430033996175688</v>
      </c>
      <c r="D172" s="1">
        <v>53.482160022428012</v>
      </c>
      <c r="E172" s="1" t="s">
        <v>140</v>
      </c>
      <c r="F172" s="1">
        <v>2</v>
      </c>
    </row>
    <row r="173" spans="1:6" x14ac:dyDescent="0.35">
      <c r="A173" s="1">
        <v>2047</v>
      </c>
      <c r="B173" s="1">
        <v>48.725589579462387</v>
      </c>
      <c r="C173" s="1">
        <v>61.711693212523777</v>
      </c>
      <c r="D173" s="1">
        <v>72.724722211999989</v>
      </c>
      <c r="E173" s="1" t="s">
        <v>140</v>
      </c>
      <c r="F173" s="1">
        <v>2</v>
      </c>
    </row>
    <row r="174" spans="1:6" x14ac:dyDescent="0.35">
      <c r="A174" s="1">
        <v>2048</v>
      </c>
      <c r="B174" s="1">
        <v>34.534536476524814</v>
      </c>
      <c r="C174" s="1">
        <v>46.049863892832093</v>
      </c>
      <c r="D174" s="1">
        <v>64.91221938608787</v>
      </c>
      <c r="E174" s="1" t="s">
        <v>140</v>
      </c>
      <c r="F174" s="1">
        <v>2</v>
      </c>
    </row>
    <row r="175" spans="1:6" x14ac:dyDescent="0.35">
      <c r="A175" s="1">
        <v>2049</v>
      </c>
      <c r="B175" s="1">
        <v>34.930782092378038</v>
      </c>
      <c r="C175" s="1">
        <v>45.883635288624269</v>
      </c>
      <c r="D175" s="1">
        <v>62.803002541142732</v>
      </c>
      <c r="E175" s="1" t="s">
        <v>140</v>
      </c>
      <c r="F175" s="1">
        <v>2</v>
      </c>
    </row>
    <row r="176" spans="1:6" x14ac:dyDescent="0.35">
      <c r="A176" s="1">
        <v>2050</v>
      </c>
      <c r="B176" s="1">
        <v>34.260287371008197</v>
      </c>
      <c r="C176" s="1">
        <v>45.769782350330772</v>
      </c>
      <c r="D176" s="1">
        <v>63.477734067269857</v>
      </c>
      <c r="E176" s="1" t="s">
        <v>140</v>
      </c>
      <c r="F176" s="1">
        <v>2</v>
      </c>
    </row>
    <row r="177" spans="1:6" x14ac:dyDescent="0.35">
      <c r="A177" s="1">
        <v>2026</v>
      </c>
      <c r="B177" s="1">
        <v>31.47369512827423</v>
      </c>
      <c r="C177" s="1">
        <v>31.687316853036119</v>
      </c>
      <c r="D177" s="1">
        <v>33.700265665006121</v>
      </c>
      <c r="E177" s="1" t="s">
        <v>141</v>
      </c>
      <c r="F177" s="1">
        <v>2</v>
      </c>
    </row>
    <row r="178" spans="1:6" x14ac:dyDescent="0.35">
      <c r="A178" s="1">
        <v>2027</v>
      </c>
      <c r="B178" s="1">
        <v>30.480001022638049</v>
      </c>
      <c r="C178" s="1">
        <v>32.204645490686069</v>
      </c>
      <c r="D178" s="1">
        <v>33.956663354535898</v>
      </c>
      <c r="E178" s="1" t="s">
        <v>141</v>
      </c>
      <c r="F178" s="1">
        <v>2</v>
      </c>
    </row>
    <row r="179" spans="1:6" x14ac:dyDescent="0.35">
      <c r="A179" s="1">
        <v>2028</v>
      </c>
      <c r="B179" s="1">
        <v>30.62811866275684</v>
      </c>
      <c r="C179" s="1">
        <v>32.089374480247002</v>
      </c>
      <c r="D179" s="1">
        <v>35.470822858984278</v>
      </c>
      <c r="E179" s="1" t="s">
        <v>141</v>
      </c>
      <c r="F179" s="1">
        <v>2</v>
      </c>
    </row>
    <row r="180" spans="1:6" x14ac:dyDescent="0.35">
      <c r="A180" s="1">
        <v>2029</v>
      </c>
      <c r="B180" s="1">
        <v>30.655505041667769</v>
      </c>
      <c r="C180" s="1">
        <v>32.782084327158017</v>
      </c>
      <c r="D180" s="1">
        <v>36.081766731452909</v>
      </c>
      <c r="E180" s="1" t="s">
        <v>141</v>
      </c>
      <c r="F180" s="1">
        <v>2</v>
      </c>
    </row>
    <row r="181" spans="1:6" x14ac:dyDescent="0.35">
      <c r="A181" s="1">
        <v>2030</v>
      </c>
      <c r="B181" s="1">
        <v>29.678900535624209</v>
      </c>
      <c r="C181" s="1">
        <v>33.586603031901198</v>
      </c>
      <c r="D181" s="1">
        <v>36.581197192374773</v>
      </c>
      <c r="E181" s="1" t="s">
        <v>141</v>
      </c>
      <c r="F181" s="1">
        <v>2</v>
      </c>
    </row>
    <row r="182" spans="1:6" x14ac:dyDescent="0.35">
      <c r="A182" s="1">
        <v>2031</v>
      </c>
      <c r="B182" s="1">
        <v>48.932234604077053</v>
      </c>
      <c r="C182" s="1">
        <v>55.37494682925692</v>
      </c>
      <c r="D182" s="1">
        <v>60.312197918744097</v>
      </c>
      <c r="E182" s="1" t="s">
        <v>141</v>
      </c>
      <c r="F182" s="1">
        <v>2</v>
      </c>
    </row>
    <row r="183" spans="1:6" x14ac:dyDescent="0.35">
      <c r="A183" s="1">
        <v>2032</v>
      </c>
      <c r="B183" s="1">
        <v>30.3655564225784</v>
      </c>
      <c r="C183" s="1">
        <v>38.126221392677323</v>
      </c>
      <c r="D183" s="1">
        <v>54.088241340270962</v>
      </c>
      <c r="E183" s="1" t="s">
        <v>141</v>
      </c>
      <c r="F183" s="1">
        <v>2</v>
      </c>
    </row>
    <row r="184" spans="1:6" x14ac:dyDescent="0.35">
      <c r="A184" s="1">
        <v>2033</v>
      </c>
      <c r="B184" s="1">
        <v>30.50994996466649</v>
      </c>
      <c r="C184" s="1">
        <v>38.988015557091757</v>
      </c>
      <c r="D184" s="1">
        <v>54.416523734681803</v>
      </c>
      <c r="E184" s="1" t="s">
        <v>141</v>
      </c>
      <c r="F184" s="1">
        <v>2</v>
      </c>
    </row>
    <row r="185" spans="1:6" x14ac:dyDescent="0.35">
      <c r="A185" s="1">
        <v>2034</v>
      </c>
      <c r="B185" s="1">
        <v>32.033295472199178</v>
      </c>
      <c r="C185" s="1">
        <v>40.985836612570317</v>
      </c>
      <c r="D185" s="1">
        <v>51.439629727741547</v>
      </c>
      <c r="E185" s="1" t="s">
        <v>141</v>
      </c>
      <c r="F185" s="1">
        <v>2</v>
      </c>
    </row>
    <row r="186" spans="1:6" x14ac:dyDescent="0.35">
      <c r="A186" s="1">
        <v>2035</v>
      </c>
      <c r="B186" s="1">
        <v>30.345407096778111</v>
      </c>
      <c r="C186" s="1">
        <v>39.837408045119467</v>
      </c>
      <c r="D186" s="1">
        <v>50.569755178659733</v>
      </c>
      <c r="E186" s="1" t="s">
        <v>141</v>
      </c>
      <c r="F186" s="1">
        <v>2</v>
      </c>
    </row>
    <row r="187" spans="1:6" x14ac:dyDescent="0.35">
      <c r="A187" s="1">
        <v>2036</v>
      </c>
      <c r="B187" s="1">
        <v>50.031118148512697</v>
      </c>
      <c r="C187" s="1">
        <v>65.680782013548892</v>
      </c>
      <c r="D187" s="1">
        <v>72.724722211999989</v>
      </c>
      <c r="E187" s="1" t="s">
        <v>141</v>
      </c>
      <c r="F187" s="1">
        <v>2</v>
      </c>
    </row>
    <row r="188" spans="1:6" x14ac:dyDescent="0.35">
      <c r="A188" s="1">
        <v>2037</v>
      </c>
      <c r="B188" s="1">
        <v>34.333758829147371</v>
      </c>
      <c r="C188" s="1">
        <v>46.983948675364637</v>
      </c>
      <c r="D188" s="1">
        <v>64.428593785074938</v>
      </c>
      <c r="E188" s="1" t="s">
        <v>141</v>
      </c>
      <c r="F188" s="1">
        <v>2</v>
      </c>
    </row>
    <row r="189" spans="1:6" x14ac:dyDescent="0.35">
      <c r="A189" s="1">
        <v>2038</v>
      </c>
      <c r="B189" s="1">
        <v>34.378334274667957</v>
      </c>
      <c r="C189" s="1">
        <v>46.050709216937662</v>
      </c>
      <c r="D189" s="1">
        <v>63.321378774570761</v>
      </c>
      <c r="E189" s="1" t="s">
        <v>141</v>
      </c>
      <c r="F189" s="1">
        <v>2</v>
      </c>
    </row>
    <row r="190" spans="1:6" x14ac:dyDescent="0.35">
      <c r="A190" s="1">
        <v>2039</v>
      </c>
      <c r="B190" s="1">
        <v>33.615651950260087</v>
      </c>
      <c r="C190" s="1">
        <v>45.528526183554042</v>
      </c>
      <c r="D190" s="1">
        <v>64.41939991477841</v>
      </c>
      <c r="E190" s="1" t="s">
        <v>141</v>
      </c>
      <c r="F190" s="1">
        <v>2</v>
      </c>
    </row>
    <row r="191" spans="1:6" x14ac:dyDescent="0.35">
      <c r="A191" s="1">
        <v>2040</v>
      </c>
      <c r="B191" s="1">
        <v>34.315085798991127</v>
      </c>
      <c r="C191" s="1">
        <v>45.94108385707657</v>
      </c>
      <c r="D191" s="1">
        <v>63.772022784621583</v>
      </c>
      <c r="E191" s="1" t="s">
        <v>141</v>
      </c>
      <c r="F191" s="1">
        <v>2</v>
      </c>
    </row>
    <row r="192" spans="1:6" x14ac:dyDescent="0.35">
      <c r="A192" s="1">
        <v>2041</v>
      </c>
      <c r="B192" s="1">
        <v>34.23285084936699</v>
      </c>
      <c r="C192" s="1">
        <v>44.991320358304499</v>
      </c>
      <c r="D192" s="1">
        <v>64.342784583278927</v>
      </c>
      <c r="E192" s="1" t="s">
        <v>141</v>
      </c>
      <c r="F192" s="1">
        <v>2</v>
      </c>
    </row>
    <row r="193" spans="1:6" x14ac:dyDescent="0.35">
      <c r="A193" s="1">
        <v>2042</v>
      </c>
      <c r="B193" s="1">
        <v>35.206321843666707</v>
      </c>
      <c r="C193" s="1">
        <v>44.956864054367223</v>
      </c>
      <c r="D193" s="1">
        <v>63.623358530520143</v>
      </c>
      <c r="E193" s="1" t="s">
        <v>141</v>
      </c>
      <c r="F193" s="1">
        <v>2</v>
      </c>
    </row>
    <row r="194" spans="1:6" x14ac:dyDescent="0.35">
      <c r="A194" s="1">
        <v>2043</v>
      </c>
      <c r="B194" s="1">
        <v>35.458143814542638</v>
      </c>
      <c r="C194" s="1">
        <v>46.766405022482381</v>
      </c>
      <c r="D194" s="1">
        <v>63.920096914746708</v>
      </c>
      <c r="E194" s="1" t="s">
        <v>141</v>
      </c>
      <c r="F194" s="1">
        <v>2</v>
      </c>
    </row>
    <row r="195" spans="1:6" x14ac:dyDescent="0.35">
      <c r="A195" s="1">
        <v>2044</v>
      </c>
      <c r="B195" s="1">
        <v>34.875636744302113</v>
      </c>
      <c r="C195" s="1">
        <v>47.458210227314837</v>
      </c>
      <c r="D195" s="1">
        <v>65.286125038147716</v>
      </c>
      <c r="E195" s="1" t="s">
        <v>141</v>
      </c>
      <c r="F195" s="1">
        <v>2</v>
      </c>
    </row>
    <row r="196" spans="1:6" x14ac:dyDescent="0.35">
      <c r="A196" s="1">
        <v>2045</v>
      </c>
      <c r="B196" s="1">
        <v>34.926023307023193</v>
      </c>
      <c r="C196" s="1">
        <v>47.918502986464183</v>
      </c>
      <c r="D196" s="1">
        <v>66.962721391271941</v>
      </c>
      <c r="E196" s="1" t="s">
        <v>141</v>
      </c>
      <c r="F196" s="1">
        <v>2</v>
      </c>
    </row>
    <row r="197" spans="1:6" x14ac:dyDescent="0.35">
      <c r="A197" s="1">
        <v>2046</v>
      </c>
      <c r="B197" s="1">
        <v>33.939523699947998</v>
      </c>
      <c r="C197" s="1">
        <v>47.227129563791777</v>
      </c>
      <c r="D197" s="1">
        <v>65.653482368943273</v>
      </c>
      <c r="E197" s="1" t="s">
        <v>141</v>
      </c>
      <c r="F197" s="1">
        <v>2</v>
      </c>
    </row>
    <row r="198" spans="1:6" x14ac:dyDescent="0.35">
      <c r="A198" s="1">
        <v>2047</v>
      </c>
      <c r="B198" s="1">
        <v>34.34626926951352</v>
      </c>
      <c r="C198" s="1">
        <v>48.390972430961227</v>
      </c>
      <c r="D198" s="1">
        <v>66.782015223498291</v>
      </c>
      <c r="E198" s="1" t="s">
        <v>141</v>
      </c>
      <c r="F198" s="1">
        <v>2</v>
      </c>
    </row>
    <row r="199" spans="1:6" x14ac:dyDescent="0.35">
      <c r="A199" s="1">
        <v>2048</v>
      </c>
      <c r="B199" s="1">
        <v>32.472039298859173</v>
      </c>
      <c r="C199" s="1">
        <v>49.431137821892889</v>
      </c>
      <c r="D199" s="1">
        <v>67.822584804541393</v>
      </c>
      <c r="E199" s="1" t="s">
        <v>141</v>
      </c>
      <c r="F199" s="1">
        <v>2</v>
      </c>
    </row>
    <row r="200" spans="1:6" x14ac:dyDescent="0.35">
      <c r="A200" s="1">
        <v>2049</v>
      </c>
      <c r="B200" s="1">
        <v>31.461790179783559</v>
      </c>
      <c r="C200" s="1">
        <v>48.361314284956393</v>
      </c>
      <c r="D200" s="1">
        <v>66.581432618119436</v>
      </c>
      <c r="E200" s="1" t="s">
        <v>141</v>
      </c>
      <c r="F200" s="1">
        <v>2</v>
      </c>
    </row>
    <row r="201" spans="1:6" x14ac:dyDescent="0.35">
      <c r="A201" s="1">
        <v>2050</v>
      </c>
      <c r="B201" s="1">
        <v>33.087210863005829</v>
      </c>
      <c r="C201" s="1">
        <v>47.411460709396472</v>
      </c>
      <c r="D201" s="1">
        <v>68.457230440026578</v>
      </c>
      <c r="E201" s="1" t="s">
        <v>141</v>
      </c>
      <c r="F201" s="1">
        <v>2</v>
      </c>
    </row>
    <row r="202" spans="1:6" x14ac:dyDescent="0.35">
      <c r="A202" s="1">
        <v>2026</v>
      </c>
      <c r="B202" s="1">
        <v>28.903010222147461</v>
      </c>
      <c r="C202" s="1">
        <v>31.450390546332422</v>
      </c>
      <c r="D202" s="1">
        <v>31.699996786237492</v>
      </c>
      <c r="E202" s="1" t="s">
        <v>142</v>
      </c>
      <c r="F202" s="1">
        <v>2</v>
      </c>
    </row>
    <row r="203" spans="1:6" x14ac:dyDescent="0.35">
      <c r="A203" s="1">
        <v>2027</v>
      </c>
      <c r="B203" s="1">
        <v>29.59940775268997</v>
      </c>
      <c r="C203" s="1">
        <v>32.067426206397563</v>
      </c>
      <c r="D203" s="1">
        <v>32.497774672727608</v>
      </c>
      <c r="E203" s="1" t="s">
        <v>142</v>
      </c>
      <c r="F203" s="1">
        <v>2</v>
      </c>
    </row>
    <row r="204" spans="1:6" x14ac:dyDescent="0.35">
      <c r="A204" s="1">
        <v>2028</v>
      </c>
      <c r="B204" s="1">
        <v>29.79012396494392</v>
      </c>
      <c r="C204" s="1">
        <v>32.306849199034488</v>
      </c>
      <c r="D204" s="1">
        <v>33.706479861642237</v>
      </c>
      <c r="E204" s="1" t="s">
        <v>142</v>
      </c>
      <c r="F204" s="1">
        <v>2</v>
      </c>
    </row>
    <row r="205" spans="1:6" x14ac:dyDescent="0.35">
      <c r="A205" s="1">
        <v>2029</v>
      </c>
      <c r="B205" s="1">
        <v>30.35611057627532</v>
      </c>
      <c r="C205" s="1">
        <v>32.659953015837402</v>
      </c>
      <c r="D205" s="1">
        <v>33.282761533892341</v>
      </c>
      <c r="E205" s="1" t="s">
        <v>142</v>
      </c>
      <c r="F205" s="1">
        <v>2</v>
      </c>
    </row>
    <row r="206" spans="1:6" x14ac:dyDescent="0.35">
      <c r="A206" s="1">
        <v>2030</v>
      </c>
      <c r="B206" s="1">
        <v>29.3922561703063</v>
      </c>
      <c r="C206" s="1">
        <v>34.144408778041459</v>
      </c>
      <c r="D206" s="1">
        <v>33.668155813861453</v>
      </c>
      <c r="E206" s="1" t="s">
        <v>142</v>
      </c>
      <c r="F206" s="1">
        <v>2</v>
      </c>
    </row>
    <row r="207" spans="1:6" x14ac:dyDescent="0.35">
      <c r="A207" s="1">
        <v>2031</v>
      </c>
      <c r="B207" s="1">
        <v>27.63538895952605</v>
      </c>
      <c r="C207" s="1">
        <v>32.586672322564937</v>
      </c>
      <c r="D207" s="1">
        <v>33.268045339884317</v>
      </c>
      <c r="E207" s="1" t="s">
        <v>142</v>
      </c>
      <c r="F207" s="1">
        <v>2</v>
      </c>
    </row>
    <row r="208" spans="1:6" x14ac:dyDescent="0.35">
      <c r="A208" s="1">
        <v>2032</v>
      </c>
      <c r="B208" s="1">
        <v>28.168613786299659</v>
      </c>
      <c r="C208" s="1">
        <v>32.522750248520438</v>
      </c>
      <c r="D208" s="1">
        <v>33.95995392417688</v>
      </c>
      <c r="E208" s="1" t="s">
        <v>142</v>
      </c>
      <c r="F208" s="1">
        <v>2</v>
      </c>
    </row>
    <row r="209" spans="1:6" x14ac:dyDescent="0.35">
      <c r="A209" s="1">
        <v>2033</v>
      </c>
      <c r="B209" s="1">
        <v>27.768997029734049</v>
      </c>
      <c r="C209" s="1">
        <v>30.884843416957029</v>
      </c>
      <c r="D209" s="1">
        <v>36.084228649096339</v>
      </c>
      <c r="E209" s="1" t="s">
        <v>142</v>
      </c>
      <c r="F209" s="1">
        <v>2</v>
      </c>
    </row>
    <row r="210" spans="1:6" x14ac:dyDescent="0.35">
      <c r="A210" s="1">
        <v>2034</v>
      </c>
      <c r="B210" s="1">
        <v>27.427892014146789</v>
      </c>
      <c r="C210" s="1">
        <v>30.113348003966621</v>
      </c>
      <c r="D210" s="1">
        <v>36.354912948180647</v>
      </c>
      <c r="E210" s="1" t="s">
        <v>142</v>
      </c>
      <c r="F210" s="1">
        <v>2</v>
      </c>
    </row>
    <row r="211" spans="1:6" x14ac:dyDescent="0.35">
      <c r="A211" s="1">
        <v>2035</v>
      </c>
      <c r="B211" s="1">
        <v>45.220948974189987</v>
      </c>
      <c r="C211" s="1">
        <v>49.648517386135019</v>
      </c>
      <c r="D211" s="1">
        <v>59.939118272116943</v>
      </c>
      <c r="E211" s="1" t="s">
        <v>142</v>
      </c>
      <c r="F211" s="1">
        <v>2</v>
      </c>
    </row>
    <row r="212" spans="1:6" x14ac:dyDescent="0.35">
      <c r="A212" s="1">
        <v>2036</v>
      </c>
      <c r="B212" s="1">
        <v>32.811198260484147</v>
      </c>
      <c r="C212" s="1">
        <v>39.174547965722631</v>
      </c>
      <c r="D212" s="1">
        <v>49.898988026717127</v>
      </c>
      <c r="E212" s="1" t="s">
        <v>142</v>
      </c>
      <c r="F212" s="1">
        <v>2</v>
      </c>
    </row>
    <row r="213" spans="1:6" x14ac:dyDescent="0.35">
      <c r="A213" s="1">
        <v>2037</v>
      </c>
      <c r="B213" s="1">
        <v>30.88079132868241</v>
      </c>
      <c r="C213" s="1">
        <v>40.100949930405463</v>
      </c>
      <c r="D213" s="1">
        <v>50.257270833603513</v>
      </c>
      <c r="E213" s="1" t="s">
        <v>142</v>
      </c>
      <c r="F213" s="1">
        <v>2</v>
      </c>
    </row>
    <row r="214" spans="1:6" x14ac:dyDescent="0.35">
      <c r="A214" s="1">
        <v>2038</v>
      </c>
      <c r="B214" s="1">
        <v>31.472586086421199</v>
      </c>
      <c r="C214" s="1">
        <v>39.701407556782748</v>
      </c>
      <c r="D214" s="1">
        <v>50.091216165948637</v>
      </c>
      <c r="E214" s="1" t="s">
        <v>142</v>
      </c>
      <c r="F214" s="1">
        <v>2</v>
      </c>
    </row>
    <row r="215" spans="1:6" x14ac:dyDescent="0.35">
      <c r="A215" s="1">
        <v>2039</v>
      </c>
      <c r="B215" s="1">
        <v>31.57927058618111</v>
      </c>
      <c r="C215" s="1">
        <v>39.285932253351888</v>
      </c>
      <c r="D215" s="1">
        <v>51.381394013332951</v>
      </c>
      <c r="E215" s="1" t="s">
        <v>142</v>
      </c>
      <c r="F215" s="1">
        <v>2</v>
      </c>
    </row>
    <row r="216" spans="1:6" x14ac:dyDescent="0.35">
      <c r="A216" s="1">
        <v>2040</v>
      </c>
      <c r="B216" s="1">
        <v>31.279804228553221</v>
      </c>
      <c r="C216" s="1">
        <v>37.746917876814351</v>
      </c>
      <c r="D216" s="1">
        <v>51.791841556987343</v>
      </c>
      <c r="E216" s="1" t="s">
        <v>142</v>
      </c>
      <c r="F216" s="1">
        <v>2</v>
      </c>
    </row>
    <row r="217" spans="1:6" x14ac:dyDescent="0.35">
      <c r="A217" s="1">
        <v>2041</v>
      </c>
      <c r="B217" s="1">
        <v>51.571678574951513</v>
      </c>
      <c r="C217" s="1">
        <v>62.234146406874743</v>
      </c>
      <c r="D217" s="1">
        <v>72.724722211999989</v>
      </c>
      <c r="E217" s="1" t="s">
        <v>142</v>
      </c>
      <c r="F217" s="1">
        <v>2</v>
      </c>
    </row>
    <row r="218" spans="1:6" x14ac:dyDescent="0.35">
      <c r="A218" s="1">
        <v>2042</v>
      </c>
      <c r="B218" s="1">
        <v>34.051699474897518</v>
      </c>
      <c r="C218" s="1">
        <v>46.784402750136763</v>
      </c>
      <c r="D218" s="1">
        <v>66.542224056715483</v>
      </c>
      <c r="E218" s="1" t="s">
        <v>142</v>
      </c>
      <c r="F218" s="1">
        <v>2</v>
      </c>
    </row>
    <row r="219" spans="1:6" x14ac:dyDescent="0.35">
      <c r="A219" s="1">
        <v>2043</v>
      </c>
      <c r="B219" s="1">
        <v>35.089833467513678</v>
      </c>
      <c r="C219" s="1">
        <v>47.335066040461562</v>
      </c>
      <c r="D219" s="1">
        <v>66.823578623353228</v>
      </c>
      <c r="E219" s="1" t="s">
        <v>142</v>
      </c>
      <c r="F219" s="1">
        <v>2</v>
      </c>
    </row>
    <row r="220" spans="1:6" x14ac:dyDescent="0.35">
      <c r="A220" s="1">
        <v>2044</v>
      </c>
      <c r="B220" s="1">
        <v>34.857132458049037</v>
      </c>
      <c r="C220" s="1">
        <v>47.569166936231078</v>
      </c>
      <c r="D220" s="1">
        <v>67.515022202449785</v>
      </c>
      <c r="E220" s="1" t="s">
        <v>142</v>
      </c>
      <c r="F220" s="1">
        <v>2</v>
      </c>
    </row>
    <row r="221" spans="1:6" x14ac:dyDescent="0.35">
      <c r="A221" s="1">
        <v>2045</v>
      </c>
      <c r="B221" s="1">
        <v>34.161606619062837</v>
      </c>
      <c r="C221" s="1">
        <v>49.111456368633462</v>
      </c>
      <c r="D221" s="1">
        <v>65.936133888337537</v>
      </c>
      <c r="E221" s="1" t="s">
        <v>142</v>
      </c>
      <c r="F221" s="1">
        <v>2</v>
      </c>
    </row>
    <row r="222" spans="1:6" x14ac:dyDescent="0.35">
      <c r="A222" s="1">
        <v>2046</v>
      </c>
      <c r="B222" s="1">
        <v>32.708461610551751</v>
      </c>
      <c r="C222" s="1">
        <v>47.999678441173558</v>
      </c>
      <c r="D222" s="1">
        <v>63.620156524049342</v>
      </c>
      <c r="E222" s="1" t="s">
        <v>142</v>
      </c>
      <c r="F222" s="1">
        <v>2</v>
      </c>
    </row>
    <row r="223" spans="1:6" x14ac:dyDescent="0.35">
      <c r="A223" s="1">
        <v>2047</v>
      </c>
      <c r="B223" s="1">
        <v>33.579902122522043</v>
      </c>
      <c r="C223" s="1">
        <v>45.593901167808177</v>
      </c>
      <c r="D223" s="1">
        <v>65.772590382224109</v>
      </c>
      <c r="E223" s="1" t="s">
        <v>142</v>
      </c>
      <c r="F223" s="1">
        <v>2</v>
      </c>
    </row>
    <row r="224" spans="1:6" x14ac:dyDescent="0.35">
      <c r="A224" s="1">
        <v>2048</v>
      </c>
      <c r="B224" s="1">
        <v>32.922839761847477</v>
      </c>
      <c r="C224" s="1">
        <v>46.427116625832312</v>
      </c>
      <c r="D224" s="1">
        <v>68.568368079218388</v>
      </c>
      <c r="E224" s="1" t="s">
        <v>142</v>
      </c>
      <c r="F224" s="1">
        <v>2</v>
      </c>
    </row>
    <row r="225" spans="1:6" x14ac:dyDescent="0.35">
      <c r="A225" s="1">
        <v>2049</v>
      </c>
      <c r="B225" s="1">
        <v>32.745641539749379</v>
      </c>
      <c r="C225" s="1">
        <v>46.726781155961859</v>
      </c>
      <c r="D225" s="1">
        <v>67.05129047582588</v>
      </c>
      <c r="E225" s="1" t="s">
        <v>142</v>
      </c>
      <c r="F225" s="1">
        <v>2</v>
      </c>
    </row>
    <row r="226" spans="1:6" x14ac:dyDescent="0.35">
      <c r="A226" s="1">
        <v>2050</v>
      </c>
      <c r="B226" s="1">
        <v>33.022750302046767</v>
      </c>
      <c r="C226" s="1">
        <v>46.940881585196422</v>
      </c>
      <c r="D226" s="1">
        <v>66.5142945006329</v>
      </c>
      <c r="E226" s="1" t="s">
        <v>142</v>
      </c>
      <c r="F226" s="1">
        <v>2</v>
      </c>
    </row>
    <row r="227" spans="1:6" x14ac:dyDescent="0.35">
      <c r="A227" s="1">
        <v>2026</v>
      </c>
      <c r="B227" s="1">
        <v>31.19853456674198</v>
      </c>
      <c r="C227" s="1">
        <v>31.33585929799116</v>
      </c>
      <c r="D227" s="1">
        <v>33.108079340312983</v>
      </c>
      <c r="E227" s="1" t="s">
        <v>143</v>
      </c>
      <c r="F227" s="1">
        <v>2</v>
      </c>
    </row>
    <row r="228" spans="1:6" x14ac:dyDescent="0.35">
      <c r="A228" s="1">
        <v>2027</v>
      </c>
      <c r="B228" s="1">
        <v>31.562587931727709</v>
      </c>
      <c r="C228" s="1">
        <v>32.789972692732618</v>
      </c>
      <c r="D228" s="1">
        <v>31.241591471913249</v>
      </c>
      <c r="E228" s="1" t="s">
        <v>143</v>
      </c>
      <c r="F228" s="1">
        <v>2</v>
      </c>
    </row>
    <row r="229" spans="1:6" x14ac:dyDescent="0.35">
      <c r="A229" s="1">
        <v>2028</v>
      </c>
      <c r="B229" s="1">
        <v>30.995195540441809</v>
      </c>
      <c r="C229" s="1">
        <v>32.195533995918566</v>
      </c>
      <c r="D229" s="1">
        <v>31.690725722348709</v>
      </c>
      <c r="E229" s="1" t="s">
        <v>143</v>
      </c>
      <c r="F229" s="1">
        <v>2</v>
      </c>
    </row>
    <row r="230" spans="1:6" x14ac:dyDescent="0.35">
      <c r="A230" s="1">
        <v>2029</v>
      </c>
      <c r="B230" s="1">
        <v>31.079943518430401</v>
      </c>
      <c r="C230" s="1">
        <v>31.902997363994139</v>
      </c>
      <c r="D230" s="1">
        <v>34.738603360125268</v>
      </c>
      <c r="E230" s="1" t="s">
        <v>143</v>
      </c>
      <c r="F230" s="1">
        <v>2</v>
      </c>
    </row>
    <row r="231" spans="1:6" x14ac:dyDescent="0.35">
      <c r="A231" s="1">
        <v>2030</v>
      </c>
      <c r="B231" s="1">
        <v>29.684849830498859</v>
      </c>
      <c r="C231" s="1">
        <v>30.2474845733983</v>
      </c>
      <c r="D231" s="1">
        <v>34.091350943608177</v>
      </c>
      <c r="E231" s="1" t="s">
        <v>143</v>
      </c>
      <c r="F231" s="1">
        <v>2</v>
      </c>
    </row>
    <row r="232" spans="1:6" x14ac:dyDescent="0.35">
      <c r="A232" s="1">
        <v>2031</v>
      </c>
      <c r="B232" s="1">
        <v>29.914678645282081</v>
      </c>
      <c r="C232" s="1">
        <v>31.819019031572459</v>
      </c>
      <c r="D232" s="1">
        <v>34.123750185042248</v>
      </c>
      <c r="E232" s="1" t="s">
        <v>143</v>
      </c>
      <c r="F232" s="1">
        <v>2</v>
      </c>
    </row>
    <row r="233" spans="1:6" x14ac:dyDescent="0.35">
      <c r="A233" s="1">
        <v>2032</v>
      </c>
      <c r="B233" s="1">
        <v>28.937617160853812</v>
      </c>
      <c r="C233" s="1">
        <v>31.557736901193969</v>
      </c>
      <c r="D233" s="1">
        <v>34.787102447638553</v>
      </c>
      <c r="E233" s="1" t="s">
        <v>143</v>
      </c>
      <c r="F233" s="1">
        <v>2</v>
      </c>
    </row>
    <row r="234" spans="1:6" x14ac:dyDescent="0.35">
      <c r="A234" s="1">
        <v>2033</v>
      </c>
      <c r="B234" s="1">
        <v>27.58853142071348</v>
      </c>
      <c r="C234" s="1">
        <v>31.710273040808872</v>
      </c>
      <c r="D234" s="1">
        <v>35.328415724647527</v>
      </c>
      <c r="E234" s="1" t="s">
        <v>143</v>
      </c>
      <c r="F234" s="1">
        <v>2</v>
      </c>
    </row>
    <row r="235" spans="1:6" x14ac:dyDescent="0.35">
      <c r="A235" s="1">
        <v>2034</v>
      </c>
      <c r="B235" s="1">
        <v>28.01088016473625</v>
      </c>
      <c r="C235" s="1">
        <v>31.723989847499048</v>
      </c>
      <c r="D235" s="1">
        <v>34.736924258111259</v>
      </c>
      <c r="E235" s="1" t="s">
        <v>143</v>
      </c>
      <c r="F235" s="1">
        <v>2</v>
      </c>
    </row>
    <row r="236" spans="1:6" x14ac:dyDescent="0.35">
      <c r="A236" s="1">
        <v>2035</v>
      </c>
      <c r="B236" s="1">
        <v>27.42913854256501</v>
      </c>
      <c r="C236" s="1">
        <v>30.963071176972459</v>
      </c>
      <c r="D236" s="1">
        <v>35.221647481025073</v>
      </c>
      <c r="E236" s="1" t="s">
        <v>143</v>
      </c>
      <c r="F236" s="1">
        <v>2</v>
      </c>
    </row>
    <row r="237" spans="1:6" x14ac:dyDescent="0.35">
      <c r="A237" s="1">
        <v>2036</v>
      </c>
      <c r="B237" s="1">
        <v>27.14888733081548</v>
      </c>
      <c r="C237" s="1">
        <v>30.29327162658225</v>
      </c>
      <c r="D237" s="1">
        <v>35.468422325660143</v>
      </c>
      <c r="E237" s="1" t="s">
        <v>143</v>
      </c>
      <c r="F237" s="1">
        <v>2</v>
      </c>
    </row>
    <row r="238" spans="1:6" x14ac:dyDescent="0.35">
      <c r="A238" s="1">
        <v>2037</v>
      </c>
      <c r="B238" s="1">
        <v>27.580870759999669</v>
      </c>
      <c r="C238" s="1">
        <v>30.13877714409033</v>
      </c>
      <c r="D238" s="1">
        <v>35.859053696408189</v>
      </c>
      <c r="E238" s="1" t="s">
        <v>143</v>
      </c>
      <c r="F238" s="1">
        <v>2</v>
      </c>
    </row>
    <row r="239" spans="1:6" x14ac:dyDescent="0.35">
      <c r="A239" s="1">
        <v>2038</v>
      </c>
      <c r="B239" s="1">
        <v>27.256365789216549</v>
      </c>
      <c r="C239" s="1">
        <v>30.848040225916609</v>
      </c>
      <c r="D239" s="1">
        <v>34.498027755812757</v>
      </c>
      <c r="E239" s="1" t="s">
        <v>143</v>
      </c>
      <c r="F239" s="1">
        <v>2</v>
      </c>
    </row>
    <row r="240" spans="1:6" x14ac:dyDescent="0.35">
      <c r="A240" s="1">
        <v>2039</v>
      </c>
      <c r="B240" s="1">
        <v>26.410852390960791</v>
      </c>
      <c r="C240" s="1">
        <v>32.74733722261665</v>
      </c>
      <c r="D240" s="1">
        <v>34.524099238387443</v>
      </c>
      <c r="E240" s="1" t="s">
        <v>143</v>
      </c>
      <c r="F240" s="1">
        <v>2</v>
      </c>
    </row>
    <row r="241" spans="1:6" x14ac:dyDescent="0.35">
      <c r="A241" s="1">
        <v>2040</v>
      </c>
      <c r="B241" s="1">
        <v>27.176133340138119</v>
      </c>
      <c r="C241" s="1">
        <v>32.193907226364537</v>
      </c>
      <c r="D241" s="1">
        <v>36.374331896338617</v>
      </c>
      <c r="E241" s="1" t="s">
        <v>143</v>
      </c>
      <c r="F241" s="1">
        <v>2</v>
      </c>
    </row>
    <row r="242" spans="1:6" x14ac:dyDescent="0.35">
      <c r="A242" s="1">
        <v>2041</v>
      </c>
      <c r="B242" s="1">
        <v>27.755568755984029</v>
      </c>
      <c r="C242" s="1">
        <v>32.056214420751502</v>
      </c>
      <c r="D242" s="1">
        <v>35.629420965903563</v>
      </c>
      <c r="E242" s="1" t="s">
        <v>143</v>
      </c>
      <c r="F242" s="1">
        <v>2</v>
      </c>
    </row>
    <row r="243" spans="1:6" x14ac:dyDescent="0.35">
      <c r="A243" s="1">
        <v>2042</v>
      </c>
      <c r="B243" s="1">
        <v>45.761196588370773</v>
      </c>
      <c r="C243" s="1">
        <v>52.851762573617187</v>
      </c>
      <c r="D243" s="1">
        <v>58.742984209214313</v>
      </c>
      <c r="E243" s="1" t="s">
        <v>143</v>
      </c>
      <c r="F243" s="1">
        <v>2</v>
      </c>
    </row>
    <row r="244" spans="1:6" x14ac:dyDescent="0.35">
      <c r="A244" s="1">
        <v>2043</v>
      </c>
      <c r="B244" s="1">
        <v>31.156386865510271</v>
      </c>
      <c r="C244" s="1">
        <v>39.729579884508539</v>
      </c>
      <c r="D244" s="1">
        <v>51.150188006311893</v>
      </c>
      <c r="E244" s="1" t="s">
        <v>143</v>
      </c>
      <c r="F244" s="1">
        <v>2</v>
      </c>
    </row>
    <row r="245" spans="1:6" x14ac:dyDescent="0.35">
      <c r="A245" s="1">
        <v>2044</v>
      </c>
      <c r="B245" s="1">
        <v>30.986833911004069</v>
      </c>
      <c r="C245" s="1">
        <v>38.062932048678412</v>
      </c>
      <c r="D245" s="1">
        <v>51.651804528214157</v>
      </c>
      <c r="E245" s="1" t="s">
        <v>143</v>
      </c>
      <c r="F245" s="1">
        <v>2</v>
      </c>
    </row>
    <row r="246" spans="1:6" x14ac:dyDescent="0.35">
      <c r="A246" s="1">
        <v>2045</v>
      </c>
      <c r="B246" s="1">
        <v>29.804252409052818</v>
      </c>
      <c r="C246" s="1">
        <v>38.481665716503137</v>
      </c>
      <c r="D246" s="1">
        <v>52.386770513779901</v>
      </c>
      <c r="E246" s="1" t="s">
        <v>143</v>
      </c>
      <c r="F246" s="1">
        <v>2</v>
      </c>
    </row>
    <row r="247" spans="1:6" x14ac:dyDescent="0.35">
      <c r="A247" s="1">
        <v>2046</v>
      </c>
      <c r="B247" s="1">
        <v>30.778153288902519</v>
      </c>
      <c r="C247" s="1">
        <v>38.717723429417447</v>
      </c>
      <c r="D247" s="1">
        <v>53.362360575217863</v>
      </c>
      <c r="E247" s="1" t="s">
        <v>143</v>
      </c>
      <c r="F247" s="1">
        <v>2</v>
      </c>
    </row>
    <row r="248" spans="1:6" x14ac:dyDescent="0.35">
      <c r="A248" s="1">
        <v>2047</v>
      </c>
      <c r="B248" s="1">
        <v>28.5905513503692</v>
      </c>
      <c r="C248" s="1">
        <v>39.382465923675987</v>
      </c>
      <c r="D248" s="1">
        <v>51.301274201078947</v>
      </c>
      <c r="E248" s="1" t="s">
        <v>143</v>
      </c>
      <c r="F248" s="1">
        <v>2</v>
      </c>
    </row>
    <row r="249" spans="1:6" x14ac:dyDescent="0.35">
      <c r="A249" s="1">
        <v>2048</v>
      </c>
      <c r="B249" s="1">
        <v>28.31926807503401</v>
      </c>
      <c r="C249" s="1">
        <v>38.139154850326037</v>
      </c>
      <c r="D249" s="1">
        <v>53.290838080210307</v>
      </c>
      <c r="E249" s="1" t="s">
        <v>143</v>
      </c>
      <c r="F249" s="1">
        <v>2</v>
      </c>
    </row>
    <row r="250" spans="1:6" x14ac:dyDescent="0.35">
      <c r="A250" s="1">
        <v>2049</v>
      </c>
      <c r="B250" s="1">
        <v>28.886452171185422</v>
      </c>
      <c r="C250" s="1">
        <v>38.0997299660241</v>
      </c>
      <c r="D250" s="1">
        <v>52.173520346326526</v>
      </c>
      <c r="E250" s="1" t="s">
        <v>143</v>
      </c>
      <c r="F250" s="1">
        <v>2</v>
      </c>
    </row>
    <row r="251" spans="1:6" x14ac:dyDescent="0.35">
      <c r="A251" s="1">
        <v>2050</v>
      </c>
      <c r="B251" s="1">
        <v>47.625708129695298</v>
      </c>
      <c r="C251" s="1">
        <v>62.815835202914997</v>
      </c>
      <c r="D251" s="1">
        <v>72.724722211999989</v>
      </c>
      <c r="E251" s="1" t="s">
        <v>143</v>
      </c>
      <c r="F251" s="1">
        <v>2</v>
      </c>
    </row>
    <row r="252" spans="1:6" x14ac:dyDescent="0.35">
      <c r="A252" s="1">
        <v>2026</v>
      </c>
      <c r="B252" s="1">
        <v>31.699515995012071</v>
      </c>
      <c r="C252" s="1">
        <v>32.143762318483063</v>
      </c>
      <c r="D252" s="1">
        <v>33.318285550207086</v>
      </c>
      <c r="E252" s="1" t="s">
        <v>144</v>
      </c>
      <c r="F252" s="1">
        <v>3</v>
      </c>
    </row>
    <row r="253" spans="1:6" x14ac:dyDescent="0.35">
      <c r="A253" s="1">
        <v>2027</v>
      </c>
      <c r="B253" s="1">
        <v>31.723109845270258</v>
      </c>
      <c r="C253" s="1">
        <v>33.395353318987262</v>
      </c>
      <c r="D253" s="1">
        <v>34.219869565300939</v>
      </c>
      <c r="E253" s="1" t="s">
        <v>144</v>
      </c>
      <c r="F253" s="1">
        <v>3</v>
      </c>
    </row>
    <row r="254" spans="1:6" x14ac:dyDescent="0.35">
      <c r="A254" s="1">
        <v>2028</v>
      </c>
      <c r="B254" s="1">
        <v>32.260235467847842</v>
      </c>
      <c r="C254" s="1">
        <v>32.841247957279052</v>
      </c>
      <c r="D254" s="1">
        <v>34.912045975350992</v>
      </c>
      <c r="E254" s="1" t="s">
        <v>144</v>
      </c>
      <c r="F254" s="1">
        <v>3</v>
      </c>
    </row>
    <row r="255" spans="1:6" x14ac:dyDescent="0.35">
      <c r="A255" s="1">
        <v>2029</v>
      </c>
      <c r="B255" s="1">
        <v>30.627756739570529</v>
      </c>
      <c r="C255" s="1">
        <v>32.756523724996953</v>
      </c>
      <c r="D255" s="1">
        <v>34.983950752556503</v>
      </c>
      <c r="E255" s="1" t="s">
        <v>144</v>
      </c>
      <c r="F255" s="1">
        <v>3</v>
      </c>
    </row>
    <row r="256" spans="1:6" x14ac:dyDescent="0.35">
      <c r="A256" s="1">
        <v>2030</v>
      </c>
      <c r="B256" s="1">
        <v>30.29801019385885</v>
      </c>
      <c r="C256" s="1">
        <v>32.050031576609427</v>
      </c>
      <c r="D256" s="1">
        <v>33.968095319087482</v>
      </c>
      <c r="E256" s="1" t="s">
        <v>144</v>
      </c>
      <c r="F256" s="1">
        <v>3</v>
      </c>
    </row>
    <row r="257" spans="1:6" x14ac:dyDescent="0.35">
      <c r="A257" s="1">
        <v>2031</v>
      </c>
      <c r="B257" s="1">
        <v>30.371141047331179</v>
      </c>
      <c r="C257" s="1">
        <v>31.55107154963812</v>
      </c>
      <c r="D257" s="1">
        <v>32.660454868016949</v>
      </c>
      <c r="E257" s="1" t="s">
        <v>144</v>
      </c>
      <c r="F257" s="1">
        <v>3</v>
      </c>
    </row>
    <row r="258" spans="1:6" x14ac:dyDescent="0.35">
      <c r="A258" s="1">
        <v>2032</v>
      </c>
      <c r="B258" s="1">
        <v>29.676018722163839</v>
      </c>
      <c r="C258" s="1">
        <v>32.096705449312587</v>
      </c>
      <c r="D258" s="1">
        <v>34.019566621400088</v>
      </c>
      <c r="E258" s="1" t="s">
        <v>144</v>
      </c>
      <c r="F258" s="1">
        <v>3</v>
      </c>
    </row>
    <row r="259" spans="1:6" x14ac:dyDescent="0.35">
      <c r="A259" s="1">
        <v>2033</v>
      </c>
      <c r="B259" s="1">
        <v>28.970926257678968</v>
      </c>
      <c r="C259" s="1">
        <v>32.267402816499391</v>
      </c>
      <c r="D259" s="1">
        <v>31.68964900291633</v>
      </c>
      <c r="E259" s="1" t="s">
        <v>144</v>
      </c>
      <c r="F259" s="1">
        <v>3</v>
      </c>
    </row>
    <row r="260" spans="1:6" x14ac:dyDescent="0.35">
      <c r="A260" s="1">
        <v>2034</v>
      </c>
      <c r="B260" s="1">
        <v>27.90546292782707</v>
      </c>
      <c r="C260" s="1">
        <v>31.465979836798159</v>
      </c>
      <c r="D260" s="1">
        <v>33.037191172916543</v>
      </c>
      <c r="E260" s="1" t="s">
        <v>144</v>
      </c>
      <c r="F260" s="1">
        <v>3</v>
      </c>
    </row>
    <row r="261" spans="1:6" x14ac:dyDescent="0.35">
      <c r="A261" s="1">
        <v>2035</v>
      </c>
      <c r="B261" s="1">
        <v>27.152718644787871</v>
      </c>
      <c r="C261" s="1">
        <v>31.368887955015911</v>
      </c>
      <c r="D261" s="1">
        <v>33.381540524755799</v>
      </c>
      <c r="E261" s="1" t="s">
        <v>144</v>
      </c>
      <c r="F261" s="1">
        <v>3</v>
      </c>
    </row>
    <row r="262" spans="1:6" x14ac:dyDescent="0.35">
      <c r="A262" s="1">
        <v>2036</v>
      </c>
      <c r="B262" s="1">
        <v>28.07803215460692</v>
      </c>
      <c r="C262" s="1">
        <v>32.478481585553361</v>
      </c>
      <c r="D262" s="1">
        <v>32.712453709671699</v>
      </c>
      <c r="E262" s="1" t="s">
        <v>144</v>
      </c>
      <c r="F262" s="1">
        <v>3</v>
      </c>
    </row>
    <row r="263" spans="1:6" x14ac:dyDescent="0.35">
      <c r="A263" s="1">
        <v>2037</v>
      </c>
      <c r="B263" s="1">
        <v>46.292848852702583</v>
      </c>
      <c r="C263" s="1">
        <v>53.54796343014425</v>
      </c>
      <c r="D263" s="1">
        <v>53.933718247929043</v>
      </c>
      <c r="E263" s="1" t="s">
        <v>144</v>
      </c>
      <c r="F263" s="1">
        <v>3</v>
      </c>
    </row>
    <row r="264" spans="1:6" x14ac:dyDescent="0.35">
      <c r="A264" s="1">
        <v>2038</v>
      </c>
      <c r="B264" s="1">
        <v>28.07803215460692</v>
      </c>
      <c r="C264" s="1">
        <v>37.996315163870882</v>
      </c>
      <c r="D264" s="1">
        <v>48.437159523721853</v>
      </c>
      <c r="E264" s="1" t="s">
        <v>144</v>
      </c>
      <c r="F264" s="1">
        <v>3</v>
      </c>
    </row>
    <row r="265" spans="1:6" x14ac:dyDescent="0.35">
      <c r="A265" s="1">
        <v>2039</v>
      </c>
      <c r="B265" s="1">
        <v>46.292848852702583</v>
      </c>
      <c r="C265" s="1">
        <v>62.645333018899748</v>
      </c>
      <c r="D265" s="1">
        <v>72.724722211999989</v>
      </c>
      <c r="E265" s="1" t="s">
        <v>144</v>
      </c>
      <c r="F265" s="1">
        <v>3</v>
      </c>
    </row>
    <row r="266" spans="1:6" x14ac:dyDescent="0.35">
      <c r="A266" s="1">
        <v>2040</v>
      </c>
      <c r="B266" s="1">
        <v>35.800325393575669</v>
      </c>
      <c r="C266" s="1">
        <v>45.928093120071523</v>
      </c>
      <c r="D266" s="1">
        <v>63.607951644775568</v>
      </c>
      <c r="E266" s="1" t="s">
        <v>144</v>
      </c>
      <c r="F266" s="1">
        <v>3</v>
      </c>
    </row>
    <row r="267" spans="1:6" x14ac:dyDescent="0.35">
      <c r="A267" s="1">
        <v>2041</v>
      </c>
      <c r="B267" s="1">
        <v>52.23571306410647</v>
      </c>
      <c r="C267" s="1">
        <v>72.724722211999989</v>
      </c>
      <c r="D267" s="1">
        <v>72.724722211999989</v>
      </c>
      <c r="E267" s="1" t="s">
        <v>144</v>
      </c>
      <c r="F267" s="1">
        <v>3</v>
      </c>
    </row>
    <row r="268" spans="1:6" x14ac:dyDescent="0.35">
      <c r="A268" s="1">
        <v>2042</v>
      </c>
      <c r="B268" s="1">
        <v>40.732159418504366</v>
      </c>
      <c r="C268" s="1">
        <v>53.842260461734547</v>
      </c>
      <c r="D268" s="1">
        <v>72.724722211999989</v>
      </c>
      <c r="E268" s="1" t="s">
        <v>144</v>
      </c>
      <c r="F268" s="1">
        <v>3</v>
      </c>
    </row>
    <row r="269" spans="1:6" x14ac:dyDescent="0.35">
      <c r="A269" s="1">
        <v>2043</v>
      </c>
      <c r="B269" s="1">
        <v>40.812190016705941</v>
      </c>
      <c r="C269" s="1">
        <v>54.043711634934027</v>
      </c>
      <c r="D269" s="1">
        <v>69.087338914533021</v>
      </c>
      <c r="E269" s="1" t="s">
        <v>144</v>
      </c>
      <c r="F269" s="1">
        <v>3</v>
      </c>
    </row>
    <row r="270" spans="1:6" x14ac:dyDescent="0.35">
      <c r="A270" s="1">
        <v>2044</v>
      </c>
      <c r="B270" s="1">
        <v>40.786166761603269</v>
      </c>
      <c r="C270" s="1">
        <v>52.392712898260307</v>
      </c>
      <c r="D270" s="1">
        <v>68.576072061418913</v>
      </c>
      <c r="E270" s="1" t="s">
        <v>144</v>
      </c>
      <c r="F270" s="1">
        <v>3</v>
      </c>
    </row>
    <row r="271" spans="1:6" x14ac:dyDescent="0.35">
      <c r="A271" s="1">
        <v>2045</v>
      </c>
      <c r="B271" s="1">
        <v>40.712298085590582</v>
      </c>
      <c r="C271" s="1">
        <v>49.870974511798863</v>
      </c>
      <c r="D271" s="1">
        <v>69.745256818996651</v>
      </c>
      <c r="E271" s="1" t="s">
        <v>144</v>
      </c>
      <c r="F271" s="1">
        <v>3</v>
      </c>
    </row>
    <row r="272" spans="1:6" x14ac:dyDescent="0.35">
      <c r="A272" s="1">
        <v>2046</v>
      </c>
      <c r="B272" s="1">
        <v>39.234143256532441</v>
      </c>
      <c r="C272" s="1">
        <v>50.897283439911959</v>
      </c>
      <c r="D272" s="1">
        <v>72.656552288645045</v>
      </c>
      <c r="E272" s="1" t="s">
        <v>144</v>
      </c>
      <c r="F272" s="1">
        <v>3</v>
      </c>
    </row>
    <row r="273" spans="1:6" x14ac:dyDescent="0.35">
      <c r="A273" s="1">
        <v>2047</v>
      </c>
      <c r="B273" s="1">
        <v>38.013496768474113</v>
      </c>
      <c r="C273" s="1">
        <v>52.892115050890652</v>
      </c>
      <c r="D273" s="1">
        <v>72.724722211999989</v>
      </c>
      <c r="E273" s="1" t="s">
        <v>144</v>
      </c>
      <c r="F273" s="1">
        <v>3</v>
      </c>
    </row>
    <row r="274" spans="1:6" x14ac:dyDescent="0.35">
      <c r="A274" s="1">
        <v>2048</v>
      </c>
      <c r="B274" s="1">
        <v>36.68772466663092</v>
      </c>
      <c r="C274" s="1">
        <v>54.158399337078649</v>
      </c>
      <c r="D274" s="1">
        <v>72.724722211999989</v>
      </c>
      <c r="E274" s="1" t="s">
        <v>144</v>
      </c>
      <c r="F274" s="1">
        <v>3</v>
      </c>
    </row>
    <row r="275" spans="1:6" x14ac:dyDescent="0.35">
      <c r="A275" s="1">
        <v>2049</v>
      </c>
      <c r="B275" s="1">
        <v>38.077261084635872</v>
      </c>
      <c r="C275" s="1">
        <v>53.414870556383804</v>
      </c>
      <c r="D275" s="1">
        <v>69.900983202915768</v>
      </c>
      <c r="E275" s="1" t="s">
        <v>144</v>
      </c>
      <c r="F275" s="1">
        <v>3</v>
      </c>
    </row>
    <row r="276" spans="1:6" x14ac:dyDescent="0.35">
      <c r="A276" s="1">
        <v>2050</v>
      </c>
      <c r="B276" s="1">
        <v>38.368716784722388</v>
      </c>
      <c r="C276" s="1">
        <v>55.690295499881849</v>
      </c>
      <c r="D276" s="1">
        <v>68.072085920148425</v>
      </c>
      <c r="E276" s="1" t="s">
        <v>144</v>
      </c>
      <c r="F276" s="1">
        <v>3</v>
      </c>
    </row>
    <row r="277" spans="1:6" x14ac:dyDescent="0.35">
      <c r="A277" s="1">
        <v>2026</v>
      </c>
      <c r="B277" s="1">
        <v>52.131650615948899</v>
      </c>
      <c r="C277" s="1">
        <v>52.131650615948899</v>
      </c>
      <c r="D277" s="1">
        <v>52.131650615948899</v>
      </c>
      <c r="E277" s="1" t="s">
        <v>145</v>
      </c>
      <c r="F277" s="1">
        <v>3</v>
      </c>
    </row>
    <row r="278" spans="1:6" x14ac:dyDescent="0.35">
      <c r="A278" s="1">
        <v>2027</v>
      </c>
      <c r="B278" s="1">
        <v>31.619444439999999</v>
      </c>
      <c r="C278" s="1">
        <v>35.722860175826149</v>
      </c>
      <c r="D278" s="1">
        <v>46.969135379609973</v>
      </c>
      <c r="E278" s="1" t="s">
        <v>145</v>
      </c>
      <c r="F278" s="1">
        <v>3</v>
      </c>
    </row>
    <row r="279" spans="1:6" x14ac:dyDescent="0.35">
      <c r="A279" s="1">
        <v>2028</v>
      </c>
      <c r="B279" s="1">
        <v>32.177828586705431</v>
      </c>
      <c r="C279" s="1">
        <v>38.375852491694552</v>
      </c>
      <c r="D279" s="1">
        <v>47.485238132539152</v>
      </c>
      <c r="E279" s="1" t="s">
        <v>145</v>
      </c>
      <c r="F279" s="1">
        <v>3</v>
      </c>
    </row>
    <row r="280" spans="1:6" x14ac:dyDescent="0.35">
      <c r="A280" s="1">
        <v>2029</v>
      </c>
      <c r="B280" s="1">
        <v>32.650058152422787</v>
      </c>
      <c r="C280" s="1">
        <v>37.548630548520087</v>
      </c>
      <c r="D280" s="1">
        <v>48.288801997804157</v>
      </c>
      <c r="E280" s="1" t="s">
        <v>145</v>
      </c>
      <c r="F280" s="1">
        <v>3</v>
      </c>
    </row>
    <row r="281" spans="1:6" x14ac:dyDescent="0.35">
      <c r="A281" s="1">
        <v>2030</v>
      </c>
      <c r="B281" s="1">
        <v>32.986327809812387</v>
      </c>
      <c r="C281" s="1">
        <v>37.051925249747853</v>
      </c>
      <c r="D281" s="1">
        <v>50.978610817897341</v>
      </c>
      <c r="E281" s="1" t="s">
        <v>145</v>
      </c>
      <c r="F281" s="1">
        <v>3</v>
      </c>
    </row>
    <row r="282" spans="1:6" x14ac:dyDescent="0.35">
      <c r="A282" s="1">
        <v>2031</v>
      </c>
      <c r="B282" s="1">
        <v>54.385260302324873</v>
      </c>
      <c r="C282" s="1">
        <v>61.088297279650433</v>
      </c>
      <c r="D282" s="1">
        <v>72.724722211999989</v>
      </c>
      <c r="E282" s="1" t="s">
        <v>145</v>
      </c>
      <c r="F282" s="1">
        <v>3</v>
      </c>
    </row>
    <row r="283" spans="1:6" x14ac:dyDescent="0.35">
      <c r="A283" s="1">
        <v>2032</v>
      </c>
      <c r="B283" s="1">
        <v>34.948081723419158</v>
      </c>
      <c r="C283" s="1">
        <v>47.741313616884291</v>
      </c>
      <c r="D283" s="1">
        <v>60.499975170503347</v>
      </c>
      <c r="E283" s="1" t="s">
        <v>145</v>
      </c>
      <c r="F283" s="1">
        <v>3</v>
      </c>
    </row>
    <row r="284" spans="1:6" x14ac:dyDescent="0.35">
      <c r="A284" s="1">
        <v>2033</v>
      </c>
      <c r="B284" s="1">
        <v>34.665889910263509</v>
      </c>
      <c r="C284" s="1">
        <v>45.095370082904623</v>
      </c>
      <c r="D284" s="1">
        <v>61.571205507244173</v>
      </c>
      <c r="E284" s="1" t="s">
        <v>145</v>
      </c>
      <c r="F284" s="1">
        <v>3</v>
      </c>
    </row>
    <row r="285" spans="1:6" x14ac:dyDescent="0.35">
      <c r="A285" s="1">
        <v>2034</v>
      </c>
      <c r="B285" s="1">
        <v>34.142460412859883</v>
      </c>
      <c r="C285" s="1">
        <v>43.591620910232137</v>
      </c>
      <c r="D285" s="1">
        <v>63.710841149378624</v>
      </c>
      <c r="E285" s="1" t="s">
        <v>145</v>
      </c>
      <c r="F285" s="1">
        <v>3</v>
      </c>
    </row>
    <row r="286" spans="1:6" x14ac:dyDescent="0.35">
      <c r="A286" s="1">
        <v>2035</v>
      </c>
      <c r="B286" s="1">
        <v>35.233895598425804</v>
      </c>
      <c r="C286" s="1">
        <v>43.97336258068588</v>
      </c>
      <c r="D286" s="1">
        <v>61.292030811994998</v>
      </c>
      <c r="E286" s="1" t="s">
        <v>145</v>
      </c>
      <c r="F286" s="1">
        <v>3</v>
      </c>
    </row>
    <row r="287" spans="1:6" x14ac:dyDescent="0.35">
      <c r="A287" s="1">
        <v>2036</v>
      </c>
      <c r="B287" s="1">
        <v>36.606304528255372</v>
      </c>
      <c r="C287" s="1">
        <v>43.603461419666893</v>
      </c>
      <c r="D287" s="1">
        <v>60.728048381007213</v>
      </c>
      <c r="E287" s="1" t="s">
        <v>145</v>
      </c>
      <c r="F287" s="1">
        <v>3</v>
      </c>
    </row>
    <row r="288" spans="1:6" x14ac:dyDescent="0.35">
      <c r="A288" s="1">
        <v>2037</v>
      </c>
      <c r="B288" s="1">
        <v>36.014534006330962</v>
      </c>
      <c r="C288" s="1">
        <v>44.572362558930891</v>
      </c>
      <c r="D288" s="1">
        <v>60.162856809030508</v>
      </c>
      <c r="E288" s="1" t="s">
        <v>145</v>
      </c>
      <c r="F288" s="1">
        <v>3</v>
      </c>
    </row>
    <row r="289" spans="1:6" x14ac:dyDescent="0.35">
      <c r="A289" s="1">
        <v>2038</v>
      </c>
      <c r="B289" s="1">
        <v>36.117018895838257</v>
      </c>
      <c r="C289" s="1">
        <v>45.701852813077878</v>
      </c>
      <c r="D289" s="1">
        <v>62.50501637727794</v>
      </c>
      <c r="E289" s="1" t="s">
        <v>145</v>
      </c>
      <c r="F289" s="1">
        <v>3</v>
      </c>
    </row>
    <row r="290" spans="1:6" x14ac:dyDescent="0.35">
      <c r="A290" s="1">
        <v>2039</v>
      </c>
      <c r="B290" s="1">
        <v>35.207002575375192</v>
      </c>
      <c r="C290" s="1">
        <v>47.127286329103342</v>
      </c>
      <c r="D290" s="1">
        <v>64.679213550783558</v>
      </c>
      <c r="E290" s="1" t="s">
        <v>145</v>
      </c>
      <c r="F290" s="1">
        <v>3</v>
      </c>
    </row>
    <row r="291" spans="1:6" x14ac:dyDescent="0.35">
      <c r="A291" s="1">
        <v>2040</v>
      </c>
      <c r="B291" s="1">
        <v>34.677509422258233</v>
      </c>
      <c r="C291" s="1">
        <v>48.834554953532177</v>
      </c>
      <c r="D291" s="1">
        <v>66.577160567144617</v>
      </c>
      <c r="E291" s="1" t="s">
        <v>145</v>
      </c>
      <c r="F291" s="1">
        <v>3</v>
      </c>
    </row>
    <row r="292" spans="1:6" x14ac:dyDescent="0.35">
      <c r="A292" s="1">
        <v>2041</v>
      </c>
      <c r="B292" s="1">
        <v>33.842227632339593</v>
      </c>
      <c r="C292" s="1">
        <v>46.49306547107458</v>
      </c>
      <c r="D292" s="1">
        <v>66.904866533296683</v>
      </c>
      <c r="E292" s="1" t="s">
        <v>145</v>
      </c>
      <c r="F292" s="1">
        <v>3</v>
      </c>
    </row>
    <row r="293" spans="1:6" x14ac:dyDescent="0.35">
      <c r="A293" s="1">
        <v>2042</v>
      </c>
      <c r="B293" s="1">
        <v>55.796400545313922</v>
      </c>
      <c r="C293" s="1">
        <v>72.724722211999989</v>
      </c>
      <c r="D293" s="1">
        <v>72.724722211999989</v>
      </c>
      <c r="E293" s="1" t="s">
        <v>145</v>
      </c>
      <c r="F293" s="1">
        <v>3</v>
      </c>
    </row>
    <row r="294" spans="1:6" x14ac:dyDescent="0.35">
      <c r="A294" s="1">
        <v>2043</v>
      </c>
      <c r="B294" s="1">
        <v>38.809147833354011</v>
      </c>
      <c r="C294" s="1">
        <v>49.851699807696022</v>
      </c>
      <c r="D294" s="1">
        <v>72.366013261685481</v>
      </c>
      <c r="E294" s="1" t="s">
        <v>145</v>
      </c>
      <c r="F294" s="1">
        <v>3</v>
      </c>
    </row>
    <row r="295" spans="1:6" x14ac:dyDescent="0.35">
      <c r="A295" s="1">
        <v>2044</v>
      </c>
      <c r="B295" s="1">
        <v>39.650400983888026</v>
      </c>
      <c r="C295" s="1">
        <v>48.877919620903427</v>
      </c>
      <c r="D295" s="1">
        <v>72.724722211999989</v>
      </c>
      <c r="E295" s="1" t="s">
        <v>145</v>
      </c>
      <c r="F295" s="1">
        <v>3</v>
      </c>
    </row>
    <row r="296" spans="1:6" x14ac:dyDescent="0.35">
      <c r="A296" s="1">
        <v>2045</v>
      </c>
      <c r="B296" s="1">
        <v>40.247777180522917</v>
      </c>
      <c r="C296" s="1">
        <v>51.808212767271762</v>
      </c>
      <c r="D296" s="1">
        <v>72.724722211999989</v>
      </c>
      <c r="E296" s="1" t="s">
        <v>145</v>
      </c>
      <c r="F296" s="1">
        <v>3</v>
      </c>
    </row>
    <row r="297" spans="1:6" x14ac:dyDescent="0.35">
      <c r="A297" s="1">
        <v>2046</v>
      </c>
      <c r="B297" s="1">
        <v>39.188855142621257</v>
      </c>
      <c r="C297" s="1">
        <v>52.855716180721409</v>
      </c>
      <c r="D297" s="1">
        <v>71.978351908584955</v>
      </c>
      <c r="E297" s="1" t="s">
        <v>145</v>
      </c>
      <c r="F297" s="1">
        <v>3</v>
      </c>
    </row>
    <row r="298" spans="1:6" x14ac:dyDescent="0.35">
      <c r="A298" s="1">
        <v>2047</v>
      </c>
      <c r="B298" s="1">
        <v>39.897222397721642</v>
      </c>
      <c r="C298" s="1">
        <v>51.715317588670892</v>
      </c>
      <c r="D298" s="1">
        <v>68.946508723797592</v>
      </c>
      <c r="E298" s="1" t="s">
        <v>145</v>
      </c>
      <c r="F298" s="1">
        <v>3</v>
      </c>
    </row>
    <row r="299" spans="1:6" x14ac:dyDescent="0.35">
      <c r="A299" s="1">
        <v>2048</v>
      </c>
      <c r="B299" s="1">
        <v>39.866921235607407</v>
      </c>
      <c r="C299" s="1">
        <v>49.069682877386462</v>
      </c>
      <c r="D299" s="1">
        <v>68.29849488186241</v>
      </c>
      <c r="E299" s="1" t="s">
        <v>145</v>
      </c>
      <c r="F299" s="1">
        <v>3</v>
      </c>
    </row>
    <row r="300" spans="1:6" x14ac:dyDescent="0.35">
      <c r="A300" s="1">
        <v>2049</v>
      </c>
      <c r="B300" s="1">
        <v>39.998487553369678</v>
      </c>
      <c r="C300" s="1">
        <v>48.182100102940552</v>
      </c>
      <c r="D300" s="1">
        <v>71.181605590721745</v>
      </c>
      <c r="E300" s="1" t="s">
        <v>145</v>
      </c>
      <c r="F300" s="1">
        <v>3</v>
      </c>
    </row>
    <row r="301" spans="1:6" x14ac:dyDescent="0.35">
      <c r="A301" s="1">
        <v>2050</v>
      </c>
      <c r="B301" s="1">
        <v>41.965674124127453</v>
      </c>
      <c r="C301" s="1">
        <v>49.994519615279003</v>
      </c>
      <c r="D301" s="1">
        <v>72.724722211999989</v>
      </c>
      <c r="E301" s="1" t="s">
        <v>145</v>
      </c>
      <c r="F301" s="1">
        <v>3</v>
      </c>
    </row>
    <row r="302" spans="1:6" x14ac:dyDescent="0.35">
      <c r="A302" s="1">
        <v>2026</v>
      </c>
      <c r="B302" s="1">
        <v>30.89460300720096</v>
      </c>
      <c r="C302" s="1">
        <v>32.143762318483063</v>
      </c>
      <c r="D302" s="1">
        <v>31.656446655954689</v>
      </c>
      <c r="E302" s="1" t="s">
        <v>146</v>
      </c>
      <c r="F302" s="1">
        <v>3</v>
      </c>
    </row>
    <row r="303" spans="1:6" x14ac:dyDescent="0.35">
      <c r="A303" s="1">
        <v>2027</v>
      </c>
      <c r="B303" s="1">
        <v>30.3576698529018</v>
      </c>
      <c r="C303" s="1">
        <v>33.395353318987262</v>
      </c>
      <c r="D303" s="1">
        <v>32.542725719117847</v>
      </c>
      <c r="E303" s="1" t="s">
        <v>146</v>
      </c>
      <c r="F303" s="1">
        <v>3</v>
      </c>
    </row>
    <row r="304" spans="1:6" x14ac:dyDescent="0.35">
      <c r="A304" s="1">
        <v>2028</v>
      </c>
      <c r="B304" s="1">
        <v>29.993910193919909</v>
      </c>
      <c r="C304" s="1">
        <v>32.841247957279052</v>
      </c>
      <c r="D304" s="1">
        <v>33.184415971591953</v>
      </c>
      <c r="E304" s="1" t="s">
        <v>146</v>
      </c>
      <c r="F304" s="1">
        <v>3</v>
      </c>
    </row>
    <row r="305" spans="1:6" x14ac:dyDescent="0.35">
      <c r="A305" s="1">
        <v>2029</v>
      </c>
      <c r="B305" s="1">
        <v>30.719606510926059</v>
      </c>
      <c r="C305" s="1">
        <v>32.756523724996953</v>
      </c>
      <c r="D305" s="1">
        <v>34.861666334686653</v>
      </c>
      <c r="E305" s="1" t="s">
        <v>146</v>
      </c>
      <c r="F305" s="1">
        <v>3</v>
      </c>
    </row>
    <row r="306" spans="1:6" x14ac:dyDescent="0.35">
      <c r="A306" s="1">
        <v>2030</v>
      </c>
      <c r="B306" s="1">
        <v>29.749962635804788</v>
      </c>
      <c r="C306" s="1">
        <v>32.050031576609427</v>
      </c>
      <c r="D306" s="1">
        <v>36.162020511491981</v>
      </c>
      <c r="E306" s="1" t="s">
        <v>146</v>
      </c>
      <c r="F306" s="1">
        <v>3</v>
      </c>
    </row>
    <row r="307" spans="1:6" x14ac:dyDescent="0.35">
      <c r="A307" s="1">
        <v>2031</v>
      </c>
      <c r="B307" s="1">
        <v>29.569257313684741</v>
      </c>
      <c r="C307" s="1">
        <v>31.55107154963812</v>
      </c>
      <c r="D307" s="1">
        <v>34.043989661958904</v>
      </c>
      <c r="E307" s="1" t="s">
        <v>146</v>
      </c>
      <c r="F307" s="1">
        <v>3</v>
      </c>
    </row>
    <row r="308" spans="1:6" x14ac:dyDescent="0.35">
      <c r="A308" s="1">
        <v>2032</v>
      </c>
      <c r="B308" s="1">
        <v>29.41321442746727</v>
      </c>
      <c r="C308" s="1">
        <v>32.096705449312587</v>
      </c>
      <c r="D308" s="1">
        <v>35.074743689432417</v>
      </c>
      <c r="E308" s="1" t="s">
        <v>146</v>
      </c>
      <c r="F308" s="1">
        <v>3</v>
      </c>
    </row>
    <row r="309" spans="1:6" x14ac:dyDescent="0.35">
      <c r="A309" s="1">
        <v>2033</v>
      </c>
      <c r="B309" s="1">
        <v>28.893546403069951</v>
      </c>
      <c r="C309" s="1">
        <v>32.267402816499391</v>
      </c>
      <c r="D309" s="1">
        <v>34.999013797462943</v>
      </c>
      <c r="E309" s="1" t="s">
        <v>146</v>
      </c>
      <c r="F309" s="1">
        <v>3</v>
      </c>
    </row>
    <row r="310" spans="1:6" x14ac:dyDescent="0.35">
      <c r="A310" s="1">
        <v>2034</v>
      </c>
      <c r="B310" s="1">
        <v>47.637404540702612</v>
      </c>
      <c r="C310" s="1">
        <v>53.199953373811773</v>
      </c>
      <c r="D310" s="1">
        <v>57.703618501404421</v>
      </c>
      <c r="E310" s="1" t="s">
        <v>146</v>
      </c>
      <c r="F310" s="1">
        <v>3</v>
      </c>
    </row>
    <row r="311" spans="1:6" x14ac:dyDescent="0.35">
      <c r="A311" s="1">
        <v>2035</v>
      </c>
      <c r="B311" s="1">
        <v>31.39958489671729</v>
      </c>
      <c r="C311" s="1">
        <v>38.821406504355053</v>
      </c>
      <c r="D311" s="1">
        <v>49.86202677568064</v>
      </c>
      <c r="E311" s="1" t="s">
        <v>146</v>
      </c>
      <c r="F311" s="1">
        <v>3</v>
      </c>
    </row>
    <row r="312" spans="1:6" x14ac:dyDescent="0.35">
      <c r="A312" s="1">
        <v>2036</v>
      </c>
      <c r="B312" s="1">
        <v>30.780340040994631</v>
      </c>
      <c r="C312" s="1">
        <v>40.194613786918268</v>
      </c>
      <c r="D312" s="1">
        <v>49.69713949823079</v>
      </c>
      <c r="E312" s="1" t="s">
        <v>146</v>
      </c>
      <c r="F312" s="1">
        <v>3</v>
      </c>
    </row>
    <row r="313" spans="1:6" x14ac:dyDescent="0.35">
      <c r="A313" s="1">
        <v>2037</v>
      </c>
      <c r="B313" s="1">
        <v>31.897271096216809</v>
      </c>
      <c r="C313" s="1">
        <v>39.939756164171463</v>
      </c>
      <c r="D313" s="1">
        <v>52.877981175562283</v>
      </c>
      <c r="E313" s="1" t="s">
        <v>146</v>
      </c>
      <c r="F313" s="1">
        <v>3</v>
      </c>
    </row>
    <row r="314" spans="1:6" x14ac:dyDescent="0.35">
      <c r="A314" s="1">
        <v>2038</v>
      </c>
      <c r="B314" s="1">
        <v>30.79035390155444</v>
      </c>
      <c r="C314" s="1">
        <v>39.659923417936341</v>
      </c>
      <c r="D314" s="1">
        <v>54.231368283214948</v>
      </c>
      <c r="E314" s="1" t="s">
        <v>146</v>
      </c>
      <c r="F314" s="1">
        <v>3</v>
      </c>
    </row>
    <row r="315" spans="1:6" x14ac:dyDescent="0.35">
      <c r="A315" s="1">
        <v>2039</v>
      </c>
      <c r="B315" s="1">
        <v>30.425901357921109</v>
      </c>
      <c r="C315" s="1">
        <v>39.511817098474687</v>
      </c>
      <c r="D315" s="1">
        <v>54.406931897190923</v>
      </c>
      <c r="E315" s="1" t="s">
        <v>146</v>
      </c>
      <c r="F315" s="1">
        <v>3</v>
      </c>
    </row>
    <row r="316" spans="1:6" x14ac:dyDescent="0.35">
      <c r="A316" s="1">
        <v>2040</v>
      </c>
      <c r="B316" s="1">
        <v>30.690750705302332</v>
      </c>
      <c r="C316" s="1">
        <v>39.415812922328207</v>
      </c>
      <c r="D316" s="1">
        <v>53.293600979825371</v>
      </c>
      <c r="E316" s="1" t="s">
        <v>146</v>
      </c>
      <c r="F316" s="1">
        <v>3</v>
      </c>
    </row>
    <row r="317" spans="1:6" x14ac:dyDescent="0.35">
      <c r="A317" s="1">
        <v>2041</v>
      </c>
      <c r="B317" s="1">
        <v>29.898334765018699</v>
      </c>
      <c r="C317" s="1">
        <v>40.971446862735903</v>
      </c>
      <c r="D317" s="1">
        <v>53.493301940997597</v>
      </c>
      <c r="E317" s="1" t="s">
        <v>146</v>
      </c>
      <c r="F317" s="1">
        <v>3</v>
      </c>
    </row>
    <row r="318" spans="1:6" x14ac:dyDescent="0.35">
      <c r="A318" s="1">
        <v>2042</v>
      </c>
      <c r="B318" s="1">
        <v>30.060955299370729</v>
      </c>
      <c r="C318" s="1">
        <v>40.928240302413457</v>
      </c>
      <c r="D318" s="1">
        <v>50.951448015345647</v>
      </c>
      <c r="E318" s="1" t="s">
        <v>146</v>
      </c>
      <c r="F318" s="1">
        <v>3</v>
      </c>
    </row>
    <row r="319" spans="1:6" x14ac:dyDescent="0.35">
      <c r="A319" s="1">
        <v>2043</v>
      </c>
      <c r="B319" s="1">
        <v>29.201785065985369</v>
      </c>
      <c r="C319" s="1">
        <v>41.081373583876847</v>
      </c>
      <c r="D319" s="1">
        <v>50.600623217280258</v>
      </c>
      <c r="E319" s="1" t="s">
        <v>146</v>
      </c>
      <c r="F319" s="1">
        <v>3</v>
      </c>
    </row>
    <row r="320" spans="1:6" x14ac:dyDescent="0.35">
      <c r="A320" s="1">
        <v>2044</v>
      </c>
      <c r="B320" s="1">
        <v>30.181597620644769</v>
      </c>
      <c r="C320" s="1">
        <v>39.826365483286672</v>
      </c>
      <c r="D320" s="1">
        <v>52.211745709861987</v>
      </c>
      <c r="E320" s="1" t="s">
        <v>146</v>
      </c>
      <c r="F320" s="1">
        <v>3</v>
      </c>
    </row>
    <row r="321" spans="1:6" x14ac:dyDescent="0.35">
      <c r="A321" s="1">
        <v>2045</v>
      </c>
      <c r="B321" s="1">
        <v>29.373830098306879</v>
      </c>
      <c r="C321" s="1">
        <v>37.90946389379517</v>
      </c>
      <c r="D321" s="1">
        <v>51.944886558488029</v>
      </c>
      <c r="E321" s="1" t="s">
        <v>146</v>
      </c>
      <c r="F321" s="1">
        <v>3</v>
      </c>
    </row>
    <row r="322" spans="1:6" x14ac:dyDescent="0.35">
      <c r="A322" s="1">
        <v>2046</v>
      </c>
      <c r="B322" s="1">
        <v>29.19677720916393</v>
      </c>
      <c r="C322" s="1">
        <v>38.689613502561649</v>
      </c>
      <c r="D322" s="1">
        <v>52.365594288396359</v>
      </c>
      <c r="E322" s="1" t="s">
        <v>146</v>
      </c>
      <c r="F322" s="1">
        <v>3</v>
      </c>
    </row>
    <row r="323" spans="1:6" x14ac:dyDescent="0.35">
      <c r="A323" s="1">
        <v>2047</v>
      </c>
      <c r="B323" s="1">
        <v>28.08581897163927</v>
      </c>
      <c r="C323" s="1">
        <v>40.205986456386853</v>
      </c>
      <c r="D323" s="1">
        <v>51.623197355215019</v>
      </c>
      <c r="E323" s="1" t="s">
        <v>146</v>
      </c>
      <c r="F323" s="1">
        <v>3</v>
      </c>
    </row>
    <row r="324" spans="1:6" x14ac:dyDescent="0.35">
      <c r="A324" s="1">
        <v>2048</v>
      </c>
      <c r="B324" s="1">
        <v>46.305687143574872</v>
      </c>
      <c r="C324" s="1">
        <v>66.288465080126258</v>
      </c>
      <c r="D324" s="1">
        <v>72.724722211999989</v>
      </c>
      <c r="E324" s="1" t="s">
        <v>146</v>
      </c>
      <c r="F324" s="1">
        <v>3</v>
      </c>
    </row>
    <row r="325" spans="1:6" x14ac:dyDescent="0.35">
      <c r="A325" s="1">
        <v>2049</v>
      </c>
      <c r="B325" s="1">
        <v>33.593249904777487</v>
      </c>
      <c r="C325" s="1">
        <v>44.820075514823039</v>
      </c>
      <c r="D325" s="1">
        <v>61.224609071417291</v>
      </c>
      <c r="E325" s="1" t="s">
        <v>146</v>
      </c>
      <c r="F325" s="1">
        <v>3</v>
      </c>
    </row>
    <row r="326" spans="1:6" x14ac:dyDescent="0.35">
      <c r="A326" s="1">
        <v>2050</v>
      </c>
      <c r="B326" s="1">
        <v>55.385905669951711</v>
      </c>
      <c r="C326" s="1">
        <v>72.724722211999989</v>
      </c>
      <c r="D326" s="1">
        <v>72.724722211999989</v>
      </c>
      <c r="E326" s="1" t="s">
        <v>146</v>
      </c>
      <c r="F326" s="1">
        <v>3</v>
      </c>
    </row>
    <row r="327" spans="1:6" x14ac:dyDescent="0.35">
      <c r="A327" s="1">
        <v>2026</v>
      </c>
      <c r="B327" s="1">
        <v>32.206351671347413</v>
      </c>
      <c r="C327" s="1">
        <v>33.759706331830841</v>
      </c>
      <c r="D327" s="1">
        <v>31.25721537085554</v>
      </c>
      <c r="E327" s="1" t="s">
        <v>147</v>
      </c>
      <c r="F327" s="1">
        <v>3</v>
      </c>
    </row>
    <row r="328" spans="1:6" x14ac:dyDescent="0.35">
      <c r="A328" s="1">
        <v>2027</v>
      </c>
      <c r="B328" s="1">
        <v>30.931694194532732</v>
      </c>
      <c r="C328" s="1">
        <v>31.690078855815909</v>
      </c>
      <c r="D328" s="1">
        <v>30.738427764459878</v>
      </c>
      <c r="E328" s="1" t="s">
        <v>147</v>
      </c>
      <c r="F328" s="1">
        <v>3</v>
      </c>
    </row>
    <row r="329" spans="1:6" x14ac:dyDescent="0.35">
      <c r="A329" s="1">
        <v>2028</v>
      </c>
      <c r="B329" s="1">
        <v>29.24873248923851</v>
      </c>
      <c r="C329" s="1">
        <v>30.6119419435033</v>
      </c>
      <c r="D329" s="1">
        <v>30.208435082425069</v>
      </c>
      <c r="E329" s="1" t="s">
        <v>147</v>
      </c>
      <c r="F329" s="1">
        <v>3</v>
      </c>
    </row>
    <row r="330" spans="1:6" x14ac:dyDescent="0.35">
      <c r="A330" s="1">
        <v>2029</v>
      </c>
      <c r="B330" s="1">
        <v>48.22300739602543</v>
      </c>
      <c r="C330" s="1">
        <v>50.470559819691317</v>
      </c>
      <c r="D330" s="1">
        <v>49.805289474958201</v>
      </c>
      <c r="E330" s="1" t="s">
        <v>147</v>
      </c>
      <c r="F330" s="1">
        <v>3</v>
      </c>
    </row>
    <row r="331" spans="1:6" x14ac:dyDescent="0.35">
      <c r="A331" s="1">
        <v>2030</v>
      </c>
      <c r="B331" s="1">
        <v>30.18696082373328</v>
      </c>
      <c r="C331" s="1">
        <v>40.639514024842022</v>
      </c>
      <c r="D331" s="1">
        <v>52.781243802245271</v>
      </c>
      <c r="E331" s="1" t="s">
        <v>147</v>
      </c>
      <c r="F331" s="1">
        <v>3</v>
      </c>
    </row>
    <row r="332" spans="1:6" x14ac:dyDescent="0.35">
      <c r="A332" s="1">
        <v>2031</v>
      </c>
      <c r="B332" s="1">
        <v>31.070807346152439</v>
      </c>
      <c r="C332" s="1">
        <v>40.275658166422552</v>
      </c>
      <c r="D332" s="1">
        <v>51.951426690672832</v>
      </c>
      <c r="E332" s="1" t="s">
        <v>147</v>
      </c>
      <c r="F332" s="1">
        <v>3</v>
      </c>
    </row>
    <row r="333" spans="1:6" x14ac:dyDescent="0.35">
      <c r="A333" s="1">
        <v>2032</v>
      </c>
      <c r="B333" s="1">
        <v>31.896695527699588</v>
      </c>
      <c r="C333" s="1">
        <v>41.454597222175998</v>
      </c>
      <c r="D333" s="1">
        <v>52.270515440006392</v>
      </c>
      <c r="E333" s="1" t="s">
        <v>147</v>
      </c>
      <c r="F333" s="1">
        <v>3</v>
      </c>
    </row>
    <row r="334" spans="1:6" x14ac:dyDescent="0.35">
      <c r="A334" s="1">
        <v>2033</v>
      </c>
      <c r="B334" s="1">
        <v>30.238446918395379</v>
      </c>
      <c r="C334" s="1">
        <v>39.643698169354217</v>
      </c>
      <c r="D334" s="1">
        <v>54.407378853515333</v>
      </c>
      <c r="E334" s="1" t="s">
        <v>147</v>
      </c>
      <c r="F334" s="1">
        <v>3</v>
      </c>
    </row>
    <row r="335" spans="1:6" x14ac:dyDescent="0.35">
      <c r="A335" s="1">
        <v>2034</v>
      </c>
      <c r="B335" s="1">
        <v>30.643206206956648</v>
      </c>
      <c r="C335" s="1">
        <v>38.344832301350962</v>
      </c>
      <c r="D335" s="1">
        <v>54.806447542615707</v>
      </c>
      <c r="E335" s="1" t="s">
        <v>147</v>
      </c>
      <c r="F335" s="1">
        <v>3</v>
      </c>
    </row>
    <row r="336" spans="1:6" x14ac:dyDescent="0.35">
      <c r="A336" s="1">
        <v>2035</v>
      </c>
      <c r="B336" s="1">
        <v>29.780445983195719</v>
      </c>
      <c r="C336" s="1">
        <v>40.342512195557603</v>
      </c>
      <c r="D336" s="1">
        <v>51.825268562572333</v>
      </c>
      <c r="E336" s="1" t="s">
        <v>147</v>
      </c>
      <c r="F336" s="1">
        <v>3</v>
      </c>
    </row>
    <row r="337" spans="1:6" x14ac:dyDescent="0.35">
      <c r="A337" s="1">
        <v>2036</v>
      </c>
      <c r="B337" s="1">
        <v>28.760474801480651</v>
      </c>
      <c r="C337" s="1">
        <v>38.418511898413357</v>
      </c>
      <c r="D337" s="1">
        <v>50.041510003608771</v>
      </c>
      <c r="E337" s="1" t="s">
        <v>147</v>
      </c>
      <c r="F337" s="1">
        <v>3</v>
      </c>
    </row>
    <row r="338" spans="1:6" x14ac:dyDescent="0.35">
      <c r="A338" s="1">
        <v>2037</v>
      </c>
      <c r="B338" s="1">
        <v>28.641694176265801</v>
      </c>
      <c r="C338" s="1">
        <v>38.715045943910908</v>
      </c>
      <c r="D338" s="1">
        <v>49.162150147703272</v>
      </c>
      <c r="E338" s="1" t="s">
        <v>147</v>
      </c>
      <c r="F338" s="1">
        <v>3</v>
      </c>
    </row>
    <row r="339" spans="1:6" x14ac:dyDescent="0.35">
      <c r="A339" s="1">
        <v>2038</v>
      </c>
      <c r="B339" s="1">
        <v>29.131394841044042</v>
      </c>
      <c r="C339" s="1">
        <v>37.721260007549418</v>
      </c>
      <c r="D339" s="1">
        <v>49.01685087502441</v>
      </c>
      <c r="E339" s="1" t="s">
        <v>147</v>
      </c>
      <c r="F339" s="1">
        <v>3</v>
      </c>
    </row>
    <row r="340" spans="1:6" x14ac:dyDescent="0.35">
      <c r="A340" s="1">
        <v>2039</v>
      </c>
      <c r="B340" s="1">
        <v>28.932530665673799</v>
      </c>
      <c r="C340" s="1">
        <v>38.097713710807163</v>
      </c>
      <c r="D340" s="1">
        <v>49.974540708274439</v>
      </c>
      <c r="E340" s="1" t="s">
        <v>147</v>
      </c>
      <c r="F340" s="1">
        <v>3</v>
      </c>
    </row>
    <row r="341" spans="1:6" x14ac:dyDescent="0.35">
      <c r="A341" s="1">
        <v>2040</v>
      </c>
      <c r="B341" s="1">
        <v>27.386516296236241</v>
      </c>
      <c r="C341" s="1">
        <v>38.804914030083957</v>
      </c>
      <c r="D341" s="1">
        <v>49.267129051935328</v>
      </c>
      <c r="E341" s="1" t="s">
        <v>147</v>
      </c>
      <c r="F341" s="1">
        <v>3</v>
      </c>
    </row>
    <row r="342" spans="1:6" x14ac:dyDescent="0.35">
      <c r="A342" s="1">
        <v>2041</v>
      </c>
      <c r="B342" s="1">
        <v>27.466073044692081</v>
      </c>
      <c r="C342" s="1">
        <v>40.459799428719762</v>
      </c>
      <c r="D342" s="1">
        <v>49.766201716219108</v>
      </c>
      <c r="E342" s="1" t="s">
        <v>147</v>
      </c>
      <c r="F342" s="1">
        <v>3</v>
      </c>
    </row>
    <row r="343" spans="1:6" x14ac:dyDescent="0.35">
      <c r="A343" s="1">
        <v>2042</v>
      </c>
      <c r="B343" s="1">
        <v>29.017398303917361</v>
      </c>
      <c r="C343" s="1">
        <v>40.464222893767861</v>
      </c>
      <c r="D343" s="1">
        <v>50.420480096762653</v>
      </c>
      <c r="E343" s="1" t="s">
        <v>147</v>
      </c>
      <c r="F343" s="1">
        <v>3</v>
      </c>
    </row>
    <row r="344" spans="1:6" x14ac:dyDescent="0.35">
      <c r="A344" s="1">
        <v>2043</v>
      </c>
      <c r="B344" s="1">
        <v>28.50861390110488</v>
      </c>
      <c r="C344" s="1">
        <v>40.370453417919258</v>
      </c>
      <c r="D344" s="1">
        <v>50.977195345560077</v>
      </c>
      <c r="E344" s="1" t="s">
        <v>147</v>
      </c>
      <c r="F344" s="1">
        <v>3</v>
      </c>
    </row>
    <row r="345" spans="1:6" x14ac:dyDescent="0.35">
      <c r="A345" s="1">
        <v>2044</v>
      </c>
      <c r="B345" s="1">
        <v>47.002758136928968</v>
      </c>
      <c r="C345" s="1">
        <v>66.559625257932183</v>
      </c>
      <c r="D345" s="1">
        <v>72.724722211999989</v>
      </c>
      <c r="E345" s="1" t="s">
        <v>147</v>
      </c>
      <c r="F345" s="1">
        <v>3</v>
      </c>
    </row>
    <row r="346" spans="1:6" x14ac:dyDescent="0.35">
      <c r="A346" s="1">
        <v>2045</v>
      </c>
      <c r="B346" s="1">
        <v>33.673288235773107</v>
      </c>
      <c r="C346" s="1">
        <v>43.927824272408913</v>
      </c>
      <c r="D346" s="1">
        <v>66.105631108091785</v>
      </c>
      <c r="E346" s="1" t="s">
        <v>147</v>
      </c>
      <c r="F346" s="1">
        <v>3</v>
      </c>
    </row>
    <row r="347" spans="1:6" x14ac:dyDescent="0.35">
      <c r="A347" s="1">
        <v>2046</v>
      </c>
      <c r="B347" s="1">
        <v>34.830967620205342</v>
      </c>
      <c r="C347" s="1">
        <v>43.595940927234423</v>
      </c>
      <c r="D347" s="1">
        <v>66.447166998805585</v>
      </c>
      <c r="E347" s="1" t="s">
        <v>147</v>
      </c>
      <c r="F347" s="1">
        <v>3</v>
      </c>
    </row>
    <row r="348" spans="1:6" x14ac:dyDescent="0.35">
      <c r="A348" s="1">
        <v>2047</v>
      </c>
      <c r="B348" s="1">
        <v>34.007605306234517</v>
      </c>
      <c r="C348" s="1">
        <v>45.808499592022578</v>
      </c>
      <c r="D348" s="1">
        <v>64.149824855485065</v>
      </c>
      <c r="E348" s="1" t="s">
        <v>147</v>
      </c>
      <c r="F348" s="1">
        <v>3</v>
      </c>
    </row>
    <row r="349" spans="1:6" x14ac:dyDescent="0.35">
      <c r="A349" s="1">
        <v>2048</v>
      </c>
      <c r="B349" s="1">
        <v>32.94169943089215</v>
      </c>
      <c r="C349" s="1">
        <v>45.525856816263428</v>
      </c>
      <c r="D349" s="1">
        <v>62.440841712955987</v>
      </c>
      <c r="E349" s="1" t="s">
        <v>147</v>
      </c>
      <c r="F349" s="1">
        <v>3</v>
      </c>
    </row>
    <row r="350" spans="1:6" x14ac:dyDescent="0.35">
      <c r="A350" s="1">
        <v>2049</v>
      </c>
      <c r="B350" s="1">
        <v>54.311680544722194</v>
      </c>
      <c r="C350" s="1">
        <v>72.724722211999989</v>
      </c>
      <c r="D350" s="1">
        <v>72.724722211999989</v>
      </c>
      <c r="E350" s="1" t="s">
        <v>147</v>
      </c>
      <c r="F350" s="1">
        <v>3</v>
      </c>
    </row>
    <row r="351" spans="1:6" x14ac:dyDescent="0.35">
      <c r="A351" s="1">
        <v>2050</v>
      </c>
      <c r="B351" s="1">
        <v>36.820998019385989</v>
      </c>
      <c r="C351" s="1">
        <v>47.480982027566142</v>
      </c>
      <c r="D351" s="1">
        <v>64.82520812920535</v>
      </c>
      <c r="E351" s="1" t="s">
        <v>147</v>
      </c>
      <c r="F351" s="1">
        <v>3</v>
      </c>
    </row>
    <row r="352" spans="1:6" x14ac:dyDescent="0.35">
      <c r="A352" s="1">
        <v>2026</v>
      </c>
      <c r="B352" s="1">
        <v>31.801488448992689</v>
      </c>
      <c r="C352" s="1">
        <v>31.212772785389401</v>
      </c>
      <c r="D352" s="1">
        <v>31.699996786237492</v>
      </c>
      <c r="E352" s="1" t="s">
        <v>148</v>
      </c>
      <c r="F352" s="1">
        <v>3</v>
      </c>
    </row>
    <row r="353" spans="1:6" x14ac:dyDescent="0.35">
      <c r="A353" s="1">
        <v>2027</v>
      </c>
      <c r="B353" s="1">
        <v>49.957641831831388</v>
      </c>
      <c r="C353" s="1">
        <v>51.461162408801577</v>
      </c>
      <c r="D353" s="1">
        <v>52.264458982595457</v>
      </c>
      <c r="E353" s="1" t="s">
        <v>148</v>
      </c>
      <c r="F353" s="1">
        <v>3</v>
      </c>
    </row>
    <row r="354" spans="1:6" x14ac:dyDescent="0.35">
      <c r="A354" s="1">
        <v>2028</v>
      </c>
      <c r="B354" s="1">
        <v>30.300841457948149</v>
      </c>
      <c r="C354" s="1">
        <v>38.376045776617843</v>
      </c>
      <c r="D354" s="1">
        <v>50.536603568607759</v>
      </c>
      <c r="E354" s="1" t="s">
        <v>148</v>
      </c>
      <c r="F354" s="1">
        <v>3</v>
      </c>
    </row>
    <row r="355" spans="1:6" x14ac:dyDescent="0.35">
      <c r="A355" s="1">
        <v>2029</v>
      </c>
      <c r="B355" s="1">
        <v>28.807262271546271</v>
      </c>
      <c r="C355" s="1">
        <v>39.617349553180247</v>
      </c>
      <c r="D355" s="1">
        <v>49.901316667034322</v>
      </c>
      <c r="E355" s="1" t="s">
        <v>148</v>
      </c>
      <c r="F355" s="1">
        <v>3</v>
      </c>
    </row>
    <row r="356" spans="1:6" x14ac:dyDescent="0.35">
      <c r="A356" s="1">
        <v>2030</v>
      </c>
      <c r="B356" s="1">
        <v>29.567707844508089</v>
      </c>
      <c r="C356" s="1">
        <v>39.859791574563552</v>
      </c>
      <c r="D356" s="1">
        <v>50.479143779932329</v>
      </c>
      <c r="E356" s="1" t="s">
        <v>148</v>
      </c>
      <c r="F356" s="1">
        <v>3</v>
      </c>
    </row>
    <row r="357" spans="1:6" x14ac:dyDescent="0.35">
      <c r="A357" s="1">
        <v>2031</v>
      </c>
      <c r="B357" s="1">
        <v>29.062001174379031</v>
      </c>
      <c r="C357" s="1">
        <v>40.663678269012721</v>
      </c>
      <c r="D357" s="1">
        <v>49.879252468527817</v>
      </c>
      <c r="E357" s="1" t="s">
        <v>148</v>
      </c>
      <c r="F357" s="1">
        <v>3</v>
      </c>
    </row>
    <row r="358" spans="1:6" x14ac:dyDescent="0.35">
      <c r="A358" s="1">
        <v>2032</v>
      </c>
      <c r="B358" s="1">
        <v>29.38528941131899</v>
      </c>
      <c r="C358" s="1">
        <v>39.410284550934207</v>
      </c>
      <c r="D358" s="1">
        <v>50.916640827491463</v>
      </c>
      <c r="E358" s="1" t="s">
        <v>148</v>
      </c>
      <c r="F358" s="1">
        <v>3</v>
      </c>
    </row>
    <row r="359" spans="1:6" x14ac:dyDescent="0.35">
      <c r="A359" s="1">
        <v>2033</v>
      </c>
      <c r="B359" s="1">
        <v>29.070314439200239</v>
      </c>
      <c r="C359" s="1">
        <v>37.921168007773119</v>
      </c>
      <c r="D359" s="1">
        <v>54.101596067099138</v>
      </c>
      <c r="E359" s="1" t="s">
        <v>148</v>
      </c>
      <c r="F359" s="1">
        <v>3</v>
      </c>
    </row>
    <row r="360" spans="1:6" x14ac:dyDescent="0.35">
      <c r="A360" s="1">
        <v>2034</v>
      </c>
      <c r="B360" s="1">
        <v>29.458977163657782</v>
      </c>
      <c r="C360" s="1">
        <v>37.873947020685961</v>
      </c>
      <c r="D360" s="1">
        <v>54.507436877863761</v>
      </c>
      <c r="E360" s="1" t="s">
        <v>148</v>
      </c>
      <c r="F360" s="1">
        <v>3</v>
      </c>
    </row>
    <row r="361" spans="1:6" x14ac:dyDescent="0.35">
      <c r="A361" s="1">
        <v>2035</v>
      </c>
      <c r="B361" s="1">
        <v>48.569642262791923</v>
      </c>
      <c r="C361" s="1">
        <v>62.443582058374687</v>
      </c>
      <c r="D361" s="1">
        <v>72.724722211999989</v>
      </c>
      <c r="E361" s="1" t="s">
        <v>148</v>
      </c>
      <c r="F361" s="1">
        <v>3</v>
      </c>
    </row>
    <row r="362" spans="1:6" x14ac:dyDescent="0.35">
      <c r="A362" s="1">
        <v>2036</v>
      </c>
      <c r="B362" s="1">
        <v>36.032040421264277</v>
      </c>
      <c r="C362" s="1">
        <v>45.345489535476339</v>
      </c>
      <c r="D362" s="1">
        <v>60.542933354944573</v>
      </c>
      <c r="E362" s="1" t="s">
        <v>148</v>
      </c>
      <c r="F362" s="1">
        <v>3</v>
      </c>
    </row>
    <row r="363" spans="1:6" x14ac:dyDescent="0.35">
      <c r="A363" s="1">
        <v>2037</v>
      </c>
      <c r="B363" s="1">
        <v>34.995123641858982</v>
      </c>
      <c r="C363" s="1">
        <v>46.754717945673939</v>
      </c>
      <c r="D363" s="1">
        <v>60.977641411306969</v>
      </c>
      <c r="E363" s="1" t="s">
        <v>148</v>
      </c>
      <c r="F363" s="1">
        <v>3</v>
      </c>
    </row>
    <row r="364" spans="1:6" x14ac:dyDescent="0.35">
      <c r="A364" s="1">
        <v>2038</v>
      </c>
      <c r="B364" s="1">
        <v>57.697204719113827</v>
      </c>
      <c r="C364" s="1">
        <v>72.724722211999989</v>
      </c>
      <c r="D364" s="1">
        <v>72.724722211999989</v>
      </c>
      <c r="E364" s="1" t="s">
        <v>148</v>
      </c>
      <c r="F364" s="1">
        <v>3</v>
      </c>
    </row>
    <row r="365" spans="1:6" x14ac:dyDescent="0.35">
      <c r="A365" s="1">
        <v>2039</v>
      </c>
      <c r="B365" s="1">
        <v>40.948882413644469</v>
      </c>
      <c r="C365" s="1">
        <v>53.474400483135007</v>
      </c>
      <c r="D365" s="1">
        <v>64.992337644965957</v>
      </c>
      <c r="E365" s="1" t="s">
        <v>148</v>
      </c>
      <c r="F365" s="1">
        <v>3</v>
      </c>
    </row>
    <row r="366" spans="1:6" x14ac:dyDescent="0.35">
      <c r="A366" s="1">
        <v>2040</v>
      </c>
      <c r="B366" s="1">
        <v>39.754605716525553</v>
      </c>
      <c r="C366" s="1">
        <v>52.520869089323433</v>
      </c>
      <c r="D366" s="1">
        <v>65.511512841649221</v>
      </c>
      <c r="E366" s="1" t="s">
        <v>148</v>
      </c>
      <c r="F366" s="1">
        <v>3</v>
      </c>
    </row>
    <row r="367" spans="1:6" x14ac:dyDescent="0.35">
      <c r="A367" s="1">
        <v>2041</v>
      </c>
      <c r="B367" s="1">
        <v>40.057421078421861</v>
      </c>
      <c r="C367" s="1">
        <v>52.900668546120933</v>
      </c>
      <c r="D367" s="1">
        <v>68.070451188776872</v>
      </c>
      <c r="E367" s="1" t="s">
        <v>148</v>
      </c>
      <c r="F367" s="1">
        <v>3</v>
      </c>
    </row>
    <row r="368" spans="1:6" x14ac:dyDescent="0.35">
      <c r="A368" s="1">
        <v>2042</v>
      </c>
      <c r="B368" s="1">
        <v>37.895893370444647</v>
      </c>
      <c r="C368" s="1">
        <v>49.51447194223956</v>
      </c>
      <c r="D368" s="1">
        <v>70.05566452906875</v>
      </c>
      <c r="E368" s="1" t="s">
        <v>148</v>
      </c>
      <c r="F368" s="1">
        <v>3</v>
      </c>
    </row>
    <row r="369" spans="1:6" x14ac:dyDescent="0.35">
      <c r="A369" s="1">
        <v>2043</v>
      </c>
      <c r="B369" s="1">
        <v>39.95746037847946</v>
      </c>
      <c r="C369" s="1">
        <v>48.68194208564649</v>
      </c>
      <c r="D369" s="1">
        <v>70.351874663513541</v>
      </c>
      <c r="E369" s="1" t="s">
        <v>148</v>
      </c>
      <c r="F369" s="1">
        <v>3</v>
      </c>
    </row>
    <row r="370" spans="1:6" x14ac:dyDescent="0.35">
      <c r="A370" s="1">
        <v>2044</v>
      </c>
      <c r="B370" s="1">
        <v>39.566016936399642</v>
      </c>
      <c r="C370" s="1">
        <v>50.98762610094056</v>
      </c>
      <c r="D370" s="1">
        <v>71.079826578326021</v>
      </c>
      <c r="E370" s="1" t="s">
        <v>148</v>
      </c>
      <c r="F370" s="1">
        <v>3</v>
      </c>
    </row>
    <row r="371" spans="1:6" x14ac:dyDescent="0.35">
      <c r="A371" s="1">
        <v>2045</v>
      </c>
      <c r="B371" s="1">
        <v>40.099663749797479</v>
      </c>
      <c r="C371" s="1">
        <v>52.040289350762741</v>
      </c>
      <c r="D371" s="1">
        <v>69.41757269922455</v>
      </c>
      <c r="E371" s="1" t="s">
        <v>148</v>
      </c>
      <c r="F371" s="1">
        <v>3</v>
      </c>
    </row>
    <row r="372" spans="1:6" x14ac:dyDescent="0.35">
      <c r="A372" s="1">
        <v>2046</v>
      </c>
      <c r="B372" s="1">
        <v>39.291529802549498</v>
      </c>
      <c r="C372" s="1">
        <v>52.238087710600702</v>
      </c>
      <c r="D372" s="1">
        <v>66.979311345783714</v>
      </c>
      <c r="E372" s="1" t="s">
        <v>148</v>
      </c>
      <c r="F372" s="1">
        <v>3</v>
      </c>
    </row>
    <row r="373" spans="1:6" x14ac:dyDescent="0.35">
      <c r="A373" s="1">
        <v>2047</v>
      </c>
      <c r="B373" s="1">
        <v>37.715951172753087</v>
      </c>
      <c r="C373" s="1">
        <v>50.119171983806069</v>
      </c>
      <c r="D373" s="1">
        <v>69.245394068849578</v>
      </c>
      <c r="E373" s="1" t="s">
        <v>148</v>
      </c>
      <c r="F373" s="1">
        <v>3</v>
      </c>
    </row>
    <row r="374" spans="1:6" x14ac:dyDescent="0.35">
      <c r="A374" s="1">
        <v>2048</v>
      </c>
      <c r="B374" s="1">
        <v>38.169984833612737</v>
      </c>
      <c r="C374" s="1">
        <v>49.018687203519171</v>
      </c>
      <c r="D374" s="1">
        <v>72.188789292182477</v>
      </c>
      <c r="E374" s="1" t="s">
        <v>148</v>
      </c>
      <c r="F374" s="1">
        <v>3</v>
      </c>
    </row>
    <row r="375" spans="1:6" x14ac:dyDescent="0.35">
      <c r="A375" s="1">
        <v>2049</v>
      </c>
      <c r="B375" s="1">
        <v>37.493386107449268</v>
      </c>
      <c r="C375" s="1">
        <v>48.393116151792533</v>
      </c>
      <c r="D375" s="1">
        <v>70.591609739583745</v>
      </c>
      <c r="E375" s="1" t="s">
        <v>148</v>
      </c>
      <c r="F375" s="1">
        <v>3</v>
      </c>
    </row>
    <row r="376" spans="1:6" x14ac:dyDescent="0.35">
      <c r="A376" s="1">
        <v>2050</v>
      </c>
      <c r="B376" s="1">
        <v>35.8424116678259</v>
      </c>
      <c r="C376" s="1">
        <v>48.56124589182361</v>
      </c>
      <c r="D376" s="1">
        <v>70.026260287790308</v>
      </c>
      <c r="E376" s="1" t="s">
        <v>148</v>
      </c>
      <c r="F376" s="1">
        <v>3</v>
      </c>
    </row>
    <row r="377" spans="1:6" x14ac:dyDescent="0.35">
      <c r="A377" s="1">
        <v>2026</v>
      </c>
      <c r="B377" s="1">
        <v>52.131650615948899</v>
      </c>
      <c r="C377" s="1">
        <v>52.131650615948899</v>
      </c>
      <c r="D377" s="1">
        <v>52.131650615948899</v>
      </c>
      <c r="E377" s="1" t="s">
        <v>149</v>
      </c>
      <c r="F377" s="1">
        <v>4</v>
      </c>
    </row>
    <row r="378" spans="1:6" x14ac:dyDescent="0.35">
      <c r="A378" s="1">
        <v>2027</v>
      </c>
      <c r="B378" s="1">
        <v>31.619444439999999</v>
      </c>
      <c r="C378" s="1">
        <v>39.558003851942253</v>
      </c>
      <c r="D378" s="1">
        <v>47.618317254478512</v>
      </c>
      <c r="E378" s="1" t="s">
        <v>149</v>
      </c>
      <c r="F378" s="1">
        <v>4</v>
      </c>
    </row>
    <row r="379" spans="1:6" x14ac:dyDescent="0.35">
      <c r="A379" s="1">
        <v>2028</v>
      </c>
      <c r="B379" s="1">
        <v>30.292553243951389</v>
      </c>
      <c r="C379" s="1">
        <v>38.95840558567037</v>
      </c>
      <c r="D379" s="1">
        <v>47.952529240301963</v>
      </c>
      <c r="E379" s="1" t="s">
        <v>149</v>
      </c>
      <c r="F379" s="1">
        <v>4</v>
      </c>
    </row>
    <row r="380" spans="1:6" x14ac:dyDescent="0.35">
      <c r="A380" s="1">
        <v>2029</v>
      </c>
      <c r="B380" s="1">
        <v>31.031438229419209</v>
      </c>
      <c r="C380" s="1">
        <v>39.820424817082618</v>
      </c>
      <c r="D380" s="1">
        <v>47.076861318880283</v>
      </c>
      <c r="E380" s="1" t="s">
        <v>149</v>
      </c>
      <c r="F380" s="1">
        <v>4</v>
      </c>
    </row>
    <row r="381" spans="1:6" x14ac:dyDescent="0.35">
      <c r="A381" s="1">
        <v>2030</v>
      </c>
      <c r="B381" s="1">
        <v>51.162192269260579</v>
      </c>
      <c r="C381" s="1">
        <v>65.652781404239391</v>
      </c>
      <c r="D381" s="1">
        <v>72.724722211999989</v>
      </c>
      <c r="E381" s="1" t="s">
        <v>149</v>
      </c>
      <c r="F381" s="1">
        <v>4</v>
      </c>
    </row>
    <row r="382" spans="1:6" x14ac:dyDescent="0.35">
      <c r="A382" s="1">
        <v>2031</v>
      </c>
      <c r="B382" s="1">
        <v>36.781021127580949</v>
      </c>
      <c r="C382" s="1">
        <v>47.90487289498342</v>
      </c>
      <c r="D382" s="1">
        <v>65.691622810906566</v>
      </c>
      <c r="E382" s="1" t="s">
        <v>149</v>
      </c>
      <c r="F382" s="1">
        <v>4</v>
      </c>
    </row>
    <row r="383" spans="1:6" x14ac:dyDescent="0.35">
      <c r="A383" s="1">
        <v>2032</v>
      </c>
      <c r="B383" s="1">
        <v>35.347583448272232</v>
      </c>
      <c r="C383" s="1">
        <v>47.594971809628532</v>
      </c>
      <c r="D383" s="1">
        <v>65.415099183458636</v>
      </c>
      <c r="E383" s="1" t="s">
        <v>149</v>
      </c>
      <c r="F383" s="1">
        <v>4</v>
      </c>
    </row>
    <row r="384" spans="1:6" x14ac:dyDescent="0.35">
      <c r="A384" s="1">
        <v>2033</v>
      </c>
      <c r="B384" s="1">
        <v>35.011239523066727</v>
      </c>
      <c r="C384" s="1">
        <v>47.307662613006578</v>
      </c>
      <c r="D384" s="1">
        <v>65.881888293076329</v>
      </c>
      <c r="E384" s="1" t="s">
        <v>149</v>
      </c>
      <c r="F384" s="1">
        <v>4</v>
      </c>
    </row>
    <row r="385" spans="1:6" x14ac:dyDescent="0.35">
      <c r="A385" s="1">
        <v>2034</v>
      </c>
      <c r="B385" s="1">
        <v>34.335452532613267</v>
      </c>
      <c r="C385" s="1">
        <v>46.434711508682071</v>
      </c>
      <c r="D385" s="1">
        <v>68.02270087213229</v>
      </c>
      <c r="E385" s="1" t="s">
        <v>149</v>
      </c>
      <c r="F385" s="1">
        <v>4</v>
      </c>
    </row>
    <row r="386" spans="1:6" x14ac:dyDescent="0.35">
      <c r="A386" s="1">
        <v>2035</v>
      </c>
      <c r="B386" s="1">
        <v>35.275214479905209</v>
      </c>
      <c r="C386" s="1">
        <v>48.521955339249708</v>
      </c>
      <c r="D386" s="1">
        <v>68.469816081503055</v>
      </c>
      <c r="E386" s="1" t="s">
        <v>149</v>
      </c>
      <c r="F386" s="1">
        <v>4</v>
      </c>
    </row>
    <row r="387" spans="1:6" x14ac:dyDescent="0.35">
      <c r="A387" s="1">
        <v>2036</v>
      </c>
      <c r="B387" s="1">
        <v>58.158996441528878</v>
      </c>
      <c r="C387" s="1">
        <v>72.724722211999989</v>
      </c>
      <c r="D387" s="1">
        <v>72.724722211999989</v>
      </c>
      <c r="E387" s="1" t="s">
        <v>149</v>
      </c>
      <c r="F387" s="1">
        <v>4</v>
      </c>
    </row>
    <row r="388" spans="1:6" x14ac:dyDescent="0.35">
      <c r="A388" s="1">
        <v>2037</v>
      </c>
      <c r="B388" s="1">
        <v>39.656160449912861</v>
      </c>
      <c r="C388" s="1">
        <v>50.462689503384922</v>
      </c>
      <c r="D388" s="1">
        <v>72.724722211999989</v>
      </c>
      <c r="E388" s="1" t="s">
        <v>149</v>
      </c>
      <c r="F388" s="1">
        <v>4</v>
      </c>
    </row>
    <row r="389" spans="1:6" x14ac:dyDescent="0.35">
      <c r="A389" s="1">
        <v>2038</v>
      </c>
      <c r="B389" s="1">
        <v>41.604470868832898</v>
      </c>
      <c r="C389" s="1">
        <v>49.286201510670132</v>
      </c>
      <c r="D389" s="1">
        <v>70.888816929759187</v>
      </c>
      <c r="E389" s="1" t="s">
        <v>149</v>
      </c>
      <c r="F389" s="1">
        <v>4</v>
      </c>
    </row>
    <row r="390" spans="1:6" x14ac:dyDescent="0.35">
      <c r="A390" s="1">
        <v>2039</v>
      </c>
      <c r="B390" s="1">
        <v>42.432763381901381</v>
      </c>
      <c r="C390" s="1">
        <v>49.804085272276353</v>
      </c>
      <c r="D390" s="1">
        <v>69.882027571143851</v>
      </c>
      <c r="E390" s="1" t="s">
        <v>149</v>
      </c>
      <c r="F390" s="1">
        <v>4</v>
      </c>
    </row>
    <row r="391" spans="1:6" x14ac:dyDescent="0.35">
      <c r="A391" s="1">
        <v>2040</v>
      </c>
      <c r="B391" s="1">
        <v>42.378009406038203</v>
      </c>
      <c r="C391" s="1">
        <v>51.923850052855173</v>
      </c>
      <c r="D391" s="1">
        <v>69.235219948403753</v>
      </c>
      <c r="E391" s="1" t="s">
        <v>149</v>
      </c>
      <c r="F391" s="1">
        <v>4</v>
      </c>
    </row>
    <row r="392" spans="1:6" x14ac:dyDescent="0.35">
      <c r="A392" s="1">
        <v>2041</v>
      </c>
      <c r="B392" s="1">
        <v>41.523839128220963</v>
      </c>
      <c r="C392" s="1">
        <v>51.759694047555733</v>
      </c>
      <c r="D392" s="1">
        <v>68.455824572207305</v>
      </c>
      <c r="E392" s="1" t="s">
        <v>149</v>
      </c>
      <c r="F392" s="1">
        <v>4</v>
      </c>
    </row>
    <row r="393" spans="1:6" x14ac:dyDescent="0.35">
      <c r="A393" s="1">
        <v>2042</v>
      </c>
      <c r="B393" s="1">
        <v>40.479076397238153</v>
      </c>
      <c r="C393" s="1">
        <v>50.856883525902788</v>
      </c>
      <c r="D393" s="1">
        <v>69.547493145076558</v>
      </c>
      <c r="E393" s="1" t="s">
        <v>149</v>
      </c>
      <c r="F393" s="1">
        <v>4</v>
      </c>
    </row>
    <row r="394" spans="1:6" x14ac:dyDescent="0.35">
      <c r="A394" s="1">
        <v>2043</v>
      </c>
      <c r="B394" s="1">
        <v>41.140181447143959</v>
      </c>
      <c r="C394" s="1">
        <v>50.102277704211041</v>
      </c>
      <c r="D394" s="1">
        <v>69.377938836797497</v>
      </c>
      <c r="E394" s="1" t="s">
        <v>149</v>
      </c>
      <c r="F394" s="1">
        <v>4</v>
      </c>
    </row>
    <row r="395" spans="1:6" x14ac:dyDescent="0.35">
      <c r="A395" s="1">
        <v>2044</v>
      </c>
      <c r="B395" s="1">
        <v>67.828692232369022</v>
      </c>
      <c r="C395" s="1">
        <v>72.724722211999989</v>
      </c>
      <c r="D395" s="1">
        <v>72.724722211999989</v>
      </c>
      <c r="E395" s="1" t="s">
        <v>149</v>
      </c>
      <c r="F395" s="1">
        <v>4</v>
      </c>
    </row>
    <row r="396" spans="1:6" x14ac:dyDescent="0.35">
      <c r="A396" s="1">
        <v>2045</v>
      </c>
      <c r="B396" s="1">
        <v>41.140181447143959</v>
      </c>
      <c r="C396" s="1">
        <v>55.751705670192841</v>
      </c>
      <c r="D396" s="1">
        <v>72.724722211999989</v>
      </c>
      <c r="E396" s="1" t="s">
        <v>149</v>
      </c>
      <c r="F396" s="1">
        <v>4</v>
      </c>
    </row>
    <row r="397" spans="1:6" x14ac:dyDescent="0.35">
      <c r="A397" s="1">
        <v>2046</v>
      </c>
      <c r="B397" s="1">
        <v>42.263566887308457</v>
      </c>
      <c r="C397" s="1">
        <v>56.438497447117882</v>
      </c>
      <c r="D397" s="1">
        <v>72.724722211999989</v>
      </c>
      <c r="E397" s="1" t="s">
        <v>149</v>
      </c>
      <c r="F397" s="1">
        <v>4</v>
      </c>
    </row>
    <row r="398" spans="1:6" x14ac:dyDescent="0.35">
      <c r="A398" s="1">
        <v>2047</v>
      </c>
      <c r="B398" s="1">
        <v>42.505493417804949</v>
      </c>
      <c r="C398" s="1">
        <v>55.307098807761101</v>
      </c>
      <c r="D398" s="1">
        <v>71.648242724203044</v>
      </c>
      <c r="E398" s="1" t="s">
        <v>149</v>
      </c>
      <c r="F398" s="1">
        <v>4</v>
      </c>
    </row>
    <row r="399" spans="1:6" x14ac:dyDescent="0.35">
      <c r="A399" s="1">
        <v>2048</v>
      </c>
      <c r="B399" s="1">
        <v>43.982604301211417</v>
      </c>
      <c r="C399" s="1">
        <v>55.090663030421339</v>
      </c>
      <c r="D399" s="1">
        <v>71.505211533825772</v>
      </c>
      <c r="E399" s="1" t="s">
        <v>149</v>
      </c>
      <c r="F399" s="1">
        <v>4</v>
      </c>
    </row>
    <row r="400" spans="1:6" x14ac:dyDescent="0.35">
      <c r="A400" s="1">
        <v>2049</v>
      </c>
      <c r="B400" s="1">
        <v>41.789068997630032</v>
      </c>
      <c r="C400" s="1">
        <v>55.82914055586177</v>
      </c>
      <c r="D400" s="1">
        <v>72.092532046111444</v>
      </c>
      <c r="E400" s="1" t="s">
        <v>149</v>
      </c>
      <c r="F400" s="1">
        <v>4</v>
      </c>
    </row>
    <row r="401" spans="1:6" x14ac:dyDescent="0.35">
      <c r="A401" s="1">
        <v>2050</v>
      </c>
      <c r="B401" s="1">
        <v>40.958825803488857</v>
      </c>
      <c r="C401" s="1">
        <v>57.305081528265099</v>
      </c>
      <c r="D401" s="1">
        <v>71.849669936892639</v>
      </c>
      <c r="E401" s="1" t="s">
        <v>149</v>
      </c>
      <c r="F401" s="1">
        <v>4</v>
      </c>
    </row>
    <row r="402" spans="1:6" x14ac:dyDescent="0.35">
      <c r="A402" s="1">
        <v>2026</v>
      </c>
      <c r="B402" s="1">
        <v>30.560876302527891</v>
      </c>
      <c r="C402" s="1">
        <v>32.650247799986197</v>
      </c>
      <c r="D402" s="1">
        <v>33.235970166007803</v>
      </c>
      <c r="E402" s="1" t="s">
        <v>150</v>
      </c>
      <c r="F402" s="1">
        <v>4</v>
      </c>
    </row>
    <row r="403" spans="1:6" x14ac:dyDescent="0.35">
      <c r="A403" s="1">
        <v>2027</v>
      </c>
      <c r="B403" s="1">
        <v>30.299436434729671</v>
      </c>
      <c r="C403" s="1">
        <v>33.242966774163769</v>
      </c>
      <c r="D403" s="1">
        <v>32.176074785424873</v>
      </c>
      <c r="E403" s="1" t="s">
        <v>150</v>
      </c>
      <c r="F403" s="1">
        <v>4</v>
      </c>
    </row>
    <row r="404" spans="1:6" x14ac:dyDescent="0.35">
      <c r="A404" s="1">
        <v>2028</v>
      </c>
      <c r="B404" s="1">
        <v>29.23694099574065</v>
      </c>
      <c r="C404" s="1">
        <v>33.124771989403271</v>
      </c>
      <c r="D404" s="1">
        <v>33.370775017957762</v>
      </c>
      <c r="E404" s="1" t="s">
        <v>150</v>
      </c>
      <c r="F404" s="1">
        <v>4</v>
      </c>
    </row>
    <row r="405" spans="1:6" x14ac:dyDescent="0.35">
      <c r="A405" s="1">
        <v>2029</v>
      </c>
      <c r="B405" s="1">
        <v>28.98629775003338</v>
      </c>
      <c r="C405" s="1">
        <v>32.66950795793629</v>
      </c>
      <c r="D405" s="1">
        <v>33.121944893911078</v>
      </c>
      <c r="E405" s="1" t="s">
        <v>150</v>
      </c>
      <c r="F405" s="1">
        <v>4</v>
      </c>
    </row>
    <row r="406" spans="1:6" x14ac:dyDescent="0.35">
      <c r="A406" s="1">
        <v>2030</v>
      </c>
      <c r="B406" s="1">
        <v>27.726608906669671</v>
      </c>
      <c r="C406" s="1">
        <v>32.278476521529562</v>
      </c>
      <c r="D406" s="1">
        <v>33.955269750734679</v>
      </c>
      <c r="E406" s="1" t="s">
        <v>150</v>
      </c>
      <c r="F406" s="1">
        <v>4</v>
      </c>
    </row>
    <row r="407" spans="1:6" x14ac:dyDescent="0.35">
      <c r="A407" s="1">
        <v>2031</v>
      </c>
      <c r="B407" s="1">
        <v>27.220059312976989</v>
      </c>
      <c r="C407" s="1">
        <v>32.987901748465568</v>
      </c>
      <c r="D407" s="1">
        <v>35.199483413886462</v>
      </c>
      <c r="E407" s="1" t="s">
        <v>150</v>
      </c>
      <c r="F407" s="1">
        <v>4</v>
      </c>
    </row>
    <row r="408" spans="1:6" x14ac:dyDescent="0.35">
      <c r="A408" s="1">
        <v>2032</v>
      </c>
      <c r="B408" s="1">
        <v>27.89097952626976</v>
      </c>
      <c r="C408" s="1">
        <v>32.341060126620683</v>
      </c>
      <c r="D408" s="1">
        <v>36.538820426179761</v>
      </c>
      <c r="E408" s="1" t="s">
        <v>150</v>
      </c>
      <c r="F408" s="1">
        <v>4</v>
      </c>
    </row>
    <row r="409" spans="1:6" x14ac:dyDescent="0.35">
      <c r="A409" s="1">
        <v>2033</v>
      </c>
      <c r="B409" s="1">
        <v>26.808686683490969</v>
      </c>
      <c r="C409" s="1">
        <v>32.735668653498777</v>
      </c>
      <c r="D409" s="1">
        <v>37.964373025470188</v>
      </c>
      <c r="E409" s="1" t="s">
        <v>150</v>
      </c>
      <c r="F409" s="1">
        <v>4</v>
      </c>
    </row>
    <row r="410" spans="1:6" x14ac:dyDescent="0.35">
      <c r="A410" s="1">
        <v>2034</v>
      </c>
      <c r="B410" s="1">
        <v>25.434670930626901</v>
      </c>
      <c r="C410" s="1">
        <v>33.816218639838297</v>
      </c>
      <c r="D410" s="1">
        <v>38.738214953153381</v>
      </c>
      <c r="E410" s="1" t="s">
        <v>150</v>
      </c>
      <c r="F410" s="1">
        <v>4</v>
      </c>
    </row>
    <row r="411" spans="1:6" x14ac:dyDescent="0.35">
      <c r="A411" s="1">
        <v>2035</v>
      </c>
      <c r="B411" s="1">
        <v>41.934682976582799</v>
      </c>
      <c r="C411" s="1">
        <v>55.753518966147567</v>
      </c>
      <c r="D411" s="1">
        <v>63.868518982217751</v>
      </c>
      <c r="E411" s="1" t="s">
        <v>150</v>
      </c>
      <c r="F411" s="1">
        <v>4</v>
      </c>
    </row>
    <row r="412" spans="1:6" x14ac:dyDescent="0.35">
      <c r="A412" s="1">
        <v>2036</v>
      </c>
      <c r="B412" s="1">
        <v>31.879270389720329</v>
      </c>
      <c r="C412" s="1">
        <v>41.475154401376471</v>
      </c>
      <c r="D412" s="1">
        <v>51.712040304098153</v>
      </c>
      <c r="E412" s="1" t="s">
        <v>150</v>
      </c>
      <c r="F412" s="1">
        <v>4</v>
      </c>
    </row>
    <row r="413" spans="1:6" x14ac:dyDescent="0.35">
      <c r="A413" s="1">
        <v>2037</v>
      </c>
      <c r="B413" s="1">
        <v>32.538939238961127</v>
      </c>
      <c r="C413" s="1">
        <v>38.779642612597073</v>
      </c>
      <c r="D413" s="1">
        <v>51.795133040685791</v>
      </c>
      <c r="E413" s="1" t="s">
        <v>150</v>
      </c>
      <c r="F413" s="1">
        <v>4</v>
      </c>
    </row>
    <row r="414" spans="1:6" x14ac:dyDescent="0.35">
      <c r="A414" s="1">
        <v>2038</v>
      </c>
      <c r="B414" s="1">
        <v>53.647641249294267</v>
      </c>
      <c r="C414" s="1">
        <v>63.936821645537883</v>
      </c>
      <c r="D414" s="1">
        <v>72.724722211999989</v>
      </c>
      <c r="E414" s="1" t="s">
        <v>150</v>
      </c>
      <c r="F414" s="1">
        <v>4</v>
      </c>
    </row>
    <row r="415" spans="1:6" x14ac:dyDescent="0.35">
      <c r="A415" s="1">
        <v>2039</v>
      </c>
      <c r="B415" s="1">
        <v>35.740952693676341</v>
      </c>
      <c r="C415" s="1">
        <v>49.633133500005172</v>
      </c>
      <c r="D415" s="1">
        <v>60.429054367360187</v>
      </c>
      <c r="E415" s="1" t="s">
        <v>150</v>
      </c>
      <c r="F415" s="1">
        <v>4</v>
      </c>
    </row>
    <row r="416" spans="1:6" x14ac:dyDescent="0.35">
      <c r="A416" s="1">
        <v>2040</v>
      </c>
      <c r="B416" s="1">
        <v>37.091039571403527</v>
      </c>
      <c r="C416" s="1">
        <v>49.280272522242477</v>
      </c>
      <c r="D416" s="1">
        <v>61.393971053894468</v>
      </c>
      <c r="E416" s="1" t="s">
        <v>150</v>
      </c>
      <c r="F416" s="1">
        <v>4</v>
      </c>
    </row>
    <row r="417" spans="1:6" x14ac:dyDescent="0.35">
      <c r="A417" s="1">
        <v>2041</v>
      </c>
      <c r="B417" s="1">
        <v>36.940704952978223</v>
      </c>
      <c r="C417" s="1">
        <v>48.469973023424508</v>
      </c>
      <c r="D417" s="1">
        <v>62.749785476847279</v>
      </c>
      <c r="E417" s="1" t="s">
        <v>150</v>
      </c>
      <c r="F417" s="1">
        <v>4</v>
      </c>
    </row>
    <row r="418" spans="1:6" x14ac:dyDescent="0.35">
      <c r="A418" s="1">
        <v>2042</v>
      </c>
      <c r="B418" s="1">
        <v>35.514622836310672</v>
      </c>
      <c r="C418" s="1">
        <v>48.755840191515318</v>
      </c>
      <c r="D418" s="1">
        <v>65.330857720024028</v>
      </c>
      <c r="E418" s="1" t="s">
        <v>150</v>
      </c>
      <c r="F418" s="1">
        <v>4</v>
      </c>
    </row>
    <row r="419" spans="1:6" x14ac:dyDescent="0.35">
      <c r="A419" s="1">
        <v>2043</v>
      </c>
      <c r="B419" s="1">
        <v>33.610434260543776</v>
      </c>
      <c r="C419" s="1">
        <v>47.569921217203849</v>
      </c>
      <c r="D419" s="1">
        <v>64.949210798810938</v>
      </c>
      <c r="E419" s="1" t="s">
        <v>150</v>
      </c>
      <c r="F419" s="1">
        <v>4</v>
      </c>
    </row>
    <row r="420" spans="1:6" x14ac:dyDescent="0.35">
      <c r="A420" s="1">
        <v>2044</v>
      </c>
      <c r="B420" s="1">
        <v>33.393950516524121</v>
      </c>
      <c r="C420" s="1">
        <v>47.563173453757102</v>
      </c>
      <c r="D420" s="1">
        <v>66.498840902970244</v>
      </c>
      <c r="E420" s="1" t="s">
        <v>150</v>
      </c>
      <c r="F420" s="1">
        <v>4</v>
      </c>
    </row>
    <row r="421" spans="1:6" x14ac:dyDescent="0.35">
      <c r="A421" s="1">
        <v>2045</v>
      </c>
      <c r="B421" s="1">
        <v>55.057316529300849</v>
      </c>
      <c r="C421" s="1">
        <v>72.724722211999989</v>
      </c>
      <c r="D421" s="1">
        <v>72.724722211999989</v>
      </c>
      <c r="E421" s="1" t="s">
        <v>150</v>
      </c>
      <c r="F421" s="1">
        <v>4</v>
      </c>
    </row>
    <row r="422" spans="1:6" x14ac:dyDescent="0.35">
      <c r="A422" s="1">
        <v>2046</v>
      </c>
      <c r="B422" s="1">
        <v>40.937681103710247</v>
      </c>
      <c r="C422" s="1">
        <v>53.41577428443437</v>
      </c>
      <c r="D422" s="1">
        <v>66.032675187569367</v>
      </c>
      <c r="E422" s="1" t="s">
        <v>150</v>
      </c>
      <c r="F422" s="1">
        <v>4</v>
      </c>
    </row>
    <row r="423" spans="1:6" x14ac:dyDescent="0.35">
      <c r="A423" s="1">
        <v>2047</v>
      </c>
      <c r="B423" s="1">
        <v>39.644609365963419</v>
      </c>
      <c r="C423" s="1">
        <v>54.647871812891687</v>
      </c>
      <c r="D423" s="1">
        <v>68.255260502058675</v>
      </c>
      <c r="E423" s="1" t="s">
        <v>150</v>
      </c>
      <c r="F423" s="1">
        <v>4</v>
      </c>
    </row>
    <row r="424" spans="1:6" x14ac:dyDescent="0.35">
      <c r="A424" s="1">
        <v>2048</v>
      </c>
      <c r="B424" s="1">
        <v>65.362910730261405</v>
      </c>
      <c r="C424" s="1">
        <v>72.724722211999989</v>
      </c>
      <c r="D424" s="1">
        <v>72.724722211999989</v>
      </c>
      <c r="E424" s="1" t="s">
        <v>150</v>
      </c>
      <c r="F424" s="1">
        <v>4</v>
      </c>
    </row>
    <row r="425" spans="1:6" x14ac:dyDescent="0.35">
      <c r="A425" s="1">
        <v>2049</v>
      </c>
      <c r="B425" s="1">
        <v>39.644609365963419</v>
      </c>
      <c r="C425" s="1">
        <v>52.025546074861033</v>
      </c>
      <c r="D425" s="1">
        <v>66.395217581964545</v>
      </c>
      <c r="E425" s="1" t="s">
        <v>150</v>
      </c>
      <c r="F425" s="1">
        <v>4</v>
      </c>
    </row>
    <row r="426" spans="1:6" x14ac:dyDescent="0.35">
      <c r="A426" s="1">
        <v>2050</v>
      </c>
      <c r="B426" s="1">
        <v>39.612926791116813</v>
      </c>
      <c r="C426" s="1">
        <v>51.437045755266212</v>
      </c>
      <c r="D426" s="1">
        <v>64.755865578193266</v>
      </c>
      <c r="E426" s="1" t="s">
        <v>150</v>
      </c>
      <c r="F426" s="1">
        <v>4</v>
      </c>
    </row>
    <row r="427" spans="1:6" x14ac:dyDescent="0.35">
      <c r="A427" s="1">
        <v>2026</v>
      </c>
      <c r="B427" s="1">
        <v>31.809162574098881</v>
      </c>
      <c r="C427" s="1">
        <v>32.075077934504343</v>
      </c>
      <c r="D427" s="1">
        <v>32.864419889470668</v>
      </c>
      <c r="E427" s="1" t="s">
        <v>151</v>
      </c>
      <c r="F427" s="1">
        <v>4</v>
      </c>
    </row>
    <row r="428" spans="1:6" x14ac:dyDescent="0.35">
      <c r="A428" s="1">
        <v>2027</v>
      </c>
      <c r="B428" s="1">
        <v>31.971405558403799</v>
      </c>
      <c r="C428" s="1">
        <v>32.505458065550471</v>
      </c>
      <c r="D428" s="1">
        <v>32.74670274428837</v>
      </c>
      <c r="E428" s="1" t="s">
        <v>151</v>
      </c>
      <c r="F428" s="1">
        <v>4</v>
      </c>
    </row>
    <row r="429" spans="1:6" x14ac:dyDescent="0.35">
      <c r="A429" s="1">
        <v>2028</v>
      </c>
      <c r="B429" s="1">
        <v>30.63546928542311</v>
      </c>
      <c r="C429" s="1">
        <v>32.041977928479923</v>
      </c>
      <c r="D429" s="1">
        <v>32.369173618064437</v>
      </c>
      <c r="E429" s="1" t="s">
        <v>151</v>
      </c>
      <c r="F429" s="1">
        <v>4</v>
      </c>
    </row>
    <row r="430" spans="1:6" x14ac:dyDescent="0.35">
      <c r="A430" s="1">
        <v>2029</v>
      </c>
      <c r="B430" s="1">
        <v>28.749663221022299</v>
      </c>
      <c r="C430" s="1">
        <v>30.43721052527124</v>
      </c>
      <c r="D430" s="1">
        <v>32.279691170296537</v>
      </c>
      <c r="E430" s="1" t="s">
        <v>151</v>
      </c>
      <c r="F430" s="1">
        <v>4</v>
      </c>
    </row>
    <row r="431" spans="1:6" x14ac:dyDescent="0.35">
      <c r="A431" s="1">
        <v>2030</v>
      </c>
      <c r="B431" s="1">
        <v>29.04126403742719</v>
      </c>
      <c r="C431" s="1">
        <v>31.11950351745287</v>
      </c>
      <c r="D431" s="1">
        <v>31.303753781053121</v>
      </c>
      <c r="E431" s="1" t="s">
        <v>151</v>
      </c>
      <c r="F431" s="1">
        <v>4</v>
      </c>
    </row>
    <row r="432" spans="1:6" x14ac:dyDescent="0.35">
      <c r="A432" s="1">
        <v>2031</v>
      </c>
      <c r="B432" s="1">
        <v>47.880949746524891</v>
      </c>
      <c r="C432" s="1">
        <v>51.307387382852014</v>
      </c>
      <c r="D432" s="1">
        <v>51.611164711581843</v>
      </c>
      <c r="E432" s="1" t="s">
        <v>151</v>
      </c>
      <c r="F432" s="1">
        <v>4</v>
      </c>
    </row>
    <row r="433" spans="1:6" x14ac:dyDescent="0.35">
      <c r="A433" s="1">
        <v>2032</v>
      </c>
      <c r="B433" s="1">
        <v>33.126741800707627</v>
      </c>
      <c r="C433" s="1">
        <v>39.955758431059593</v>
      </c>
      <c r="D433" s="1">
        <v>49.44909186312772</v>
      </c>
      <c r="E433" s="1" t="s">
        <v>151</v>
      </c>
      <c r="F433" s="1">
        <v>4</v>
      </c>
    </row>
    <row r="434" spans="1:6" x14ac:dyDescent="0.35">
      <c r="A434" s="1">
        <v>2033</v>
      </c>
      <c r="B434" s="1">
        <v>32.957758519542992</v>
      </c>
      <c r="C434" s="1">
        <v>39.847627026899268</v>
      </c>
      <c r="D434" s="1">
        <v>49.201127931260473</v>
      </c>
      <c r="E434" s="1" t="s">
        <v>151</v>
      </c>
      <c r="F434" s="1">
        <v>4</v>
      </c>
    </row>
    <row r="435" spans="1:6" x14ac:dyDescent="0.35">
      <c r="A435" s="1">
        <v>2034</v>
      </c>
      <c r="B435" s="1">
        <v>30.5335044807196</v>
      </c>
      <c r="C435" s="1">
        <v>41.064458759112107</v>
      </c>
      <c r="D435" s="1">
        <v>51.587841286999051</v>
      </c>
      <c r="E435" s="1" t="s">
        <v>151</v>
      </c>
      <c r="F435" s="1">
        <v>4</v>
      </c>
    </row>
    <row r="436" spans="1:6" x14ac:dyDescent="0.35">
      <c r="A436" s="1">
        <v>2035</v>
      </c>
      <c r="B436" s="1">
        <v>30.356560044932809</v>
      </c>
      <c r="C436" s="1">
        <v>40.413422763595513</v>
      </c>
      <c r="D436" s="1">
        <v>51.934864297892013</v>
      </c>
      <c r="E436" s="1" t="s">
        <v>151</v>
      </c>
      <c r="F436" s="1">
        <v>4</v>
      </c>
    </row>
    <row r="437" spans="1:6" x14ac:dyDescent="0.35">
      <c r="A437" s="1">
        <v>2036</v>
      </c>
      <c r="B437" s="1">
        <v>30.869395540197811</v>
      </c>
      <c r="C437" s="1">
        <v>39.037794724754377</v>
      </c>
      <c r="D437" s="1">
        <v>53.387617118442911</v>
      </c>
      <c r="E437" s="1" t="s">
        <v>151</v>
      </c>
      <c r="F437" s="1">
        <v>4</v>
      </c>
    </row>
    <row r="438" spans="1:6" x14ac:dyDescent="0.35">
      <c r="A438" s="1">
        <v>2037</v>
      </c>
      <c r="B438" s="1">
        <v>30.436412028068691</v>
      </c>
      <c r="C438" s="1">
        <v>38.158515600760488</v>
      </c>
      <c r="D438" s="1">
        <v>53.28017829208558</v>
      </c>
      <c r="E438" s="1" t="s">
        <v>151</v>
      </c>
      <c r="F438" s="1">
        <v>4</v>
      </c>
    </row>
    <row r="439" spans="1:6" x14ac:dyDescent="0.35">
      <c r="A439" s="1">
        <v>2038</v>
      </c>
      <c r="B439" s="1">
        <v>30.143796603586761</v>
      </c>
      <c r="C439" s="1">
        <v>38.285145530672118</v>
      </c>
      <c r="D439" s="1">
        <v>51.3857525370193</v>
      </c>
      <c r="E439" s="1" t="s">
        <v>151</v>
      </c>
      <c r="F439" s="1">
        <v>4</v>
      </c>
    </row>
    <row r="440" spans="1:6" x14ac:dyDescent="0.35">
      <c r="A440" s="1">
        <v>2039</v>
      </c>
      <c r="B440" s="1">
        <v>29.02781001690575</v>
      </c>
      <c r="C440" s="1">
        <v>37.942486612171862</v>
      </c>
      <c r="D440" s="1">
        <v>50.493579692921749</v>
      </c>
      <c r="E440" s="1" t="s">
        <v>151</v>
      </c>
      <c r="F440" s="1">
        <v>4</v>
      </c>
    </row>
    <row r="441" spans="1:6" x14ac:dyDescent="0.35">
      <c r="A441" s="1">
        <v>2040</v>
      </c>
      <c r="B441" s="1">
        <v>29.891817036351199</v>
      </c>
      <c r="C441" s="1">
        <v>35.787562994290077</v>
      </c>
      <c r="D441" s="1">
        <v>49.961661725765808</v>
      </c>
      <c r="E441" s="1" t="s">
        <v>151</v>
      </c>
      <c r="F441" s="1">
        <v>4</v>
      </c>
    </row>
    <row r="442" spans="1:6" x14ac:dyDescent="0.35">
      <c r="A442" s="1">
        <v>2041</v>
      </c>
      <c r="B442" s="1">
        <v>49.283274567708688</v>
      </c>
      <c r="C442" s="1">
        <v>59.003716335206832</v>
      </c>
      <c r="D442" s="1">
        <v>72.724722211999989</v>
      </c>
      <c r="E442" s="1" t="s">
        <v>151</v>
      </c>
      <c r="F442" s="1">
        <v>4</v>
      </c>
    </row>
    <row r="443" spans="1:6" x14ac:dyDescent="0.35">
      <c r="A443" s="1">
        <v>2042</v>
      </c>
      <c r="B443" s="1">
        <v>33.121219683015568</v>
      </c>
      <c r="C443" s="1">
        <v>47.149086648087987</v>
      </c>
      <c r="D443" s="1">
        <v>62.901193370089189</v>
      </c>
      <c r="E443" s="1" t="s">
        <v>151</v>
      </c>
      <c r="F443" s="1">
        <v>4</v>
      </c>
    </row>
    <row r="444" spans="1:6" x14ac:dyDescent="0.35">
      <c r="A444" s="1">
        <v>2043</v>
      </c>
      <c r="B444" s="1">
        <v>34.286820742644963</v>
      </c>
      <c r="C444" s="1">
        <v>45.941773370244348</v>
      </c>
      <c r="D444" s="1">
        <v>65.230274676911918</v>
      </c>
      <c r="E444" s="1" t="s">
        <v>151</v>
      </c>
      <c r="F444" s="1">
        <v>4</v>
      </c>
    </row>
    <row r="445" spans="1:6" x14ac:dyDescent="0.35">
      <c r="A445" s="1">
        <v>2044</v>
      </c>
      <c r="B445" s="1">
        <v>33.240134461371603</v>
      </c>
      <c r="C445" s="1">
        <v>42.59055259045531</v>
      </c>
      <c r="D445" s="1">
        <v>65.509782561011349</v>
      </c>
      <c r="E445" s="1" t="s">
        <v>151</v>
      </c>
      <c r="F445" s="1">
        <v>4</v>
      </c>
    </row>
    <row r="446" spans="1:6" x14ac:dyDescent="0.35">
      <c r="A446" s="1">
        <v>2045</v>
      </c>
      <c r="B446" s="1">
        <v>31.32666727168062</v>
      </c>
      <c r="C446" s="1">
        <v>43.570688042810858</v>
      </c>
      <c r="D446" s="1">
        <v>65.895019089668736</v>
      </c>
      <c r="E446" s="1" t="s">
        <v>151</v>
      </c>
      <c r="F446" s="1">
        <v>4</v>
      </c>
    </row>
    <row r="447" spans="1:6" x14ac:dyDescent="0.35">
      <c r="A447" s="1">
        <v>2046</v>
      </c>
      <c r="B447" s="1">
        <v>33.848057019670541</v>
      </c>
      <c r="C447" s="1">
        <v>43.556188134596127</v>
      </c>
      <c r="D447" s="1">
        <v>69.141698758407188</v>
      </c>
      <c r="E447" s="1" t="s">
        <v>151</v>
      </c>
      <c r="F447" s="1">
        <v>4</v>
      </c>
    </row>
    <row r="448" spans="1:6" x14ac:dyDescent="0.35">
      <c r="A448" s="1">
        <v>2047</v>
      </c>
      <c r="B448" s="1">
        <v>55.806011580201613</v>
      </c>
      <c r="C448" s="1">
        <v>71.81201384812519</v>
      </c>
      <c r="D448" s="1">
        <v>72.724722211999989</v>
      </c>
      <c r="E448" s="1" t="s">
        <v>151</v>
      </c>
      <c r="F448" s="1">
        <v>4</v>
      </c>
    </row>
    <row r="449" spans="1:6" x14ac:dyDescent="0.35">
      <c r="A449" s="1">
        <v>2048</v>
      </c>
      <c r="B449" s="1">
        <v>34.868669702733101</v>
      </c>
      <c r="C449" s="1">
        <v>49.614744259460309</v>
      </c>
      <c r="D449" s="1">
        <v>61.416470395782653</v>
      </c>
      <c r="E449" s="1" t="s">
        <v>151</v>
      </c>
      <c r="F449" s="1">
        <v>4</v>
      </c>
    </row>
    <row r="450" spans="1:6" x14ac:dyDescent="0.35">
      <c r="A450" s="1">
        <v>2049</v>
      </c>
      <c r="B450" s="1">
        <v>57.488717419913179</v>
      </c>
      <c r="C450" s="1">
        <v>72.724722211999989</v>
      </c>
      <c r="D450" s="1">
        <v>72.724722211999989</v>
      </c>
      <c r="E450" s="1" t="s">
        <v>151</v>
      </c>
      <c r="F450" s="1">
        <v>4</v>
      </c>
    </row>
    <row r="451" spans="1:6" x14ac:dyDescent="0.35">
      <c r="A451" s="1">
        <v>2050</v>
      </c>
      <c r="B451" s="1">
        <v>43.984164818076451</v>
      </c>
      <c r="C451" s="1">
        <v>53.179268167831658</v>
      </c>
      <c r="D451" s="1">
        <v>72.695839007405297</v>
      </c>
      <c r="E451" s="1" t="s">
        <v>151</v>
      </c>
      <c r="F451" s="1">
        <v>4</v>
      </c>
    </row>
    <row r="452" spans="1:6" x14ac:dyDescent="0.35">
      <c r="A452" s="1">
        <v>2026</v>
      </c>
      <c r="B452" s="1">
        <v>32.218352743694858</v>
      </c>
      <c r="C452" s="1">
        <v>32.414225660464801</v>
      </c>
      <c r="D452" s="1">
        <v>30.341094559685061</v>
      </c>
      <c r="E452" s="1" t="s">
        <v>152</v>
      </c>
      <c r="F452" s="1">
        <v>4</v>
      </c>
    </row>
    <row r="453" spans="1:6" x14ac:dyDescent="0.35">
      <c r="A453" s="1">
        <v>2027</v>
      </c>
      <c r="B453" s="1">
        <v>31.70493962948137</v>
      </c>
      <c r="C453" s="1">
        <v>32.155591541196387</v>
      </c>
      <c r="D453" s="1">
        <v>29.42865162216955</v>
      </c>
      <c r="E453" s="1" t="s">
        <v>152</v>
      </c>
      <c r="F453" s="1">
        <v>4</v>
      </c>
    </row>
    <row r="454" spans="1:6" x14ac:dyDescent="0.35">
      <c r="A454" s="1">
        <v>2028</v>
      </c>
      <c r="B454" s="1">
        <v>31.839030318123999</v>
      </c>
      <c r="C454" s="1">
        <v>32.125265157253139</v>
      </c>
      <c r="D454" s="1">
        <v>30.150595334125171</v>
      </c>
      <c r="E454" s="1" t="s">
        <v>152</v>
      </c>
      <c r="F454" s="1">
        <v>4</v>
      </c>
    </row>
    <row r="455" spans="1:6" x14ac:dyDescent="0.35">
      <c r="A455" s="1">
        <v>2029</v>
      </c>
      <c r="B455" s="1">
        <v>52.493686523957308</v>
      </c>
      <c r="C455" s="1">
        <v>52.965607991644951</v>
      </c>
      <c r="D455" s="1">
        <v>49.709927851644203</v>
      </c>
      <c r="E455" s="1" t="s">
        <v>152</v>
      </c>
      <c r="F455" s="1">
        <v>4</v>
      </c>
    </row>
    <row r="456" spans="1:6" x14ac:dyDescent="0.35">
      <c r="A456" s="1">
        <v>2030</v>
      </c>
      <c r="B456" s="1">
        <v>32.087929752813849</v>
      </c>
      <c r="C456" s="1">
        <v>39.869741198443307</v>
      </c>
      <c r="D456" s="1">
        <v>54.97694966376973</v>
      </c>
      <c r="E456" s="1" t="s">
        <v>152</v>
      </c>
      <c r="F456" s="1">
        <v>4</v>
      </c>
    </row>
    <row r="457" spans="1:6" x14ac:dyDescent="0.35">
      <c r="A457" s="1">
        <v>2031</v>
      </c>
      <c r="B457" s="1">
        <v>31.884372280160939</v>
      </c>
      <c r="C457" s="1">
        <v>39.499463138486753</v>
      </c>
      <c r="D457" s="1">
        <v>54.776826333381457</v>
      </c>
      <c r="E457" s="1" t="s">
        <v>152</v>
      </c>
      <c r="F457" s="1">
        <v>4</v>
      </c>
    </row>
    <row r="458" spans="1:6" x14ac:dyDescent="0.35">
      <c r="A458" s="1">
        <v>2032</v>
      </c>
      <c r="B458" s="1">
        <v>31.016158068008231</v>
      </c>
      <c r="C458" s="1">
        <v>40.080051327496797</v>
      </c>
      <c r="D458" s="1">
        <v>52.846694970575442</v>
      </c>
      <c r="E458" s="1" t="s">
        <v>152</v>
      </c>
      <c r="F458" s="1">
        <v>4</v>
      </c>
    </row>
    <row r="459" spans="1:6" x14ac:dyDescent="0.35">
      <c r="A459" s="1">
        <v>2033</v>
      </c>
      <c r="B459" s="1">
        <v>30.947730572754349</v>
      </c>
      <c r="C459" s="1">
        <v>41.001474176406127</v>
      </c>
      <c r="D459" s="1">
        <v>53.114979726341531</v>
      </c>
      <c r="E459" s="1" t="s">
        <v>152</v>
      </c>
      <c r="F459" s="1">
        <v>4</v>
      </c>
    </row>
    <row r="460" spans="1:6" x14ac:dyDescent="0.35">
      <c r="A460" s="1">
        <v>2034</v>
      </c>
      <c r="B460" s="1">
        <v>51.024181675196751</v>
      </c>
      <c r="C460" s="1">
        <v>67.600002604702809</v>
      </c>
      <c r="D460" s="1">
        <v>72.724722211999989</v>
      </c>
      <c r="E460" s="1" t="s">
        <v>152</v>
      </c>
      <c r="F460" s="1">
        <v>4</v>
      </c>
    </row>
    <row r="461" spans="1:6" x14ac:dyDescent="0.35">
      <c r="A461" s="1">
        <v>2035</v>
      </c>
      <c r="B461" s="1">
        <v>32.835180353727758</v>
      </c>
      <c r="C461" s="1">
        <v>46.459059181151467</v>
      </c>
      <c r="D461" s="1">
        <v>65.41165707002591</v>
      </c>
      <c r="E461" s="1" t="s">
        <v>152</v>
      </c>
      <c r="F461" s="1">
        <v>4</v>
      </c>
    </row>
    <row r="462" spans="1:6" x14ac:dyDescent="0.35">
      <c r="A462" s="1">
        <v>2036</v>
      </c>
      <c r="B462" s="1">
        <v>32.561085374339747</v>
      </c>
      <c r="C462" s="1">
        <v>46.340616674462517</v>
      </c>
      <c r="D462" s="1">
        <v>65.228728764019039</v>
      </c>
      <c r="E462" s="1" t="s">
        <v>152</v>
      </c>
      <c r="F462" s="1">
        <v>4</v>
      </c>
    </row>
    <row r="463" spans="1:6" x14ac:dyDescent="0.35">
      <c r="A463" s="1">
        <v>2037</v>
      </c>
      <c r="B463" s="1">
        <v>32.035839277180173</v>
      </c>
      <c r="C463" s="1">
        <v>46.95417099020711</v>
      </c>
      <c r="D463" s="1">
        <v>66.413343319335098</v>
      </c>
      <c r="E463" s="1" t="s">
        <v>152</v>
      </c>
      <c r="F463" s="1">
        <v>4</v>
      </c>
    </row>
    <row r="464" spans="1:6" x14ac:dyDescent="0.35">
      <c r="A464" s="1">
        <v>2038</v>
      </c>
      <c r="B464" s="1">
        <v>31.37157810249823</v>
      </c>
      <c r="C464" s="1">
        <v>46.27007143052672</v>
      </c>
      <c r="D464" s="1">
        <v>67.067838420317386</v>
      </c>
      <c r="E464" s="1" t="s">
        <v>152</v>
      </c>
      <c r="F464" s="1">
        <v>4</v>
      </c>
    </row>
    <row r="465" spans="1:6" x14ac:dyDescent="0.35">
      <c r="A465" s="1">
        <v>2039</v>
      </c>
      <c r="B465" s="1">
        <v>51.722988113019213</v>
      </c>
      <c r="C465" s="1">
        <v>72.724722211999989</v>
      </c>
      <c r="D465" s="1">
        <v>72.724722211999989</v>
      </c>
      <c r="E465" s="1" t="s">
        <v>152</v>
      </c>
      <c r="F465" s="1">
        <v>4</v>
      </c>
    </row>
    <row r="466" spans="1:6" x14ac:dyDescent="0.35">
      <c r="A466" s="1">
        <v>2040</v>
      </c>
      <c r="B466" s="1">
        <v>40.051001049801648</v>
      </c>
      <c r="C466" s="1">
        <v>49.997076977852338</v>
      </c>
      <c r="D466" s="1">
        <v>64.911358704484385</v>
      </c>
      <c r="E466" s="1" t="s">
        <v>152</v>
      </c>
      <c r="F466" s="1">
        <v>4</v>
      </c>
    </row>
    <row r="467" spans="1:6" x14ac:dyDescent="0.35">
      <c r="A467" s="1">
        <v>2041</v>
      </c>
      <c r="B467" s="1">
        <v>40.493147482663723</v>
      </c>
      <c r="C467" s="1">
        <v>52.654922818562568</v>
      </c>
      <c r="D467" s="1">
        <v>62.09859438844687</v>
      </c>
      <c r="E467" s="1" t="s">
        <v>152</v>
      </c>
      <c r="F467" s="1">
        <v>4</v>
      </c>
    </row>
    <row r="468" spans="1:6" x14ac:dyDescent="0.35">
      <c r="A468" s="1">
        <v>2042</v>
      </c>
      <c r="B468" s="1">
        <v>39.576130944911228</v>
      </c>
      <c r="C468" s="1">
        <v>53.83511772275574</v>
      </c>
      <c r="D468" s="1">
        <v>64.317473288122855</v>
      </c>
      <c r="E468" s="1" t="s">
        <v>152</v>
      </c>
      <c r="F468" s="1">
        <v>4</v>
      </c>
    </row>
    <row r="469" spans="1:6" x14ac:dyDescent="0.35">
      <c r="A469" s="1">
        <v>2043</v>
      </c>
      <c r="B469" s="1">
        <v>40.2811441917856</v>
      </c>
      <c r="C469" s="1">
        <v>54.268200550585313</v>
      </c>
      <c r="D469" s="1">
        <v>65.609688514947976</v>
      </c>
      <c r="E469" s="1" t="s">
        <v>152</v>
      </c>
      <c r="F469" s="1">
        <v>4</v>
      </c>
    </row>
    <row r="470" spans="1:6" x14ac:dyDescent="0.35">
      <c r="A470" s="1">
        <v>2044</v>
      </c>
      <c r="B470" s="1">
        <v>38.213618890933468</v>
      </c>
      <c r="C470" s="1">
        <v>53.570064592587812</v>
      </c>
      <c r="D470" s="1">
        <v>65.90611341740464</v>
      </c>
      <c r="E470" s="1" t="s">
        <v>152</v>
      </c>
      <c r="F470" s="1">
        <v>4</v>
      </c>
    </row>
    <row r="471" spans="1:6" x14ac:dyDescent="0.35">
      <c r="A471" s="1">
        <v>2045</v>
      </c>
      <c r="B471" s="1">
        <v>39.279708657687323</v>
      </c>
      <c r="C471" s="1">
        <v>54.539422632348639</v>
      </c>
      <c r="D471" s="1">
        <v>66.675151963201046</v>
      </c>
      <c r="E471" s="1" t="s">
        <v>152</v>
      </c>
      <c r="F471" s="1">
        <v>4</v>
      </c>
    </row>
    <row r="472" spans="1:6" x14ac:dyDescent="0.35">
      <c r="A472" s="1">
        <v>2046</v>
      </c>
      <c r="B472" s="1">
        <v>64.761291170833061</v>
      </c>
      <c r="C472" s="1">
        <v>72.724722211999989</v>
      </c>
      <c r="D472" s="1">
        <v>72.724722211999989</v>
      </c>
      <c r="E472" s="1" t="s">
        <v>152</v>
      </c>
      <c r="F472" s="1">
        <v>4</v>
      </c>
    </row>
    <row r="473" spans="1:6" x14ac:dyDescent="0.35">
      <c r="A473" s="1">
        <v>2047</v>
      </c>
      <c r="B473" s="1">
        <v>42.946887997202317</v>
      </c>
      <c r="C473" s="1">
        <v>51.77080935381494</v>
      </c>
      <c r="D473" s="1">
        <v>68.508653080404144</v>
      </c>
      <c r="E473" s="1" t="s">
        <v>152</v>
      </c>
      <c r="F473" s="1">
        <v>4</v>
      </c>
    </row>
    <row r="474" spans="1:6" x14ac:dyDescent="0.35">
      <c r="A474" s="1">
        <v>2048</v>
      </c>
      <c r="B474" s="1">
        <v>41.937531627511127</v>
      </c>
      <c r="C474" s="1">
        <v>53.03279598190948</v>
      </c>
      <c r="D474" s="1">
        <v>69.740853024598337</v>
      </c>
      <c r="E474" s="1" t="s">
        <v>152</v>
      </c>
      <c r="F474" s="1">
        <v>4</v>
      </c>
    </row>
    <row r="475" spans="1:6" x14ac:dyDescent="0.35">
      <c r="A475" s="1">
        <v>2049</v>
      </c>
      <c r="B475" s="1">
        <v>40.727713655431167</v>
      </c>
      <c r="C475" s="1">
        <v>54.024624944945067</v>
      </c>
      <c r="D475" s="1">
        <v>67.624567505745347</v>
      </c>
      <c r="E475" s="1" t="s">
        <v>152</v>
      </c>
      <c r="F475" s="1">
        <v>4</v>
      </c>
    </row>
    <row r="476" spans="1:6" x14ac:dyDescent="0.35">
      <c r="A476" s="1">
        <v>2050</v>
      </c>
      <c r="B476" s="1">
        <v>40.333104961042707</v>
      </c>
      <c r="C476" s="1">
        <v>55.890885173317507</v>
      </c>
      <c r="D476" s="1">
        <v>66.997550587785966</v>
      </c>
      <c r="E476" s="1" t="s">
        <v>152</v>
      </c>
      <c r="F476" s="1">
        <v>4</v>
      </c>
    </row>
    <row r="477" spans="1:6" x14ac:dyDescent="0.35">
      <c r="A477" s="1">
        <v>2026</v>
      </c>
      <c r="B477" s="1">
        <v>30.731294318016531</v>
      </c>
      <c r="C477" s="1">
        <v>31.10406246423544</v>
      </c>
      <c r="D477" s="1">
        <v>32.950657262614683</v>
      </c>
      <c r="E477" s="1" t="s">
        <v>153</v>
      </c>
      <c r="F477" s="1">
        <v>4</v>
      </c>
    </row>
    <row r="478" spans="1:6" x14ac:dyDescent="0.35">
      <c r="A478" s="1">
        <v>2027</v>
      </c>
      <c r="B478" s="1">
        <v>50.667338618259841</v>
      </c>
      <c r="C478" s="1">
        <v>51.281929389970408</v>
      </c>
      <c r="D478" s="1">
        <v>54.326449512422492</v>
      </c>
      <c r="E478" s="1" t="s">
        <v>153</v>
      </c>
      <c r="F478" s="1">
        <v>4</v>
      </c>
    </row>
    <row r="479" spans="1:6" x14ac:dyDescent="0.35">
      <c r="A479" s="1">
        <v>2028</v>
      </c>
      <c r="B479" s="1">
        <v>30.731294318016531</v>
      </c>
      <c r="C479" s="1">
        <v>39.439799177071251</v>
      </c>
      <c r="D479" s="1">
        <v>47.361432465908642</v>
      </c>
      <c r="E479" s="1" t="s">
        <v>153</v>
      </c>
      <c r="F479" s="1">
        <v>4</v>
      </c>
    </row>
    <row r="480" spans="1:6" x14ac:dyDescent="0.35">
      <c r="A480" s="1">
        <v>2029</v>
      </c>
      <c r="B480" s="1">
        <v>31.18611603436678</v>
      </c>
      <c r="C480" s="1">
        <v>38.176403220034253</v>
      </c>
      <c r="D480" s="1">
        <v>48.891895666025611</v>
      </c>
      <c r="E480" s="1" t="s">
        <v>153</v>
      </c>
      <c r="F480" s="1">
        <v>4</v>
      </c>
    </row>
    <row r="481" spans="1:6" x14ac:dyDescent="0.35">
      <c r="A481" s="1">
        <v>2030</v>
      </c>
      <c r="B481" s="1">
        <v>31.53464944392211</v>
      </c>
      <c r="C481" s="1">
        <v>37.639939470756893</v>
      </c>
      <c r="D481" s="1">
        <v>48.56919802407063</v>
      </c>
      <c r="E481" s="1" t="s">
        <v>153</v>
      </c>
      <c r="F481" s="1">
        <v>4</v>
      </c>
    </row>
    <row r="482" spans="1:6" x14ac:dyDescent="0.35">
      <c r="A482" s="1">
        <v>2031</v>
      </c>
      <c r="B482" s="1">
        <v>30.959534385946242</v>
      </c>
      <c r="C482" s="1">
        <v>37.958408177485182</v>
      </c>
      <c r="D482" s="1">
        <v>49.021302630891668</v>
      </c>
      <c r="E482" s="1" t="s">
        <v>153</v>
      </c>
      <c r="F482" s="1">
        <v>4</v>
      </c>
    </row>
    <row r="483" spans="1:6" x14ac:dyDescent="0.35">
      <c r="A483" s="1">
        <v>2032</v>
      </c>
      <c r="B483" s="1">
        <v>51.043642873081602</v>
      </c>
      <c r="C483" s="1">
        <v>62.582834964137497</v>
      </c>
      <c r="D483" s="1">
        <v>72.724722211999989</v>
      </c>
      <c r="E483" s="1" t="s">
        <v>153</v>
      </c>
      <c r="F483" s="1">
        <v>4</v>
      </c>
    </row>
    <row r="484" spans="1:6" x14ac:dyDescent="0.35">
      <c r="A484" s="1">
        <v>2033</v>
      </c>
      <c r="B484" s="1">
        <v>34.254446148482081</v>
      </c>
      <c r="C484" s="1">
        <v>49.116827058663702</v>
      </c>
      <c r="D484" s="1">
        <v>66.589437132253323</v>
      </c>
      <c r="E484" s="1" t="s">
        <v>153</v>
      </c>
      <c r="F484" s="1">
        <v>4</v>
      </c>
    </row>
    <row r="485" spans="1:6" x14ac:dyDescent="0.35">
      <c r="A485" s="1">
        <v>2034</v>
      </c>
      <c r="B485" s="1">
        <v>33.221355284699378</v>
      </c>
      <c r="C485" s="1">
        <v>49.304591143726029</v>
      </c>
      <c r="D485" s="1">
        <v>65.036538191141162</v>
      </c>
      <c r="E485" s="1" t="s">
        <v>153</v>
      </c>
      <c r="F485" s="1">
        <v>4</v>
      </c>
    </row>
    <row r="486" spans="1:6" x14ac:dyDescent="0.35">
      <c r="A486" s="1">
        <v>2035</v>
      </c>
      <c r="B486" s="1">
        <v>34.144115658948188</v>
      </c>
      <c r="C486" s="1">
        <v>48.778219090328207</v>
      </c>
      <c r="D486" s="1">
        <v>66.267330598761731</v>
      </c>
      <c r="E486" s="1" t="s">
        <v>153</v>
      </c>
      <c r="F486" s="1">
        <v>4</v>
      </c>
    </row>
    <row r="487" spans="1:6" x14ac:dyDescent="0.35">
      <c r="A487" s="1">
        <v>2036</v>
      </c>
      <c r="B487" s="1">
        <v>34.887634828761001</v>
      </c>
      <c r="C487" s="1">
        <v>49.476819372705329</v>
      </c>
      <c r="D487" s="1">
        <v>65.44752115552977</v>
      </c>
      <c r="E487" s="1" t="s">
        <v>153</v>
      </c>
      <c r="F487" s="1">
        <v>4</v>
      </c>
    </row>
    <row r="488" spans="1:6" x14ac:dyDescent="0.35">
      <c r="A488" s="1">
        <v>2037</v>
      </c>
      <c r="B488" s="1">
        <v>57.519985626596878</v>
      </c>
      <c r="C488" s="1">
        <v>72.724722211999989</v>
      </c>
      <c r="D488" s="1">
        <v>72.724722211999989</v>
      </c>
      <c r="E488" s="1" t="s">
        <v>153</v>
      </c>
      <c r="F488" s="1">
        <v>4</v>
      </c>
    </row>
    <row r="489" spans="1:6" x14ac:dyDescent="0.35">
      <c r="A489" s="1">
        <v>2038</v>
      </c>
      <c r="B489" s="1">
        <v>37.256454953018377</v>
      </c>
      <c r="C489" s="1">
        <v>46.802143874202137</v>
      </c>
      <c r="D489" s="1">
        <v>72.724722211999989</v>
      </c>
      <c r="E489" s="1" t="s">
        <v>153</v>
      </c>
      <c r="F489" s="1">
        <v>4</v>
      </c>
    </row>
    <row r="490" spans="1:6" x14ac:dyDescent="0.35">
      <c r="A490" s="1">
        <v>2039</v>
      </c>
      <c r="B490" s="1">
        <v>37.147997872756719</v>
      </c>
      <c r="C490" s="1">
        <v>46.872566911352337</v>
      </c>
      <c r="D490" s="1">
        <v>72.724722211999989</v>
      </c>
      <c r="E490" s="1" t="s">
        <v>153</v>
      </c>
      <c r="F490" s="1">
        <v>4</v>
      </c>
    </row>
    <row r="491" spans="1:6" x14ac:dyDescent="0.35">
      <c r="A491" s="1">
        <v>2040</v>
      </c>
      <c r="B491" s="1">
        <v>37.988623570385421</v>
      </c>
      <c r="C491" s="1">
        <v>48.232790703317363</v>
      </c>
      <c r="D491" s="1">
        <v>67.14962443383493</v>
      </c>
      <c r="E491" s="1" t="s">
        <v>153</v>
      </c>
      <c r="F491" s="1">
        <v>4</v>
      </c>
    </row>
    <row r="492" spans="1:6" x14ac:dyDescent="0.35">
      <c r="A492" s="1">
        <v>2041</v>
      </c>
      <c r="B492" s="1">
        <v>38.498554209795493</v>
      </c>
      <c r="C492" s="1">
        <v>47.356850586733593</v>
      </c>
      <c r="D492" s="1">
        <v>66.582109930240946</v>
      </c>
      <c r="E492" s="1" t="s">
        <v>153</v>
      </c>
      <c r="F492" s="1">
        <v>4</v>
      </c>
    </row>
    <row r="493" spans="1:6" x14ac:dyDescent="0.35">
      <c r="A493" s="1">
        <v>2042</v>
      </c>
      <c r="B493" s="1">
        <v>63.473385216891778</v>
      </c>
      <c r="C493" s="1">
        <v>72.724722211999989</v>
      </c>
      <c r="D493" s="1">
        <v>72.724722211999989</v>
      </c>
      <c r="E493" s="1" t="s">
        <v>153</v>
      </c>
      <c r="F493" s="1">
        <v>4</v>
      </c>
    </row>
    <row r="494" spans="1:6" x14ac:dyDescent="0.35">
      <c r="A494" s="1">
        <v>2043</v>
      </c>
      <c r="B494" s="1">
        <v>45.387370048151382</v>
      </c>
      <c r="C494" s="1">
        <v>49.336675661997489</v>
      </c>
      <c r="D494" s="1">
        <v>70.167275460515711</v>
      </c>
      <c r="E494" s="1" t="s">
        <v>153</v>
      </c>
      <c r="F494" s="1">
        <v>4</v>
      </c>
    </row>
    <row r="495" spans="1:6" x14ac:dyDescent="0.35">
      <c r="A495" s="1">
        <v>2044</v>
      </c>
      <c r="B495" s="1">
        <v>44.193734952884519</v>
      </c>
      <c r="C495" s="1">
        <v>51.602914541806413</v>
      </c>
      <c r="D495" s="1">
        <v>67.839965316931</v>
      </c>
      <c r="E495" s="1" t="s">
        <v>153</v>
      </c>
      <c r="F495" s="1">
        <v>4</v>
      </c>
    </row>
    <row r="496" spans="1:6" x14ac:dyDescent="0.35">
      <c r="A496" s="1">
        <v>2045</v>
      </c>
      <c r="B496" s="1">
        <v>43.560379191697812</v>
      </c>
      <c r="C496" s="1">
        <v>53.891237707630957</v>
      </c>
      <c r="D496" s="1">
        <v>67.629987238746182</v>
      </c>
      <c r="E496" s="1" t="s">
        <v>153</v>
      </c>
      <c r="F496" s="1">
        <v>4</v>
      </c>
    </row>
    <row r="497" spans="1:6" x14ac:dyDescent="0.35">
      <c r="A497" s="1">
        <v>2046</v>
      </c>
      <c r="B497" s="1">
        <v>43.152983444400881</v>
      </c>
      <c r="C497" s="1">
        <v>54.232084277473099</v>
      </c>
      <c r="D497" s="1">
        <v>70.727823977713044</v>
      </c>
      <c r="E497" s="1" t="s">
        <v>153</v>
      </c>
      <c r="F497" s="1">
        <v>4</v>
      </c>
    </row>
    <row r="498" spans="1:6" x14ac:dyDescent="0.35">
      <c r="A498" s="1">
        <v>2047</v>
      </c>
      <c r="B498" s="1">
        <v>44.0425895464654</v>
      </c>
      <c r="C498" s="1">
        <v>52.991332427471093</v>
      </c>
      <c r="D498" s="1">
        <v>68.871892164685505</v>
      </c>
      <c r="E498" s="1" t="s">
        <v>153</v>
      </c>
      <c r="F498" s="1">
        <v>4</v>
      </c>
    </row>
    <row r="499" spans="1:6" x14ac:dyDescent="0.35">
      <c r="A499" s="1">
        <v>2048</v>
      </c>
      <c r="B499" s="1">
        <v>44.767980064792347</v>
      </c>
      <c r="C499" s="1">
        <v>53.192310098320817</v>
      </c>
      <c r="D499" s="1">
        <v>66.412131420981382</v>
      </c>
      <c r="E499" s="1" t="s">
        <v>153</v>
      </c>
      <c r="F499" s="1">
        <v>4</v>
      </c>
    </row>
    <row r="500" spans="1:6" x14ac:dyDescent="0.35">
      <c r="A500" s="1">
        <v>2049</v>
      </c>
      <c r="B500" s="1">
        <v>45.302343696357489</v>
      </c>
      <c r="C500" s="1">
        <v>56.002743000260629</v>
      </c>
      <c r="D500" s="1">
        <v>69.869284980932079</v>
      </c>
      <c r="E500" s="1" t="s">
        <v>153</v>
      </c>
      <c r="F500" s="1">
        <v>4</v>
      </c>
    </row>
    <row r="501" spans="1:6" x14ac:dyDescent="0.35">
      <c r="A501" s="1">
        <v>2050</v>
      </c>
      <c r="B501" s="1">
        <v>43.067588445898643</v>
      </c>
      <c r="C501" s="1">
        <v>54.1283748248538</v>
      </c>
      <c r="D501" s="1">
        <v>72.027680762931354</v>
      </c>
      <c r="E501" s="1" t="s">
        <v>153</v>
      </c>
      <c r="F501" s="1">
        <v>4</v>
      </c>
    </row>
    <row r="502" spans="1:6" x14ac:dyDescent="0.35">
      <c r="A502" s="1">
        <v>2026</v>
      </c>
      <c r="B502" s="1">
        <v>52.131650615948899</v>
      </c>
      <c r="C502" s="1">
        <v>52.131650615948899</v>
      </c>
      <c r="D502" s="1">
        <v>52.131650615948899</v>
      </c>
      <c r="E502" s="1" t="s">
        <v>154</v>
      </c>
      <c r="F502" s="1">
        <v>5</v>
      </c>
    </row>
    <row r="503" spans="1:6" x14ac:dyDescent="0.35">
      <c r="A503" s="1">
        <v>2027</v>
      </c>
      <c r="B503" s="1">
        <v>31.619444439999999</v>
      </c>
      <c r="C503" s="1">
        <v>37.240150078231068</v>
      </c>
      <c r="D503" s="1">
        <v>57.605992146336291</v>
      </c>
      <c r="E503" s="1" t="s">
        <v>154</v>
      </c>
      <c r="F503" s="1">
        <v>5</v>
      </c>
    </row>
    <row r="504" spans="1:6" x14ac:dyDescent="0.35">
      <c r="A504" s="1">
        <v>2028</v>
      </c>
      <c r="B504" s="1">
        <v>52.131650615948899</v>
      </c>
      <c r="C504" s="1">
        <v>61.398627558044602</v>
      </c>
      <c r="D504" s="1">
        <v>72.724722211999989</v>
      </c>
      <c r="E504" s="1" t="s">
        <v>154</v>
      </c>
      <c r="F504" s="1">
        <v>5</v>
      </c>
    </row>
    <row r="505" spans="1:6" x14ac:dyDescent="0.35">
      <c r="A505" s="1">
        <v>2029</v>
      </c>
      <c r="B505" s="1">
        <v>34.319309935306002</v>
      </c>
      <c r="C505" s="1">
        <v>43.192876317892761</v>
      </c>
      <c r="D505" s="1">
        <v>66.251347031604794</v>
      </c>
      <c r="E505" s="1" t="s">
        <v>154</v>
      </c>
      <c r="F505" s="1">
        <v>5</v>
      </c>
    </row>
    <row r="506" spans="1:6" x14ac:dyDescent="0.35">
      <c r="A506" s="1">
        <v>2030</v>
      </c>
      <c r="B506" s="1">
        <v>34.396314606147158</v>
      </c>
      <c r="C506" s="1">
        <v>42.724545103795357</v>
      </c>
      <c r="D506" s="1">
        <v>68.459545405615941</v>
      </c>
      <c r="E506" s="1" t="s">
        <v>154</v>
      </c>
      <c r="F506" s="1">
        <v>5</v>
      </c>
    </row>
    <row r="507" spans="1:6" x14ac:dyDescent="0.35">
      <c r="A507" s="1">
        <v>2031</v>
      </c>
      <c r="B507" s="1">
        <v>34.341049330110742</v>
      </c>
      <c r="C507" s="1">
        <v>47.028518139641037</v>
      </c>
      <c r="D507" s="1">
        <v>65.9206827452402</v>
      </c>
      <c r="E507" s="1" t="s">
        <v>154</v>
      </c>
      <c r="F507" s="1">
        <v>5</v>
      </c>
    </row>
    <row r="508" spans="1:6" x14ac:dyDescent="0.35">
      <c r="A508" s="1">
        <v>2032</v>
      </c>
      <c r="B508" s="1">
        <v>35.930758580605932</v>
      </c>
      <c r="C508" s="1">
        <v>45.540736620233041</v>
      </c>
      <c r="D508" s="1">
        <v>64.213913775071035</v>
      </c>
      <c r="E508" s="1" t="s">
        <v>154</v>
      </c>
      <c r="F508" s="1">
        <v>5</v>
      </c>
    </row>
    <row r="509" spans="1:6" x14ac:dyDescent="0.35">
      <c r="A509" s="1">
        <v>2033</v>
      </c>
      <c r="B509" s="1">
        <v>35.678443736655638</v>
      </c>
      <c r="C509" s="1">
        <v>46.765687168355548</v>
      </c>
      <c r="D509" s="1">
        <v>65.088503793969068</v>
      </c>
      <c r="E509" s="1" t="s">
        <v>154</v>
      </c>
      <c r="F509" s="1">
        <v>5</v>
      </c>
    </row>
    <row r="510" spans="1:6" x14ac:dyDescent="0.35">
      <c r="A510" s="1">
        <v>2034</v>
      </c>
      <c r="B510" s="1">
        <v>58.823809094101911</v>
      </c>
      <c r="C510" s="1">
        <v>72.724722211999989</v>
      </c>
      <c r="D510" s="1">
        <v>72.724722211999989</v>
      </c>
      <c r="E510" s="1" t="s">
        <v>154</v>
      </c>
      <c r="F510" s="1">
        <v>5</v>
      </c>
    </row>
    <row r="511" spans="1:6" x14ac:dyDescent="0.35">
      <c r="A511" s="1">
        <v>2035</v>
      </c>
      <c r="B511" s="1">
        <v>40.795874657820413</v>
      </c>
      <c r="C511" s="1">
        <v>48.695991298939823</v>
      </c>
      <c r="D511" s="1">
        <v>71.919169478912849</v>
      </c>
      <c r="E511" s="1" t="s">
        <v>154</v>
      </c>
      <c r="F511" s="1">
        <v>5</v>
      </c>
    </row>
    <row r="512" spans="1:6" x14ac:dyDescent="0.35">
      <c r="A512" s="1">
        <v>2036</v>
      </c>
      <c r="B512" s="1">
        <v>40.615081416548293</v>
      </c>
      <c r="C512" s="1">
        <v>48.417444219187487</v>
      </c>
      <c r="D512" s="1">
        <v>72.724722211999989</v>
      </c>
      <c r="E512" s="1" t="s">
        <v>154</v>
      </c>
      <c r="F512" s="1">
        <v>5</v>
      </c>
    </row>
    <row r="513" spans="1:6" x14ac:dyDescent="0.35">
      <c r="A513" s="1">
        <v>2037</v>
      </c>
      <c r="B513" s="1">
        <v>40.224338172511409</v>
      </c>
      <c r="C513" s="1">
        <v>50.91810304216871</v>
      </c>
      <c r="D513" s="1">
        <v>71.8098892624364</v>
      </c>
      <c r="E513" s="1" t="s">
        <v>154</v>
      </c>
      <c r="F513" s="1">
        <v>5</v>
      </c>
    </row>
    <row r="514" spans="1:6" x14ac:dyDescent="0.35">
      <c r="A514" s="1">
        <v>2038</v>
      </c>
      <c r="B514" s="1">
        <v>40.683672016193071</v>
      </c>
      <c r="C514" s="1">
        <v>50.155435468135607</v>
      </c>
      <c r="D514" s="1">
        <v>71.977627042884862</v>
      </c>
      <c r="E514" s="1" t="s">
        <v>154</v>
      </c>
      <c r="F514" s="1">
        <v>5</v>
      </c>
    </row>
    <row r="515" spans="1:6" x14ac:dyDescent="0.35">
      <c r="A515" s="1">
        <v>2039</v>
      </c>
      <c r="B515" s="1">
        <v>42.153030585723492</v>
      </c>
      <c r="C515" s="1">
        <v>52.467761171290952</v>
      </c>
      <c r="D515" s="1">
        <v>72.724722211999989</v>
      </c>
      <c r="E515" s="1" t="s">
        <v>154</v>
      </c>
      <c r="F515" s="1">
        <v>5</v>
      </c>
    </row>
    <row r="516" spans="1:6" x14ac:dyDescent="0.35">
      <c r="A516" s="1">
        <v>2040</v>
      </c>
      <c r="B516" s="1">
        <v>41.464249080376497</v>
      </c>
      <c r="C516" s="1">
        <v>50.430862592769991</v>
      </c>
      <c r="D516" s="1">
        <v>70.749370678963658</v>
      </c>
      <c r="E516" s="1" t="s">
        <v>154</v>
      </c>
      <c r="F516" s="1">
        <v>5</v>
      </c>
    </row>
    <row r="517" spans="1:6" x14ac:dyDescent="0.35">
      <c r="A517" s="1">
        <v>2041</v>
      </c>
      <c r="B517" s="1">
        <v>68.362989432424953</v>
      </c>
      <c r="C517" s="1">
        <v>72.724722211999989</v>
      </c>
      <c r="D517" s="1">
        <v>72.724722211999989</v>
      </c>
      <c r="E517" s="1" t="s">
        <v>154</v>
      </c>
      <c r="F517" s="1">
        <v>5</v>
      </c>
    </row>
    <row r="518" spans="1:6" x14ac:dyDescent="0.35">
      <c r="A518" s="1">
        <v>2042</v>
      </c>
      <c r="B518" s="1">
        <v>43.448729056488723</v>
      </c>
      <c r="C518" s="1">
        <v>44.109773740662362</v>
      </c>
      <c r="D518" s="1">
        <v>72.724722211999989</v>
      </c>
      <c r="E518" s="1" t="s">
        <v>154</v>
      </c>
      <c r="F518" s="1">
        <v>5</v>
      </c>
    </row>
    <row r="519" spans="1:6" x14ac:dyDescent="0.35">
      <c r="A519" s="1">
        <v>2043</v>
      </c>
      <c r="B519" s="1">
        <v>71.63484378031967</v>
      </c>
      <c r="C519" s="1">
        <v>72.724722211999989</v>
      </c>
      <c r="D519" s="1">
        <v>72.724722211999989</v>
      </c>
      <c r="E519" s="1" t="s">
        <v>154</v>
      </c>
      <c r="F519" s="1">
        <v>5</v>
      </c>
    </row>
    <row r="520" spans="1:6" x14ac:dyDescent="0.35">
      <c r="A520" s="1">
        <v>2044</v>
      </c>
      <c r="B520" s="1">
        <v>46.496322071338597</v>
      </c>
      <c r="C520" s="1">
        <v>52.516110164323742</v>
      </c>
      <c r="D520" s="1">
        <v>68.266444307008115</v>
      </c>
      <c r="E520" s="1" t="s">
        <v>154</v>
      </c>
      <c r="F520" s="1">
        <v>5</v>
      </c>
    </row>
    <row r="521" spans="1:6" x14ac:dyDescent="0.35">
      <c r="A521" s="1">
        <v>2045</v>
      </c>
      <c r="B521" s="1">
        <v>45.685259525367982</v>
      </c>
      <c r="C521" s="1">
        <v>52.042265105268633</v>
      </c>
      <c r="D521" s="1">
        <v>67.224470659113749</v>
      </c>
      <c r="E521" s="1" t="s">
        <v>154</v>
      </c>
      <c r="F521" s="1">
        <v>5</v>
      </c>
    </row>
    <row r="522" spans="1:6" x14ac:dyDescent="0.35">
      <c r="A522" s="1">
        <v>2046</v>
      </c>
      <c r="B522" s="1">
        <v>43.269789127982158</v>
      </c>
      <c r="C522" s="1">
        <v>51.780114389166727</v>
      </c>
      <c r="D522" s="1">
        <v>69.387945102774268</v>
      </c>
      <c r="E522" s="1" t="s">
        <v>154</v>
      </c>
      <c r="F522" s="1">
        <v>5</v>
      </c>
    </row>
    <row r="523" spans="1:6" x14ac:dyDescent="0.35">
      <c r="A523" s="1">
        <v>2047</v>
      </c>
      <c r="B523" s="1">
        <v>43.926712486663902</v>
      </c>
      <c r="C523" s="1">
        <v>50.384057122296348</v>
      </c>
      <c r="D523" s="1">
        <v>66.185189861326776</v>
      </c>
      <c r="E523" s="1" t="s">
        <v>154</v>
      </c>
      <c r="F523" s="1">
        <v>5</v>
      </c>
    </row>
    <row r="524" spans="1:6" x14ac:dyDescent="0.35">
      <c r="A524" s="1">
        <v>2048</v>
      </c>
      <c r="B524" s="1">
        <v>42.940392684837647</v>
      </c>
      <c r="C524" s="1">
        <v>51.748633876315303</v>
      </c>
      <c r="D524" s="1">
        <v>65.004702633424657</v>
      </c>
      <c r="E524" s="1" t="s">
        <v>154</v>
      </c>
      <c r="F524" s="1">
        <v>5</v>
      </c>
    </row>
    <row r="525" spans="1:6" x14ac:dyDescent="0.35">
      <c r="A525" s="1">
        <v>2049</v>
      </c>
      <c r="B525" s="1">
        <v>44.042836440074879</v>
      </c>
      <c r="C525" s="1">
        <v>50.870590289606639</v>
      </c>
      <c r="D525" s="1">
        <v>67.537073022330461</v>
      </c>
      <c r="E525" s="1" t="s">
        <v>154</v>
      </c>
      <c r="F525" s="1">
        <v>5</v>
      </c>
    </row>
    <row r="526" spans="1:6" x14ac:dyDescent="0.35">
      <c r="A526" s="1">
        <v>2050</v>
      </c>
      <c r="B526" s="1">
        <v>43.889911919732057</v>
      </c>
      <c r="C526" s="1">
        <v>53.053353493907018</v>
      </c>
      <c r="D526" s="1">
        <v>67.326569839917866</v>
      </c>
      <c r="E526" s="1" t="s">
        <v>154</v>
      </c>
      <c r="F526" s="1">
        <v>5</v>
      </c>
    </row>
    <row r="527" spans="1:6" x14ac:dyDescent="0.35">
      <c r="A527" s="1">
        <v>2026</v>
      </c>
      <c r="B527" s="1">
        <v>30.308976121601571</v>
      </c>
      <c r="C527" s="1">
        <v>30.442101930789239</v>
      </c>
      <c r="D527" s="1">
        <v>32.125203560382538</v>
      </c>
      <c r="E527" s="1" t="s">
        <v>155</v>
      </c>
      <c r="F527" s="1">
        <v>5</v>
      </c>
    </row>
    <row r="528" spans="1:6" x14ac:dyDescent="0.35">
      <c r="A528" s="1">
        <v>2027</v>
      </c>
      <c r="B528" s="1">
        <v>30.05515680424595</v>
      </c>
      <c r="C528" s="1">
        <v>31.543104577433841</v>
      </c>
      <c r="D528" s="1">
        <v>34.608094643075447</v>
      </c>
      <c r="E528" s="1" t="s">
        <v>155</v>
      </c>
      <c r="F528" s="1">
        <v>5</v>
      </c>
    </row>
    <row r="529" spans="1:6" x14ac:dyDescent="0.35">
      <c r="A529" s="1">
        <v>2028</v>
      </c>
      <c r="B529" s="1">
        <v>30.023662602933211</v>
      </c>
      <c r="C529" s="1">
        <v>31.880878650662321</v>
      </c>
      <c r="D529" s="1">
        <v>33.817759480543486</v>
      </c>
      <c r="E529" s="1" t="s">
        <v>155</v>
      </c>
      <c r="F529" s="1">
        <v>5</v>
      </c>
    </row>
    <row r="530" spans="1:6" x14ac:dyDescent="0.35">
      <c r="A530" s="1">
        <v>2029</v>
      </c>
      <c r="B530" s="1">
        <v>49.500651157779963</v>
      </c>
      <c r="C530" s="1">
        <v>52.56268275995658</v>
      </c>
      <c r="D530" s="1">
        <v>55.756059382992973</v>
      </c>
      <c r="E530" s="1" t="s">
        <v>155</v>
      </c>
      <c r="F530" s="1">
        <v>5</v>
      </c>
    </row>
    <row r="531" spans="1:6" x14ac:dyDescent="0.35">
      <c r="A531" s="1">
        <v>2030</v>
      </c>
      <c r="B531" s="1">
        <v>30.023662602933211</v>
      </c>
      <c r="C531" s="1">
        <v>34.993094649868141</v>
      </c>
      <c r="D531" s="1">
        <v>45.519230675488359</v>
      </c>
      <c r="E531" s="1" t="s">
        <v>155</v>
      </c>
      <c r="F531" s="1">
        <v>5</v>
      </c>
    </row>
    <row r="532" spans="1:6" x14ac:dyDescent="0.35">
      <c r="A532" s="1">
        <v>2031</v>
      </c>
      <c r="B532" s="1">
        <v>49.500651157779963</v>
      </c>
      <c r="C532" s="1">
        <v>57.69385947686046</v>
      </c>
      <c r="D532" s="1">
        <v>72.724722211999989</v>
      </c>
      <c r="E532" s="1" t="s">
        <v>155</v>
      </c>
      <c r="F532" s="1">
        <v>5</v>
      </c>
    </row>
    <row r="533" spans="1:6" x14ac:dyDescent="0.35">
      <c r="A533" s="1">
        <v>2032</v>
      </c>
      <c r="B533" s="1">
        <v>35.663427283673251</v>
      </c>
      <c r="C533" s="1">
        <v>48.316184467551913</v>
      </c>
      <c r="D533" s="1">
        <v>55.273926301115623</v>
      </c>
      <c r="E533" s="1" t="s">
        <v>155</v>
      </c>
      <c r="F533" s="1">
        <v>5</v>
      </c>
    </row>
    <row r="534" spans="1:6" x14ac:dyDescent="0.35">
      <c r="A534" s="1">
        <v>2033</v>
      </c>
      <c r="B534" s="1">
        <v>35.060016281334953</v>
      </c>
      <c r="C534" s="1">
        <v>48.351147692244737</v>
      </c>
      <c r="D534" s="1">
        <v>58.23935053794235</v>
      </c>
      <c r="E534" s="1" t="s">
        <v>155</v>
      </c>
      <c r="F534" s="1">
        <v>5</v>
      </c>
    </row>
    <row r="535" spans="1:6" x14ac:dyDescent="0.35">
      <c r="A535" s="1">
        <v>2034</v>
      </c>
      <c r="B535" s="1">
        <v>34.427406066540641</v>
      </c>
      <c r="C535" s="1">
        <v>47.024095034936678</v>
      </c>
      <c r="D535" s="1">
        <v>60.8474188786696</v>
      </c>
      <c r="E535" s="1" t="s">
        <v>155</v>
      </c>
      <c r="F535" s="1">
        <v>5</v>
      </c>
    </row>
    <row r="536" spans="1:6" x14ac:dyDescent="0.35">
      <c r="A536" s="1">
        <v>2035</v>
      </c>
      <c r="B536" s="1">
        <v>33.798908313503283</v>
      </c>
      <c r="C536" s="1">
        <v>46.580945785590927</v>
      </c>
      <c r="D536" s="1">
        <v>59.816768281740892</v>
      </c>
      <c r="E536" s="1" t="s">
        <v>155</v>
      </c>
      <c r="F536" s="1">
        <v>5</v>
      </c>
    </row>
    <row r="537" spans="1:6" x14ac:dyDescent="0.35">
      <c r="A537" s="1">
        <v>2036</v>
      </c>
      <c r="B537" s="1">
        <v>55.724979062916262</v>
      </c>
      <c r="C537" s="1">
        <v>72.724722211999989</v>
      </c>
      <c r="D537" s="1">
        <v>72.724722211999989</v>
      </c>
      <c r="E537" s="1" t="s">
        <v>155</v>
      </c>
      <c r="F537" s="1">
        <v>5</v>
      </c>
    </row>
    <row r="538" spans="1:6" x14ac:dyDescent="0.35">
      <c r="A538" s="1">
        <v>2037</v>
      </c>
      <c r="B538" s="1">
        <v>40.923810372495922</v>
      </c>
      <c r="C538" s="1">
        <v>49.531705402868418</v>
      </c>
      <c r="D538" s="1">
        <v>72.724722211999989</v>
      </c>
      <c r="E538" s="1" t="s">
        <v>155</v>
      </c>
      <c r="F538" s="1">
        <v>5</v>
      </c>
    </row>
    <row r="539" spans="1:6" x14ac:dyDescent="0.35">
      <c r="A539" s="1">
        <v>2038</v>
      </c>
      <c r="B539" s="1">
        <v>40.880778309393861</v>
      </c>
      <c r="C539" s="1">
        <v>49.673260711269499</v>
      </c>
      <c r="D539" s="1">
        <v>72.126038530896736</v>
      </c>
      <c r="E539" s="1" t="s">
        <v>155</v>
      </c>
      <c r="F539" s="1">
        <v>5</v>
      </c>
    </row>
    <row r="540" spans="1:6" x14ac:dyDescent="0.35">
      <c r="A540" s="1">
        <v>2039</v>
      </c>
      <c r="B540" s="1">
        <v>40.30750699452409</v>
      </c>
      <c r="C540" s="1">
        <v>49.126060524976033</v>
      </c>
      <c r="D540" s="1">
        <v>72.724722211999989</v>
      </c>
      <c r="E540" s="1" t="s">
        <v>155</v>
      </c>
      <c r="F540" s="1">
        <v>5</v>
      </c>
    </row>
    <row r="541" spans="1:6" x14ac:dyDescent="0.35">
      <c r="A541" s="1">
        <v>2040</v>
      </c>
      <c r="B541" s="1">
        <v>42.449275025370838</v>
      </c>
      <c r="C541" s="1">
        <v>48.06734769615128</v>
      </c>
      <c r="D541" s="1">
        <v>71.409832711077186</v>
      </c>
      <c r="E541" s="1" t="s">
        <v>155</v>
      </c>
      <c r="F541" s="1">
        <v>5</v>
      </c>
    </row>
    <row r="542" spans="1:6" x14ac:dyDescent="0.35">
      <c r="A542" s="1">
        <v>2041</v>
      </c>
      <c r="B542" s="1">
        <v>44.489016556181781</v>
      </c>
      <c r="C542" s="1">
        <v>47.350665525531909</v>
      </c>
      <c r="D542" s="1">
        <v>68.819096270785607</v>
      </c>
      <c r="E542" s="1" t="s">
        <v>155</v>
      </c>
      <c r="F542" s="1">
        <v>5</v>
      </c>
    </row>
    <row r="543" spans="1:6" x14ac:dyDescent="0.35">
      <c r="A543" s="1">
        <v>2042</v>
      </c>
      <c r="B543" s="1">
        <v>44.073424487832668</v>
      </c>
      <c r="C543" s="1">
        <v>48.118723629685498</v>
      </c>
      <c r="D543" s="1">
        <v>66.283573619624804</v>
      </c>
      <c r="E543" s="1" t="s">
        <v>155</v>
      </c>
      <c r="F543" s="1">
        <v>5</v>
      </c>
    </row>
    <row r="544" spans="1:6" x14ac:dyDescent="0.35">
      <c r="A544" s="1">
        <v>2043</v>
      </c>
      <c r="B544" s="1">
        <v>42.213028622804103</v>
      </c>
      <c r="C544" s="1">
        <v>47.787074631872017</v>
      </c>
      <c r="D544" s="1">
        <v>65.951384028242288</v>
      </c>
      <c r="E544" s="1" t="s">
        <v>155</v>
      </c>
      <c r="F544" s="1">
        <v>5</v>
      </c>
    </row>
    <row r="545" spans="1:6" x14ac:dyDescent="0.35">
      <c r="A545" s="1">
        <v>2044</v>
      </c>
      <c r="B545" s="1">
        <v>42.205087184059451</v>
      </c>
      <c r="C545" s="1">
        <v>50.390237147328143</v>
      </c>
      <c r="D545" s="1">
        <v>65.7518477755319</v>
      </c>
      <c r="E545" s="1" t="s">
        <v>155</v>
      </c>
      <c r="F545" s="1">
        <v>5</v>
      </c>
    </row>
    <row r="546" spans="1:6" x14ac:dyDescent="0.35">
      <c r="A546" s="1">
        <v>2045</v>
      </c>
      <c r="B546" s="1">
        <v>41.670869856399392</v>
      </c>
      <c r="C546" s="1">
        <v>52.811064770667883</v>
      </c>
      <c r="D546" s="1">
        <v>66.082538480758728</v>
      </c>
      <c r="E546" s="1" t="s">
        <v>155</v>
      </c>
      <c r="F546" s="1">
        <v>5</v>
      </c>
    </row>
    <row r="547" spans="1:6" x14ac:dyDescent="0.35">
      <c r="A547" s="1">
        <v>2046</v>
      </c>
      <c r="B547" s="1">
        <v>68.703649500822479</v>
      </c>
      <c r="C547" s="1">
        <v>72.724722211999989</v>
      </c>
      <c r="D547" s="1">
        <v>72.724722211999989</v>
      </c>
      <c r="E547" s="1" t="s">
        <v>155</v>
      </c>
      <c r="F547" s="1">
        <v>5</v>
      </c>
    </row>
    <row r="548" spans="1:6" x14ac:dyDescent="0.35">
      <c r="A548" s="1">
        <v>2047</v>
      </c>
      <c r="B548" s="1">
        <v>44.308553342662847</v>
      </c>
      <c r="C548" s="1">
        <v>54.754713221940939</v>
      </c>
      <c r="D548" s="1">
        <v>58.024912982607248</v>
      </c>
      <c r="E548" s="1" t="s">
        <v>155</v>
      </c>
      <c r="F548" s="1">
        <v>5</v>
      </c>
    </row>
    <row r="549" spans="1:6" x14ac:dyDescent="0.35">
      <c r="A549" s="1">
        <v>2048</v>
      </c>
      <c r="B549" s="1">
        <v>72.724722211999989</v>
      </c>
      <c r="C549" s="1">
        <v>72.724722211999989</v>
      </c>
      <c r="D549" s="1">
        <v>72.724722211999989</v>
      </c>
      <c r="E549" s="1" t="s">
        <v>155</v>
      </c>
      <c r="F549" s="1">
        <v>5</v>
      </c>
    </row>
    <row r="550" spans="1:6" x14ac:dyDescent="0.35">
      <c r="A550" s="1">
        <v>2049</v>
      </c>
      <c r="B550" s="1">
        <v>44.109773740662362</v>
      </c>
      <c r="C550" s="1">
        <v>49.22121599303177</v>
      </c>
      <c r="D550" s="1">
        <v>69.851411888412969</v>
      </c>
      <c r="E550" s="1" t="s">
        <v>155</v>
      </c>
      <c r="F550" s="1">
        <v>5</v>
      </c>
    </row>
    <row r="551" spans="1:6" x14ac:dyDescent="0.35">
      <c r="A551" s="1">
        <v>2050</v>
      </c>
      <c r="B551" s="1">
        <v>43.973078678235581</v>
      </c>
      <c r="C551" s="1">
        <v>49.391239404614552</v>
      </c>
      <c r="D551" s="1">
        <v>66.614634004552045</v>
      </c>
      <c r="E551" s="1" t="s">
        <v>155</v>
      </c>
      <c r="F551" s="1">
        <v>5</v>
      </c>
    </row>
    <row r="552" spans="1:6" x14ac:dyDescent="0.35">
      <c r="A552" s="1">
        <v>2026</v>
      </c>
      <c r="B552" s="1">
        <v>30.48994971306799</v>
      </c>
      <c r="C552" s="1">
        <v>29.899423100807681</v>
      </c>
      <c r="D552" s="1">
        <v>32.002826047843413</v>
      </c>
      <c r="E552" s="1" t="s">
        <v>156</v>
      </c>
      <c r="F552" s="1">
        <v>5</v>
      </c>
    </row>
    <row r="553" spans="1:6" x14ac:dyDescent="0.35">
      <c r="A553" s="1">
        <v>2027</v>
      </c>
      <c r="B553" s="1">
        <v>30.21961652425459</v>
      </c>
      <c r="C553" s="1">
        <v>30.276592789262899</v>
      </c>
      <c r="D553" s="1">
        <v>31.35999633163674</v>
      </c>
      <c r="E553" s="1" t="s">
        <v>156</v>
      </c>
      <c r="F553" s="1">
        <v>5</v>
      </c>
    </row>
    <row r="554" spans="1:6" x14ac:dyDescent="0.35">
      <c r="A554" s="1">
        <v>2028</v>
      </c>
      <c r="B554" s="1">
        <v>29.544518010294411</v>
      </c>
      <c r="C554" s="1">
        <v>31.55425463558813</v>
      </c>
      <c r="D554" s="1">
        <v>31.77706912322979</v>
      </c>
      <c r="E554" s="1" t="s">
        <v>156</v>
      </c>
      <c r="F554" s="1">
        <v>5</v>
      </c>
    </row>
    <row r="555" spans="1:6" x14ac:dyDescent="0.35">
      <c r="A555" s="1">
        <v>2029</v>
      </c>
      <c r="B555" s="1">
        <v>30.612295634375961</v>
      </c>
      <c r="C555" s="1">
        <v>31.26237285719138</v>
      </c>
      <c r="D555" s="1">
        <v>29.97448599348132</v>
      </c>
      <c r="E555" s="1" t="s">
        <v>156</v>
      </c>
      <c r="F555" s="1">
        <v>5</v>
      </c>
    </row>
    <row r="556" spans="1:6" x14ac:dyDescent="0.35">
      <c r="A556" s="1">
        <v>2030</v>
      </c>
      <c r="B556" s="1">
        <v>50.471142957356328</v>
      </c>
      <c r="C556" s="1">
        <v>51.542939102209772</v>
      </c>
      <c r="D556" s="1">
        <v>49.419572635755721</v>
      </c>
      <c r="E556" s="1" t="s">
        <v>156</v>
      </c>
      <c r="F556" s="1">
        <v>5</v>
      </c>
    </row>
    <row r="557" spans="1:6" x14ac:dyDescent="0.35">
      <c r="A557" s="1">
        <v>2031</v>
      </c>
      <c r="B557" s="1">
        <v>30.612295634375961</v>
      </c>
      <c r="C557" s="1">
        <v>36.86570539671861</v>
      </c>
      <c r="D557" s="1">
        <v>52.003608057599287</v>
      </c>
      <c r="E557" s="1" t="s">
        <v>156</v>
      </c>
      <c r="F557" s="1">
        <v>5</v>
      </c>
    </row>
    <row r="558" spans="1:6" x14ac:dyDescent="0.35">
      <c r="A558" s="1">
        <v>2032</v>
      </c>
      <c r="B558" s="1">
        <v>32.484678086222559</v>
      </c>
      <c r="C558" s="1">
        <v>36.88921455762906</v>
      </c>
      <c r="D558" s="1">
        <v>52.258847367325387</v>
      </c>
      <c r="E558" s="1" t="s">
        <v>156</v>
      </c>
      <c r="F558" s="1">
        <v>5</v>
      </c>
    </row>
    <row r="559" spans="1:6" x14ac:dyDescent="0.35">
      <c r="A559" s="1">
        <v>2033</v>
      </c>
      <c r="B559" s="1">
        <v>31.739941137495379</v>
      </c>
      <c r="C559" s="1">
        <v>37.21306269005283</v>
      </c>
      <c r="D559" s="1">
        <v>49.93885550131801</v>
      </c>
      <c r="E559" s="1" t="s">
        <v>156</v>
      </c>
      <c r="F559" s="1">
        <v>5</v>
      </c>
    </row>
    <row r="560" spans="1:6" x14ac:dyDescent="0.35">
      <c r="A560" s="1">
        <v>2034</v>
      </c>
      <c r="B560" s="1">
        <v>32.731920440698353</v>
      </c>
      <c r="C560" s="1">
        <v>37.550172221788458</v>
      </c>
      <c r="D560" s="1">
        <v>51.887539816267569</v>
      </c>
      <c r="E560" s="1" t="s">
        <v>156</v>
      </c>
      <c r="F560" s="1">
        <v>5</v>
      </c>
    </row>
    <row r="561" spans="1:6" x14ac:dyDescent="0.35">
      <c r="A561" s="1">
        <v>2035</v>
      </c>
      <c r="B561" s="1">
        <v>32.665419480325482</v>
      </c>
      <c r="C561" s="1">
        <v>37.361783074045711</v>
      </c>
      <c r="D561" s="1">
        <v>50.936057825776658</v>
      </c>
      <c r="E561" s="1" t="s">
        <v>156</v>
      </c>
      <c r="F561" s="1">
        <v>5</v>
      </c>
    </row>
    <row r="562" spans="1:6" x14ac:dyDescent="0.35">
      <c r="A562" s="1">
        <v>2036</v>
      </c>
      <c r="B562" s="1">
        <v>32.592967512664842</v>
      </c>
      <c r="C562" s="1">
        <v>36.567324339059702</v>
      </c>
      <c r="D562" s="1">
        <v>49.16877946057258</v>
      </c>
      <c r="E562" s="1" t="s">
        <v>156</v>
      </c>
      <c r="F562" s="1">
        <v>5</v>
      </c>
    </row>
    <row r="563" spans="1:6" x14ac:dyDescent="0.35">
      <c r="A563" s="1">
        <v>2037</v>
      </c>
      <c r="B563" s="1">
        <v>53.736718813368768</v>
      </c>
      <c r="C563" s="1">
        <v>60.289325450398238</v>
      </c>
      <c r="D563" s="1">
        <v>72.724722211999989</v>
      </c>
      <c r="E563" s="1" t="s">
        <v>156</v>
      </c>
      <c r="F563" s="1">
        <v>5</v>
      </c>
    </row>
    <row r="564" spans="1:6" x14ac:dyDescent="0.35">
      <c r="A564" s="1">
        <v>2038</v>
      </c>
      <c r="B564" s="1">
        <v>32.592967512664842</v>
      </c>
      <c r="C564" s="1">
        <v>46.04476823298306</v>
      </c>
      <c r="D564" s="1">
        <v>61.641527118252299</v>
      </c>
      <c r="E564" s="1" t="s">
        <v>156</v>
      </c>
      <c r="F564" s="1">
        <v>5</v>
      </c>
    </row>
    <row r="565" spans="1:6" x14ac:dyDescent="0.35">
      <c r="A565" s="1">
        <v>2039</v>
      </c>
      <c r="B565" s="1">
        <v>34.087797607760457</v>
      </c>
      <c r="C565" s="1">
        <v>46.499222884582977</v>
      </c>
      <c r="D565" s="1">
        <v>62.529407509472577</v>
      </c>
      <c r="E565" s="1" t="s">
        <v>156</v>
      </c>
      <c r="F565" s="1">
        <v>5</v>
      </c>
    </row>
    <row r="566" spans="1:6" x14ac:dyDescent="0.35">
      <c r="A566" s="1">
        <v>2040</v>
      </c>
      <c r="B566" s="1">
        <v>33.125868601086388</v>
      </c>
      <c r="C566" s="1">
        <v>45.721799902896137</v>
      </c>
      <c r="D566" s="1">
        <v>64.735838086394736</v>
      </c>
      <c r="E566" s="1" t="s">
        <v>156</v>
      </c>
      <c r="F566" s="1">
        <v>5</v>
      </c>
    </row>
    <row r="567" spans="1:6" x14ac:dyDescent="0.35">
      <c r="A567" s="1">
        <v>2041</v>
      </c>
      <c r="B567" s="1">
        <v>34.928232694064583</v>
      </c>
      <c r="C567" s="1">
        <v>43.695574023342829</v>
      </c>
      <c r="D567" s="1">
        <v>64.966293655680147</v>
      </c>
      <c r="E567" s="1" t="s">
        <v>156</v>
      </c>
      <c r="F567" s="1">
        <v>5</v>
      </c>
    </row>
    <row r="568" spans="1:6" x14ac:dyDescent="0.35">
      <c r="A568" s="1">
        <v>2042</v>
      </c>
      <c r="B568" s="1">
        <v>32.947493903539723</v>
      </c>
      <c r="C568" s="1">
        <v>44.322835525358002</v>
      </c>
      <c r="D568" s="1">
        <v>67.028262685995003</v>
      </c>
      <c r="E568" s="1" t="s">
        <v>156</v>
      </c>
      <c r="F568" s="1">
        <v>5</v>
      </c>
    </row>
    <row r="569" spans="1:6" x14ac:dyDescent="0.35">
      <c r="A569" s="1">
        <v>2043</v>
      </c>
      <c r="B569" s="1">
        <v>32.698844902385687</v>
      </c>
      <c r="C569" s="1">
        <v>45.420676843227618</v>
      </c>
      <c r="D569" s="1">
        <v>65.884955500222603</v>
      </c>
      <c r="E569" s="1" t="s">
        <v>156</v>
      </c>
      <c r="F569" s="1">
        <v>5</v>
      </c>
    </row>
    <row r="570" spans="1:6" x14ac:dyDescent="0.35">
      <c r="A570" s="1">
        <v>2044</v>
      </c>
      <c r="B570" s="1">
        <v>32.874407144893027</v>
      </c>
      <c r="C570" s="1">
        <v>46.097211245508461</v>
      </c>
      <c r="D570" s="1">
        <v>66.558671175719113</v>
      </c>
      <c r="E570" s="1" t="s">
        <v>156</v>
      </c>
      <c r="F570" s="1">
        <v>5</v>
      </c>
    </row>
    <row r="571" spans="1:6" x14ac:dyDescent="0.35">
      <c r="A571" s="1">
        <v>2045</v>
      </c>
      <c r="B571" s="1">
        <v>54.200734321441402</v>
      </c>
      <c r="C571" s="1">
        <v>72.724722211999989</v>
      </c>
      <c r="D571" s="1">
        <v>72.724722211999989</v>
      </c>
      <c r="E571" s="1" t="s">
        <v>156</v>
      </c>
      <c r="F571" s="1">
        <v>5</v>
      </c>
    </row>
    <row r="572" spans="1:6" x14ac:dyDescent="0.35">
      <c r="A572" s="1">
        <v>2046</v>
      </c>
      <c r="B572" s="1">
        <v>42.233314899045453</v>
      </c>
      <c r="C572" s="1">
        <v>57.579612310988672</v>
      </c>
      <c r="D572" s="1">
        <v>69.245551538870259</v>
      </c>
      <c r="E572" s="1" t="s">
        <v>156</v>
      </c>
      <c r="F572" s="1">
        <v>5</v>
      </c>
    </row>
    <row r="573" spans="1:6" x14ac:dyDescent="0.35">
      <c r="A573" s="1">
        <v>2047</v>
      </c>
      <c r="B573" s="1">
        <v>69.630964606232865</v>
      </c>
      <c r="C573" s="1">
        <v>72.724722211999989</v>
      </c>
      <c r="D573" s="1">
        <v>72.724722211999989</v>
      </c>
      <c r="E573" s="1" t="s">
        <v>156</v>
      </c>
      <c r="F573" s="1">
        <v>5</v>
      </c>
    </row>
    <row r="574" spans="1:6" x14ac:dyDescent="0.35">
      <c r="A574" s="1">
        <v>2048</v>
      </c>
      <c r="B574" s="1">
        <v>44.233056887771212</v>
      </c>
      <c r="C574" s="1">
        <v>58.498882275067089</v>
      </c>
      <c r="D574" s="1">
        <v>72.560228276069026</v>
      </c>
      <c r="E574" s="1" t="s">
        <v>156</v>
      </c>
      <c r="F574" s="1">
        <v>5</v>
      </c>
    </row>
    <row r="575" spans="1:6" x14ac:dyDescent="0.35">
      <c r="A575" s="1">
        <v>2049</v>
      </c>
      <c r="B575" s="1">
        <v>43.647200943626842</v>
      </c>
      <c r="C575" s="1">
        <v>56.203776043370588</v>
      </c>
      <c r="D575" s="1">
        <v>70.184359378891102</v>
      </c>
      <c r="E575" s="1" t="s">
        <v>156</v>
      </c>
      <c r="F575" s="1">
        <v>5</v>
      </c>
    </row>
    <row r="576" spans="1:6" x14ac:dyDescent="0.35">
      <c r="A576" s="1">
        <v>2050</v>
      </c>
      <c r="B576" s="1">
        <v>71.962068602280283</v>
      </c>
      <c r="C576" s="1">
        <v>72.724722211999989</v>
      </c>
      <c r="D576" s="1">
        <v>72.724722211999989</v>
      </c>
      <c r="E576" s="1" t="s">
        <v>156</v>
      </c>
      <c r="F576" s="1">
        <v>5</v>
      </c>
    </row>
    <row r="577" spans="1:6" x14ac:dyDescent="0.35">
      <c r="A577" s="1">
        <v>2026</v>
      </c>
      <c r="B577" s="1">
        <v>31.21360842664188</v>
      </c>
      <c r="C577" s="1">
        <v>30.838450894679251</v>
      </c>
      <c r="D577" s="1">
        <v>33.944489218177623</v>
      </c>
      <c r="E577" s="1" t="s">
        <v>157</v>
      </c>
      <c r="F577" s="1">
        <v>5</v>
      </c>
    </row>
    <row r="578" spans="1:6" x14ac:dyDescent="0.35">
      <c r="A578" s="1">
        <v>2027</v>
      </c>
      <c r="B578" s="1">
        <v>30.11538963584756</v>
      </c>
      <c r="C578" s="1">
        <v>30.340962298845081</v>
      </c>
      <c r="D578" s="1">
        <v>34.55740194316153</v>
      </c>
      <c r="E578" s="1" t="s">
        <v>157</v>
      </c>
      <c r="F578" s="1">
        <v>5</v>
      </c>
    </row>
    <row r="579" spans="1:6" x14ac:dyDescent="0.35">
      <c r="A579" s="1">
        <v>2028</v>
      </c>
      <c r="B579" s="1">
        <v>29.716645842063048</v>
      </c>
      <c r="C579" s="1">
        <v>29.568023461739081</v>
      </c>
      <c r="D579" s="1">
        <v>35.727667348270053</v>
      </c>
      <c r="E579" s="1" t="s">
        <v>157</v>
      </c>
      <c r="F579" s="1">
        <v>5</v>
      </c>
    </row>
    <row r="580" spans="1:6" x14ac:dyDescent="0.35">
      <c r="A580" s="1">
        <v>2029</v>
      </c>
      <c r="B580" s="1">
        <v>30.156175290961741</v>
      </c>
      <c r="C580" s="1">
        <v>29.126243126003121</v>
      </c>
      <c r="D580" s="1">
        <v>36.268143888844847</v>
      </c>
      <c r="E580" s="1" t="s">
        <v>157</v>
      </c>
      <c r="F580" s="1">
        <v>5</v>
      </c>
    </row>
    <row r="581" spans="1:6" x14ac:dyDescent="0.35">
      <c r="A581" s="1">
        <v>2030</v>
      </c>
      <c r="B581" s="1">
        <v>29.750412773984358</v>
      </c>
      <c r="C581" s="1">
        <v>30.02530604823907</v>
      </c>
      <c r="D581" s="1">
        <v>35.121771067547137</v>
      </c>
      <c r="E581" s="1" t="s">
        <v>157</v>
      </c>
      <c r="F581" s="1">
        <v>5</v>
      </c>
    </row>
    <row r="582" spans="1:6" x14ac:dyDescent="0.35">
      <c r="A582" s="1">
        <v>2031</v>
      </c>
      <c r="B582" s="1">
        <v>30.277773195868551</v>
      </c>
      <c r="C582" s="1">
        <v>30.702916448871161</v>
      </c>
      <c r="D582" s="1">
        <v>36.601674336393003</v>
      </c>
      <c r="E582" s="1" t="s">
        <v>157</v>
      </c>
      <c r="F582" s="1">
        <v>5</v>
      </c>
    </row>
    <row r="583" spans="1:6" x14ac:dyDescent="0.35">
      <c r="A583" s="1">
        <v>2032</v>
      </c>
      <c r="B583" s="1">
        <v>49.919608697462692</v>
      </c>
      <c r="C583" s="1">
        <v>50.620551421782743</v>
      </c>
      <c r="D583" s="1">
        <v>60.345959021650152</v>
      </c>
      <c r="E583" s="1" t="s">
        <v>157</v>
      </c>
      <c r="F583" s="1">
        <v>5</v>
      </c>
    </row>
    <row r="584" spans="1:6" x14ac:dyDescent="0.35">
      <c r="A584" s="1">
        <v>2033</v>
      </c>
      <c r="B584" s="1">
        <v>30.31260509175771</v>
      </c>
      <c r="C584" s="1">
        <v>38.472360484817528</v>
      </c>
      <c r="D584" s="1">
        <v>50.671402626001132</v>
      </c>
      <c r="E584" s="1" t="s">
        <v>157</v>
      </c>
      <c r="F584" s="1">
        <v>5</v>
      </c>
    </row>
    <row r="585" spans="1:6" x14ac:dyDescent="0.35">
      <c r="A585" s="1">
        <v>2034</v>
      </c>
      <c r="B585" s="1">
        <v>30.511753584298699</v>
      </c>
      <c r="C585" s="1">
        <v>38.510729163518747</v>
      </c>
      <c r="D585" s="1">
        <v>50.424891341866271</v>
      </c>
      <c r="E585" s="1" t="s">
        <v>157</v>
      </c>
      <c r="F585" s="1">
        <v>5</v>
      </c>
    </row>
    <row r="586" spans="1:6" x14ac:dyDescent="0.35">
      <c r="A586" s="1">
        <v>2035</v>
      </c>
      <c r="B586" s="1">
        <v>50.30537714079415</v>
      </c>
      <c r="C586" s="1">
        <v>63.493458322065123</v>
      </c>
      <c r="D586" s="1">
        <v>72.724722211999989</v>
      </c>
      <c r="E586" s="1" t="s">
        <v>157</v>
      </c>
      <c r="F586" s="1">
        <v>5</v>
      </c>
    </row>
    <row r="587" spans="1:6" x14ac:dyDescent="0.35">
      <c r="A587" s="1">
        <v>2036</v>
      </c>
      <c r="B587" s="1">
        <v>35.02727869475185</v>
      </c>
      <c r="C587" s="1">
        <v>49.225586393034497</v>
      </c>
      <c r="D587" s="1">
        <v>61.305328753880708</v>
      </c>
      <c r="E587" s="1" t="s">
        <v>157</v>
      </c>
      <c r="F587" s="1">
        <v>5</v>
      </c>
    </row>
    <row r="588" spans="1:6" x14ac:dyDescent="0.35">
      <c r="A588" s="1">
        <v>2037</v>
      </c>
      <c r="B588" s="1">
        <v>36.543916299608263</v>
      </c>
      <c r="C588" s="1">
        <v>47.659512310776421</v>
      </c>
      <c r="D588" s="1">
        <v>65.802945067934346</v>
      </c>
      <c r="E588" s="1" t="s">
        <v>157</v>
      </c>
      <c r="F588" s="1">
        <v>5</v>
      </c>
    </row>
    <row r="589" spans="1:6" x14ac:dyDescent="0.35">
      <c r="A589" s="1">
        <v>2038</v>
      </c>
      <c r="B589" s="1">
        <v>35.770917282049027</v>
      </c>
      <c r="C589" s="1">
        <v>50.61930813402752</v>
      </c>
      <c r="D589" s="1">
        <v>68.243082225704399</v>
      </c>
      <c r="E589" s="1" t="s">
        <v>157</v>
      </c>
      <c r="F589" s="1">
        <v>5</v>
      </c>
    </row>
    <row r="590" spans="1:6" x14ac:dyDescent="0.35">
      <c r="A590" s="1">
        <v>2039</v>
      </c>
      <c r="B590" s="1">
        <v>58.976272195369049</v>
      </c>
      <c r="C590" s="1">
        <v>72.724722211999989</v>
      </c>
      <c r="D590" s="1">
        <v>72.724722211999989</v>
      </c>
      <c r="E590" s="1" t="s">
        <v>157</v>
      </c>
      <c r="F590" s="1">
        <v>5</v>
      </c>
    </row>
    <row r="591" spans="1:6" x14ac:dyDescent="0.35">
      <c r="A591" s="1">
        <v>2040</v>
      </c>
      <c r="B591" s="1">
        <v>35.770917282049027</v>
      </c>
      <c r="C591" s="1">
        <v>46.528576678478487</v>
      </c>
      <c r="D591" s="1">
        <v>70.788475863177979</v>
      </c>
      <c r="E591" s="1" t="s">
        <v>157</v>
      </c>
      <c r="F591" s="1">
        <v>5</v>
      </c>
    </row>
    <row r="592" spans="1:6" x14ac:dyDescent="0.35">
      <c r="A592" s="1">
        <v>2041</v>
      </c>
      <c r="B592" s="1">
        <v>36.374070686358017</v>
      </c>
      <c r="C592" s="1">
        <v>47.250540071537358</v>
      </c>
      <c r="D592" s="1">
        <v>66.128121849297813</v>
      </c>
      <c r="E592" s="1" t="s">
        <v>157</v>
      </c>
      <c r="F592" s="1">
        <v>5</v>
      </c>
    </row>
    <row r="593" spans="1:6" x14ac:dyDescent="0.35">
      <c r="A593" s="1">
        <v>2042</v>
      </c>
      <c r="B593" s="1">
        <v>59.970704042548483</v>
      </c>
      <c r="C593" s="1">
        <v>72.724722211999989</v>
      </c>
      <c r="D593" s="1">
        <v>72.724722211999989</v>
      </c>
      <c r="E593" s="1" t="s">
        <v>157</v>
      </c>
      <c r="F593" s="1">
        <v>5</v>
      </c>
    </row>
    <row r="594" spans="1:6" x14ac:dyDescent="0.35">
      <c r="A594" s="1">
        <v>2043</v>
      </c>
      <c r="B594" s="1">
        <v>42.951849304856928</v>
      </c>
      <c r="C594" s="1">
        <v>52.214290282253224</v>
      </c>
      <c r="D594" s="1">
        <v>72.724722211999989</v>
      </c>
      <c r="E594" s="1" t="s">
        <v>157</v>
      </c>
      <c r="F594" s="1">
        <v>5</v>
      </c>
    </row>
    <row r="595" spans="1:6" x14ac:dyDescent="0.35">
      <c r="A595" s="1">
        <v>2044</v>
      </c>
      <c r="B595" s="1">
        <v>70.815627564824126</v>
      </c>
      <c r="C595" s="1">
        <v>72.724722211999989</v>
      </c>
      <c r="D595" s="1">
        <v>72.724722211999989</v>
      </c>
      <c r="E595" s="1" t="s">
        <v>157</v>
      </c>
      <c r="F595" s="1">
        <v>5</v>
      </c>
    </row>
    <row r="596" spans="1:6" x14ac:dyDescent="0.35">
      <c r="A596" s="1">
        <v>2045</v>
      </c>
      <c r="B596" s="1">
        <v>42.951849304856928</v>
      </c>
      <c r="C596" s="1">
        <v>56.261078420551257</v>
      </c>
      <c r="D596" s="1">
        <v>72.724722211999989</v>
      </c>
      <c r="E596" s="1" t="s">
        <v>157</v>
      </c>
      <c r="F596" s="1">
        <v>5</v>
      </c>
    </row>
    <row r="597" spans="1:6" x14ac:dyDescent="0.35">
      <c r="A597" s="1">
        <v>2046</v>
      </c>
      <c r="B597" s="1">
        <v>42.745247152450617</v>
      </c>
      <c r="C597" s="1">
        <v>54.658935580179502</v>
      </c>
      <c r="D597" s="1">
        <v>72.724722211999989</v>
      </c>
      <c r="E597" s="1" t="s">
        <v>157</v>
      </c>
      <c r="F597" s="1">
        <v>5</v>
      </c>
    </row>
    <row r="598" spans="1:6" x14ac:dyDescent="0.35">
      <c r="A598" s="1">
        <v>2047</v>
      </c>
      <c r="B598" s="1">
        <v>43.098712936741947</v>
      </c>
      <c r="C598" s="1">
        <v>54.481334955478353</v>
      </c>
      <c r="D598" s="1">
        <v>72.391027754571212</v>
      </c>
      <c r="E598" s="1" t="s">
        <v>157</v>
      </c>
      <c r="F598" s="1">
        <v>5</v>
      </c>
    </row>
    <row r="599" spans="1:6" x14ac:dyDescent="0.35">
      <c r="A599" s="1">
        <v>2048</v>
      </c>
      <c r="B599" s="1">
        <v>42.618184019378667</v>
      </c>
      <c r="C599" s="1">
        <v>50.599433669204117</v>
      </c>
      <c r="D599" s="1">
        <v>72.724722211999989</v>
      </c>
      <c r="E599" s="1" t="s">
        <v>157</v>
      </c>
      <c r="F599" s="1">
        <v>5</v>
      </c>
    </row>
    <row r="600" spans="1:6" x14ac:dyDescent="0.35">
      <c r="A600" s="1">
        <v>2049</v>
      </c>
      <c r="B600" s="1">
        <v>43.488025965247857</v>
      </c>
      <c r="C600" s="1">
        <v>52.909829917891088</v>
      </c>
      <c r="D600" s="1">
        <v>70.139580946575492</v>
      </c>
      <c r="E600" s="1" t="s">
        <v>157</v>
      </c>
      <c r="F600" s="1">
        <v>5</v>
      </c>
    </row>
    <row r="601" spans="1:6" x14ac:dyDescent="0.35">
      <c r="A601" s="1">
        <v>2050</v>
      </c>
      <c r="B601" s="1">
        <v>42.610756306633682</v>
      </c>
      <c r="C601" s="1">
        <v>54.79205806774241</v>
      </c>
      <c r="D601" s="1">
        <v>67.985897959529538</v>
      </c>
      <c r="E601" s="1" t="s">
        <v>157</v>
      </c>
      <c r="F601" s="1">
        <v>5</v>
      </c>
    </row>
    <row r="602" spans="1:6" x14ac:dyDescent="0.35">
      <c r="A602" s="1">
        <v>2026</v>
      </c>
      <c r="B602" s="1">
        <v>31.125445902084731</v>
      </c>
      <c r="C602" s="1">
        <v>31.212772785389401</v>
      </c>
      <c r="D602" s="1">
        <v>32.862985131636179</v>
      </c>
      <c r="E602" s="1" t="s">
        <v>158</v>
      </c>
      <c r="F602" s="1">
        <v>5</v>
      </c>
    </row>
    <row r="603" spans="1:6" x14ac:dyDescent="0.35">
      <c r="A603" s="1">
        <v>2027</v>
      </c>
      <c r="B603" s="1">
        <v>51.317184718793229</v>
      </c>
      <c r="C603" s="1">
        <v>51.461162408801577</v>
      </c>
      <c r="D603" s="1">
        <v>54.181902605230619</v>
      </c>
      <c r="E603" s="1" t="s">
        <v>158</v>
      </c>
      <c r="F603" s="1">
        <v>5</v>
      </c>
    </row>
    <row r="604" spans="1:6" x14ac:dyDescent="0.35">
      <c r="A604" s="1">
        <v>2028</v>
      </c>
      <c r="B604" s="1">
        <v>31.125445902084731</v>
      </c>
      <c r="C604" s="1">
        <v>38.376045776617843</v>
      </c>
      <c r="D604" s="1">
        <v>46.207116051980243</v>
      </c>
      <c r="E604" s="1" t="s">
        <v>158</v>
      </c>
      <c r="F604" s="1">
        <v>5</v>
      </c>
    </row>
    <row r="605" spans="1:6" x14ac:dyDescent="0.35">
      <c r="A605" s="1">
        <v>2029</v>
      </c>
      <c r="B605" s="1">
        <v>32.381966508937133</v>
      </c>
      <c r="C605" s="1">
        <v>39.617349553180247</v>
      </c>
      <c r="D605" s="1">
        <v>47.848144643947499</v>
      </c>
      <c r="E605" s="1" t="s">
        <v>158</v>
      </c>
      <c r="F605" s="1">
        <v>5</v>
      </c>
    </row>
    <row r="606" spans="1:6" x14ac:dyDescent="0.35">
      <c r="A606" s="1">
        <v>2030</v>
      </c>
      <c r="B606" s="1">
        <v>31.310497754020201</v>
      </c>
      <c r="C606" s="1">
        <v>39.859791574563552</v>
      </c>
      <c r="D606" s="1">
        <v>50.468612818070483</v>
      </c>
      <c r="E606" s="1" t="s">
        <v>158</v>
      </c>
      <c r="F606" s="1">
        <v>5</v>
      </c>
    </row>
    <row r="607" spans="1:6" x14ac:dyDescent="0.35">
      <c r="A607" s="1">
        <v>2031</v>
      </c>
      <c r="B607" s="1">
        <v>32.784890528867606</v>
      </c>
      <c r="C607" s="1">
        <v>40.663678269012721</v>
      </c>
      <c r="D607" s="1">
        <v>48.867467284423263</v>
      </c>
      <c r="E607" s="1" t="s">
        <v>158</v>
      </c>
      <c r="F607" s="1">
        <v>5</v>
      </c>
    </row>
    <row r="608" spans="1:6" x14ac:dyDescent="0.35">
      <c r="A608" s="1">
        <v>2032</v>
      </c>
      <c r="B608" s="1">
        <v>33.191938954708959</v>
      </c>
      <c r="C608" s="1">
        <v>39.410284550934207</v>
      </c>
      <c r="D608" s="1">
        <v>48.467846672582887</v>
      </c>
      <c r="E608" s="1" t="s">
        <v>158</v>
      </c>
      <c r="F608" s="1">
        <v>5</v>
      </c>
    </row>
    <row r="609" spans="1:6" x14ac:dyDescent="0.35">
      <c r="A609" s="1">
        <v>2033</v>
      </c>
      <c r="B609" s="1">
        <v>54.724255770408838</v>
      </c>
      <c r="C609" s="1">
        <v>64.976574423469884</v>
      </c>
      <c r="D609" s="1">
        <v>72.724722211999989</v>
      </c>
      <c r="E609" s="1" t="s">
        <v>158</v>
      </c>
      <c r="F609" s="1">
        <v>5</v>
      </c>
    </row>
    <row r="610" spans="1:6" x14ac:dyDescent="0.35">
      <c r="A610" s="1">
        <v>2034</v>
      </c>
      <c r="B610" s="1">
        <v>33.191938954708959</v>
      </c>
      <c r="C610" s="1">
        <v>48.040647578798207</v>
      </c>
      <c r="D610" s="1">
        <v>67.157396202902106</v>
      </c>
      <c r="E610" s="1" t="s">
        <v>158</v>
      </c>
      <c r="F610" s="1">
        <v>5</v>
      </c>
    </row>
    <row r="611" spans="1:6" x14ac:dyDescent="0.35">
      <c r="A611" s="1">
        <v>2035</v>
      </c>
      <c r="B611" s="1">
        <v>33.601932347775957</v>
      </c>
      <c r="C611" s="1">
        <v>46.414325798432579</v>
      </c>
      <c r="D611" s="1">
        <v>66.774670311501765</v>
      </c>
      <c r="E611" s="1" t="s">
        <v>158</v>
      </c>
      <c r="F611" s="1">
        <v>5</v>
      </c>
    </row>
    <row r="612" spans="1:6" x14ac:dyDescent="0.35">
      <c r="A612" s="1">
        <v>2036</v>
      </c>
      <c r="B612" s="1">
        <v>33.401965151550449</v>
      </c>
      <c r="C612" s="1">
        <v>46.239428671024143</v>
      </c>
      <c r="D612" s="1">
        <v>67.251850525833049</v>
      </c>
      <c r="E612" s="1" t="s">
        <v>158</v>
      </c>
      <c r="F612" s="1">
        <v>5</v>
      </c>
    </row>
    <row r="613" spans="1:6" x14ac:dyDescent="0.35">
      <c r="A613" s="1">
        <v>2037</v>
      </c>
      <c r="B613" s="1">
        <v>32.334265938856291</v>
      </c>
      <c r="C613" s="1">
        <v>47.676438552757418</v>
      </c>
      <c r="D613" s="1">
        <v>69.873346580597826</v>
      </c>
      <c r="E613" s="1" t="s">
        <v>158</v>
      </c>
      <c r="F613" s="1">
        <v>5</v>
      </c>
    </row>
    <row r="614" spans="1:6" x14ac:dyDescent="0.35">
      <c r="A614" s="1">
        <v>2038</v>
      </c>
      <c r="B614" s="1">
        <v>53.310192025867018</v>
      </c>
      <c r="C614" s="1">
        <v>72.724722211999989</v>
      </c>
      <c r="D614" s="1">
        <v>72.724722211999989</v>
      </c>
      <c r="E614" s="1" t="s">
        <v>158</v>
      </c>
      <c r="F614" s="1">
        <v>5</v>
      </c>
    </row>
    <row r="615" spans="1:6" x14ac:dyDescent="0.35">
      <c r="A615" s="1">
        <v>2039</v>
      </c>
      <c r="B615" s="1">
        <v>41.943175159360948</v>
      </c>
      <c r="C615" s="1">
        <v>53.474400483135007</v>
      </c>
      <c r="D615" s="1">
        <v>72.724722211999989</v>
      </c>
      <c r="E615" s="1" t="s">
        <v>158</v>
      </c>
      <c r="F615" s="1">
        <v>5</v>
      </c>
    </row>
    <row r="616" spans="1:6" x14ac:dyDescent="0.35">
      <c r="A616" s="1">
        <v>2040</v>
      </c>
      <c r="B616" s="1">
        <v>69.152605045939652</v>
      </c>
      <c r="C616" s="1">
        <v>72.724722211999989</v>
      </c>
      <c r="D616" s="1">
        <v>72.724722211999989</v>
      </c>
      <c r="E616" s="1" t="s">
        <v>158</v>
      </c>
      <c r="F616" s="1">
        <v>5</v>
      </c>
    </row>
    <row r="617" spans="1:6" x14ac:dyDescent="0.35">
      <c r="A617" s="1">
        <v>2041</v>
      </c>
      <c r="B617" s="1">
        <v>44.819062576852581</v>
      </c>
      <c r="C617" s="1">
        <v>57.097426186082963</v>
      </c>
      <c r="D617" s="1">
        <v>72.724722211999989</v>
      </c>
      <c r="E617" s="1" t="s">
        <v>158</v>
      </c>
      <c r="F617" s="1">
        <v>5</v>
      </c>
    </row>
    <row r="618" spans="1:6" x14ac:dyDescent="0.35">
      <c r="A618" s="1">
        <v>2042</v>
      </c>
      <c r="B618" s="1">
        <v>42.111583903725922</v>
      </c>
      <c r="C618" s="1">
        <v>53.44259315740171</v>
      </c>
      <c r="D618" s="1">
        <v>72.724722211999989</v>
      </c>
      <c r="E618" s="1" t="s">
        <v>158</v>
      </c>
      <c r="F618" s="1">
        <v>5</v>
      </c>
    </row>
    <row r="619" spans="1:6" x14ac:dyDescent="0.35">
      <c r="A619" s="1">
        <v>2043</v>
      </c>
      <c r="B619" s="1">
        <v>42.010383171695338</v>
      </c>
      <c r="C619" s="1">
        <v>52.54401638434846</v>
      </c>
      <c r="D619" s="1">
        <v>71.215771679470819</v>
      </c>
      <c r="E619" s="1" t="s">
        <v>158</v>
      </c>
      <c r="F619" s="1">
        <v>5</v>
      </c>
    </row>
    <row r="620" spans="1:6" x14ac:dyDescent="0.35">
      <c r="A620" s="1">
        <v>2044</v>
      </c>
      <c r="B620" s="1">
        <v>42.332148264061743</v>
      </c>
      <c r="C620" s="1">
        <v>55.032616745928159</v>
      </c>
      <c r="D620" s="1">
        <v>68.870138219104348</v>
      </c>
      <c r="E620" s="1" t="s">
        <v>158</v>
      </c>
      <c r="F620" s="1">
        <v>5</v>
      </c>
    </row>
    <row r="621" spans="1:6" x14ac:dyDescent="0.35">
      <c r="A621" s="1">
        <v>2045</v>
      </c>
      <c r="B621" s="1">
        <v>40.154638426041657</v>
      </c>
      <c r="C621" s="1">
        <v>56.16879070851472</v>
      </c>
      <c r="D621" s="1">
        <v>66.256481990096191</v>
      </c>
      <c r="E621" s="1" t="s">
        <v>158</v>
      </c>
      <c r="F621" s="1">
        <v>5</v>
      </c>
    </row>
    <row r="622" spans="1:6" x14ac:dyDescent="0.35">
      <c r="A622" s="1">
        <v>2046</v>
      </c>
      <c r="B622" s="1">
        <v>42.479574576912881</v>
      </c>
      <c r="C622" s="1">
        <v>56.382280964138417</v>
      </c>
      <c r="D622" s="1">
        <v>66.633218245479824</v>
      </c>
      <c r="E622" s="1" t="s">
        <v>158</v>
      </c>
      <c r="F622" s="1">
        <v>5</v>
      </c>
    </row>
    <row r="623" spans="1:6" x14ac:dyDescent="0.35">
      <c r="A623" s="1">
        <v>2047</v>
      </c>
      <c r="B623" s="1">
        <v>40.759398589877073</v>
      </c>
      <c r="C623" s="1">
        <v>54.095265740508353</v>
      </c>
      <c r="D623" s="1">
        <v>67.066572402827816</v>
      </c>
      <c r="E623" s="1" t="s">
        <v>158</v>
      </c>
      <c r="F623" s="1">
        <v>5</v>
      </c>
    </row>
    <row r="624" spans="1:6" x14ac:dyDescent="0.35">
      <c r="A624" s="1">
        <v>2048</v>
      </c>
      <c r="B624" s="1">
        <v>41.206905246218341</v>
      </c>
      <c r="C624" s="1">
        <v>52.907476432012999</v>
      </c>
      <c r="D624" s="1">
        <v>68.173740513459578</v>
      </c>
      <c r="E624" s="1" t="s">
        <v>158</v>
      </c>
      <c r="F624" s="1">
        <v>5</v>
      </c>
    </row>
    <row r="625" spans="1:6" x14ac:dyDescent="0.35">
      <c r="A625" s="1">
        <v>2049</v>
      </c>
      <c r="B625" s="1">
        <v>67.93870117916488</v>
      </c>
      <c r="C625" s="1">
        <v>72.724722211999989</v>
      </c>
      <c r="D625" s="1">
        <v>72.724722211999989</v>
      </c>
      <c r="E625" s="1" t="s">
        <v>158</v>
      </c>
      <c r="F625" s="1">
        <v>5</v>
      </c>
    </row>
    <row r="626" spans="1:6" x14ac:dyDescent="0.35">
      <c r="A626" s="1">
        <v>2050</v>
      </c>
      <c r="B626" s="1">
        <v>44.520747409339947</v>
      </c>
      <c r="C626" s="1">
        <v>55.601058289517937</v>
      </c>
      <c r="D626" s="1">
        <v>65.463480313310399</v>
      </c>
      <c r="E626" s="1" t="s">
        <v>158</v>
      </c>
      <c r="F626" s="1">
        <v>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7416E-26EA-4071-AA43-D3718CAE082B}">
  <sheetPr>
    <tabColor rgb="FFE56B6F"/>
  </sheetPr>
  <dimension ref="A1:F626"/>
  <sheetViews>
    <sheetView workbookViewId="0">
      <selection activeCell="F1" sqref="F1:F1048576"/>
    </sheetView>
  </sheetViews>
  <sheetFormatPr defaultRowHeight="14.5" x14ac:dyDescent="0.35"/>
  <cols>
    <col min="1" max="4" width="8.7265625" style="1"/>
    <col min="5" max="5" width="27.7265625" style="1" customWidth="1"/>
    <col min="6" max="6" width="14.7265625" style="1" customWidth="1"/>
  </cols>
  <sheetData>
    <row r="1" spans="1:6" x14ac:dyDescent="0.35">
      <c r="A1" s="15" t="s">
        <v>4</v>
      </c>
      <c r="B1" s="15" t="s">
        <v>129</v>
      </c>
      <c r="C1" s="15" t="s">
        <v>130</v>
      </c>
      <c r="D1" s="15" t="s">
        <v>131</v>
      </c>
      <c r="E1" s="15" t="s">
        <v>132</v>
      </c>
      <c r="F1" s="15" t="s">
        <v>133</v>
      </c>
    </row>
    <row r="2" spans="1:6" x14ac:dyDescent="0.35">
      <c r="A2" s="1">
        <v>2026</v>
      </c>
      <c r="B2" s="1">
        <v>35.670022021168577</v>
      </c>
      <c r="C2" s="1">
        <v>44.767362284479809</v>
      </c>
      <c r="D2" s="1">
        <v>44.767362284479809</v>
      </c>
      <c r="E2" s="1" t="s">
        <v>134</v>
      </c>
      <c r="F2" s="1">
        <v>1</v>
      </c>
    </row>
    <row r="3" spans="1:6" x14ac:dyDescent="0.35">
      <c r="A3" s="1">
        <v>2027</v>
      </c>
      <c r="B3" s="1">
        <v>33.868308838536997</v>
      </c>
      <c r="C3" s="1">
        <v>42.065307942308458</v>
      </c>
      <c r="D3" s="1">
        <v>44.752295740768083</v>
      </c>
      <c r="E3" s="1" t="s">
        <v>134</v>
      </c>
      <c r="F3" s="1">
        <v>1</v>
      </c>
    </row>
    <row r="4" spans="1:6" x14ac:dyDescent="0.35">
      <c r="A4" s="1">
        <v>2028</v>
      </c>
      <c r="B4" s="1">
        <v>34.907365281160892</v>
      </c>
      <c r="C4" s="1">
        <v>39.884053208581037</v>
      </c>
      <c r="D4" s="1">
        <v>43.167235841798288</v>
      </c>
      <c r="E4" s="1" t="s">
        <v>134</v>
      </c>
      <c r="F4" s="1">
        <v>1</v>
      </c>
    </row>
    <row r="5" spans="1:6" x14ac:dyDescent="0.35">
      <c r="A5" s="1">
        <v>2029</v>
      </c>
      <c r="B5" s="1">
        <v>35.625345917165397</v>
      </c>
      <c r="C5" s="1">
        <v>40.522857831398802</v>
      </c>
      <c r="D5" s="1">
        <v>43.89950433126053</v>
      </c>
      <c r="E5" s="1" t="s">
        <v>134</v>
      </c>
      <c r="F5" s="1">
        <v>1</v>
      </c>
    </row>
    <row r="6" spans="1:6" x14ac:dyDescent="0.35">
      <c r="A6" s="1">
        <v>2030</v>
      </c>
      <c r="B6" s="1">
        <v>36.923146497982792</v>
      </c>
      <c r="C6" s="1">
        <v>39.822464520204313</v>
      </c>
      <c r="D6" s="1">
        <v>47.334438079038833</v>
      </c>
      <c r="E6" s="1" t="s">
        <v>134</v>
      </c>
      <c r="F6" s="1">
        <v>1</v>
      </c>
    </row>
    <row r="7" spans="1:6" x14ac:dyDescent="0.35">
      <c r="A7" s="1">
        <v>2031</v>
      </c>
      <c r="B7" s="1">
        <v>35.735636653236419</v>
      </c>
      <c r="C7" s="1">
        <v>41.042814195983937</v>
      </c>
      <c r="D7" s="1">
        <v>47.430583224875818</v>
      </c>
      <c r="E7" s="1" t="s">
        <v>134</v>
      </c>
      <c r="F7" s="1">
        <v>1</v>
      </c>
    </row>
    <row r="8" spans="1:6" x14ac:dyDescent="0.35">
      <c r="A8" s="1">
        <v>2032</v>
      </c>
      <c r="B8" s="1">
        <v>35.018159906094958</v>
      </c>
      <c r="C8" s="1">
        <v>40.036366949529778</v>
      </c>
      <c r="D8" s="1">
        <v>46.917682307268521</v>
      </c>
      <c r="E8" s="1" t="s">
        <v>134</v>
      </c>
      <c r="F8" s="1">
        <v>1</v>
      </c>
    </row>
    <row r="9" spans="1:6" x14ac:dyDescent="0.35">
      <c r="A9" s="1">
        <v>2033</v>
      </c>
      <c r="B9" s="1">
        <v>34.850380134947137</v>
      </c>
      <c r="C9" s="1">
        <v>38.480234269816307</v>
      </c>
      <c r="D9" s="1">
        <v>46.85255438960025</v>
      </c>
      <c r="E9" s="1" t="s">
        <v>134</v>
      </c>
      <c r="F9" s="1">
        <v>1</v>
      </c>
    </row>
    <row r="10" spans="1:6" x14ac:dyDescent="0.35">
      <c r="A10" s="1">
        <v>2034</v>
      </c>
      <c r="B10" s="1">
        <v>35.965313325572048</v>
      </c>
      <c r="C10" s="1">
        <v>40.031801869924472</v>
      </c>
      <c r="D10" s="1">
        <v>46.358829924890507</v>
      </c>
      <c r="E10" s="1" t="s">
        <v>134</v>
      </c>
      <c r="F10" s="1">
        <v>1</v>
      </c>
    </row>
    <row r="11" spans="1:6" x14ac:dyDescent="0.35">
      <c r="A11" s="1">
        <v>2035</v>
      </c>
      <c r="B11" s="1">
        <v>35.632664853039678</v>
      </c>
      <c r="C11" s="1">
        <v>41.111987823034909</v>
      </c>
      <c r="D11" s="1">
        <v>47.122282623792572</v>
      </c>
      <c r="E11" s="1" t="s">
        <v>134</v>
      </c>
      <c r="F11" s="1">
        <v>1</v>
      </c>
    </row>
    <row r="12" spans="1:6" x14ac:dyDescent="0.35">
      <c r="A12" s="1">
        <v>2036</v>
      </c>
      <c r="B12" s="1">
        <v>34.186759726640993</v>
      </c>
      <c r="C12" s="1">
        <v>41.755073320963348</v>
      </c>
      <c r="D12" s="1">
        <v>48.805006417811278</v>
      </c>
      <c r="E12" s="1" t="s">
        <v>134</v>
      </c>
      <c r="F12" s="1">
        <v>1</v>
      </c>
    </row>
    <row r="13" spans="1:6" x14ac:dyDescent="0.35">
      <c r="A13" s="1">
        <v>2037</v>
      </c>
      <c r="B13" s="1">
        <v>33.862652623511543</v>
      </c>
      <c r="C13" s="1">
        <v>41.41125880966964</v>
      </c>
      <c r="D13" s="1">
        <v>47.924367176975608</v>
      </c>
      <c r="E13" s="1" t="s">
        <v>134</v>
      </c>
      <c r="F13" s="1">
        <v>1</v>
      </c>
    </row>
    <row r="14" spans="1:6" x14ac:dyDescent="0.35">
      <c r="A14" s="1">
        <v>2038</v>
      </c>
      <c r="B14" s="1">
        <v>34.069545436069873</v>
      </c>
      <c r="C14" s="1">
        <v>40.017053782294951</v>
      </c>
      <c r="D14" s="1">
        <v>49.190942949853202</v>
      </c>
      <c r="E14" s="1" t="s">
        <v>134</v>
      </c>
      <c r="F14" s="1">
        <v>1</v>
      </c>
    </row>
    <row r="15" spans="1:6" x14ac:dyDescent="0.35">
      <c r="A15" s="1">
        <v>2039</v>
      </c>
      <c r="B15" s="1">
        <v>33.730237145322441</v>
      </c>
      <c r="C15" s="1">
        <v>41.868990643340183</v>
      </c>
      <c r="D15" s="1">
        <v>47.738471744902988</v>
      </c>
      <c r="E15" s="1" t="s">
        <v>134</v>
      </c>
      <c r="F15" s="1">
        <v>1</v>
      </c>
    </row>
    <row r="16" spans="1:6" x14ac:dyDescent="0.35">
      <c r="A16" s="1">
        <v>2040</v>
      </c>
      <c r="B16" s="1">
        <v>31.66720026764521</v>
      </c>
      <c r="C16" s="1">
        <v>40.742758783507163</v>
      </c>
      <c r="D16" s="1">
        <v>47.46953941156201</v>
      </c>
      <c r="E16" s="1" t="s">
        <v>134</v>
      </c>
      <c r="F16" s="1">
        <v>1</v>
      </c>
    </row>
    <row r="17" spans="1:6" x14ac:dyDescent="0.35">
      <c r="A17" s="1">
        <v>2041</v>
      </c>
      <c r="B17" s="1">
        <v>32.966220325264757</v>
      </c>
      <c r="C17" s="1">
        <v>40.707445282687289</v>
      </c>
      <c r="D17" s="1">
        <v>46.927478569391567</v>
      </c>
      <c r="E17" s="1" t="s">
        <v>134</v>
      </c>
      <c r="F17" s="1">
        <v>1</v>
      </c>
    </row>
    <row r="18" spans="1:6" x14ac:dyDescent="0.35">
      <c r="A18" s="1">
        <v>2042</v>
      </c>
      <c r="B18" s="1">
        <v>33.422497483247867</v>
      </c>
      <c r="C18" s="1">
        <v>41.484946277199519</v>
      </c>
      <c r="D18" s="1">
        <v>47.414643297762332</v>
      </c>
      <c r="E18" s="1" t="s">
        <v>134</v>
      </c>
      <c r="F18" s="1">
        <v>1</v>
      </c>
    </row>
    <row r="19" spans="1:6" x14ac:dyDescent="0.35">
      <c r="A19" s="1">
        <v>2043</v>
      </c>
      <c r="B19" s="1">
        <v>32.00683108307696</v>
      </c>
      <c r="C19" s="1">
        <v>42.068300460887031</v>
      </c>
      <c r="D19" s="1">
        <v>47.781207003641128</v>
      </c>
      <c r="E19" s="1" t="s">
        <v>134</v>
      </c>
      <c r="F19" s="1">
        <v>1</v>
      </c>
    </row>
    <row r="20" spans="1:6" x14ac:dyDescent="0.35">
      <c r="A20" s="1">
        <v>2044</v>
      </c>
      <c r="B20" s="1">
        <v>33.261303734724613</v>
      </c>
      <c r="C20" s="1">
        <v>41.206370715041373</v>
      </c>
      <c r="D20" s="1">
        <v>47.930790017264478</v>
      </c>
      <c r="E20" s="1" t="s">
        <v>134</v>
      </c>
      <c r="F20" s="1">
        <v>1</v>
      </c>
    </row>
    <row r="21" spans="1:6" x14ac:dyDescent="0.35">
      <c r="A21" s="1">
        <v>2045</v>
      </c>
      <c r="B21" s="1">
        <v>32.227865191722699</v>
      </c>
      <c r="C21" s="1">
        <v>41.631146625579312</v>
      </c>
      <c r="D21" s="1">
        <v>47.623039216847182</v>
      </c>
      <c r="E21" s="1" t="s">
        <v>134</v>
      </c>
      <c r="F21" s="1">
        <v>1</v>
      </c>
    </row>
    <row r="22" spans="1:6" x14ac:dyDescent="0.35">
      <c r="A22" s="1">
        <v>2046</v>
      </c>
      <c r="B22" s="1">
        <v>31.850493405563679</v>
      </c>
      <c r="C22" s="1">
        <v>39.815486026000691</v>
      </c>
      <c r="D22" s="1">
        <v>47.887804585606091</v>
      </c>
      <c r="E22" s="1" t="s">
        <v>134</v>
      </c>
      <c r="F22" s="1">
        <v>1</v>
      </c>
    </row>
    <row r="23" spans="1:6" x14ac:dyDescent="0.35">
      <c r="A23" s="1">
        <v>2047</v>
      </c>
      <c r="B23" s="1">
        <v>32.195547079297512</v>
      </c>
      <c r="C23" s="1">
        <v>40.481286375045357</v>
      </c>
      <c r="D23" s="1">
        <v>48.942351792823253</v>
      </c>
      <c r="E23" s="1" t="s">
        <v>134</v>
      </c>
      <c r="F23" s="1">
        <v>1</v>
      </c>
    </row>
    <row r="24" spans="1:6" x14ac:dyDescent="0.35">
      <c r="A24" s="1">
        <v>2048</v>
      </c>
      <c r="B24" s="1">
        <v>32.664419578405898</v>
      </c>
      <c r="C24" s="1">
        <v>39.349904982709667</v>
      </c>
      <c r="D24" s="1">
        <v>50.234961993480319</v>
      </c>
      <c r="E24" s="1" t="s">
        <v>134</v>
      </c>
      <c r="F24" s="1">
        <v>1</v>
      </c>
    </row>
    <row r="25" spans="1:6" x14ac:dyDescent="0.35">
      <c r="A25" s="1">
        <v>2049</v>
      </c>
      <c r="B25" s="1">
        <v>33.480133074431677</v>
      </c>
      <c r="C25" s="1">
        <v>39.292443499153947</v>
      </c>
      <c r="D25" s="1">
        <v>48.285057804288677</v>
      </c>
      <c r="E25" s="1" t="s">
        <v>134</v>
      </c>
      <c r="F25" s="1">
        <v>1</v>
      </c>
    </row>
    <row r="26" spans="1:6" x14ac:dyDescent="0.35">
      <c r="A26" s="1">
        <v>2050</v>
      </c>
      <c r="B26" s="1">
        <v>33.220966322899002</v>
      </c>
      <c r="C26" s="1">
        <v>39.425966477451951</v>
      </c>
      <c r="D26" s="1">
        <v>48.632571807076133</v>
      </c>
      <c r="E26" s="1" t="s">
        <v>134</v>
      </c>
      <c r="F26" s="1">
        <v>1</v>
      </c>
    </row>
    <row r="27" spans="1:6" x14ac:dyDescent="0.35">
      <c r="A27" s="1">
        <v>2026</v>
      </c>
      <c r="B27" s="1">
        <v>25.39276477266618</v>
      </c>
      <c r="C27" s="1">
        <v>26.419522355700082</v>
      </c>
      <c r="D27" s="1">
        <v>27.75275731192129</v>
      </c>
      <c r="E27" s="1" t="s">
        <v>135</v>
      </c>
      <c r="F27" s="1">
        <v>1</v>
      </c>
    </row>
    <row r="28" spans="1:6" x14ac:dyDescent="0.35">
      <c r="A28" s="1">
        <v>2027</v>
      </c>
      <c r="B28" s="1">
        <v>24.675870077254999</v>
      </c>
      <c r="C28" s="1">
        <v>25.635835020383411</v>
      </c>
      <c r="D28" s="1">
        <v>28.905794068507099</v>
      </c>
      <c r="E28" s="1" t="s">
        <v>135</v>
      </c>
      <c r="F28" s="1">
        <v>1</v>
      </c>
    </row>
    <row r="29" spans="1:6" x14ac:dyDescent="0.35">
      <c r="A29" s="1">
        <v>2028</v>
      </c>
      <c r="B29" s="1">
        <v>25.088040787855981</v>
      </c>
      <c r="C29" s="1">
        <v>25.889701548106991</v>
      </c>
      <c r="D29" s="1">
        <v>27.881993741228449</v>
      </c>
      <c r="E29" s="1" t="s">
        <v>135</v>
      </c>
      <c r="F29" s="1">
        <v>1</v>
      </c>
    </row>
    <row r="30" spans="1:6" x14ac:dyDescent="0.35">
      <c r="A30" s="1">
        <v>2029</v>
      </c>
      <c r="B30" s="1">
        <v>24.11750456570298</v>
      </c>
      <c r="C30" s="1">
        <v>26.27084675253322</v>
      </c>
      <c r="D30" s="1">
        <v>28.354970642388182</v>
      </c>
      <c r="E30" s="1" t="s">
        <v>135</v>
      </c>
      <c r="F30" s="1">
        <v>1</v>
      </c>
    </row>
    <row r="31" spans="1:6" x14ac:dyDescent="0.35">
      <c r="A31" s="1">
        <v>2030</v>
      </c>
      <c r="B31" s="1">
        <v>23.719850427392199</v>
      </c>
      <c r="C31" s="1">
        <v>27.188456818809641</v>
      </c>
      <c r="D31" s="1">
        <v>30.57361632097836</v>
      </c>
      <c r="E31" s="1" t="s">
        <v>135</v>
      </c>
      <c r="F31" s="1">
        <v>1</v>
      </c>
    </row>
    <row r="32" spans="1:6" x14ac:dyDescent="0.35">
      <c r="A32" s="1">
        <v>2031</v>
      </c>
      <c r="B32" s="1">
        <v>39.107421937467038</v>
      </c>
      <c r="C32" s="1">
        <v>44.826187074683403</v>
      </c>
      <c r="D32" s="1">
        <v>50.407371550621619</v>
      </c>
      <c r="E32" s="1" t="s">
        <v>135</v>
      </c>
      <c r="F32" s="1">
        <v>1</v>
      </c>
    </row>
    <row r="33" spans="1:6" x14ac:dyDescent="0.35">
      <c r="A33" s="1">
        <v>2032</v>
      </c>
      <c r="B33" s="1">
        <v>35.078166380372373</v>
      </c>
      <c r="C33" s="1">
        <v>40.539461793409338</v>
      </c>
      <c r="D33" s="1">
        <v>46.416288317301429</v>
      </c>
      <c r="E33" s="1" t="s">
        <v>135</v>
      </c>
      <c r="F33" s="1">
        <v>1</v>
      </c>
    </row>
    <row r="34" spans="1:6" x14ac:dyDescent="0.35">
      <c r="A34" s="1">
        <v>2033</v>
      </c>
      <c r="B34" s="1">
        <v>34.410994445207947</v>
      </c>
      <c r="C34" s="1">
        <v>40.661975501503953</v>
      </c>
      <c r="D34" s="1">
        <v>46.351856400477452</v>
      </c>
      <c r="E34" s="1" t="s">
        <v>135</v>
      </c>
      <c r="F34" s="1">
        <v>1</v>
      </c>
    </row>
    <row r="35" spans="1:6" x14ac:dyDescent="0.35">
      <c r="A35" s="1">
        <v>2034</v>
      </c>
      <c r="B35" s="1">
        <v>34.469574061074688</v>
      </c>
      <c r="C35" s="1">
        <v>40.162089698777137</v>
      </c>
      <c r="D35" s="1">
        <v>45.863408208318518</v>
      </c>
      <c r="E35" s="1" t="s">
        <v>135</v>
      </c>
      <c r="F35" s="1">
        <v>1</v>
      </c>
    </row>
    <row r="36" spans="1:6" x14ac:dyDescent="0.35">
      <c r="A36" s="1">
        <v>2035</v>
      </c>
      <c r="B36" s="1">
        <v>33.753675113533319</v>
      </c>
      <c r="C36" s="1">
        <v>40.707707476090768</v>
      </c>
      <c r="D36" s="1">
        <v>46.618702136880067</v>
      </c>
      <c r="E36" s="1" t="s">
        <v>135</v>
      </c>
      <c r="F36" s="1">
        <v>1</v>
      </c>
    </row>
    <row r="37" spans="1:6" x14ac:dyDescent="0.35">
      <c r="A37" s="1">
        <v>2036</v>
      </c>
      <c r="B37" s="1">
        <v>33.914734155925373</v>
      </c>
      <c r="C37" s="1">
        <v>41.398922809560347</v>
      </c>
      <c r="D37" s="1">
        <v>48.283443209766702</v>
      </c>
      <c r="E37" s="1" t="s">
        <v>135</v>
      </c>
      <c r="F37" s="1">
        <v>1</v>
      </c>
    </row>
    <row r="38" spans="1:6" x14ac:dyDescent="0.35">
      <c r="A38" s="1">
        <v>2037</v>
      </c>
      <c r="B38" s="1">
        <v>33.480084063099433</v>
      </c>
      <c r="C38" s="1">
        <v>40.448210196581222</v>
      </c>
      <c r="D38" s="1">
        <v>47.412215073678112</v>
      </c>
      <c r="E38" s="1" t="s">
        <v>135</v>
      </c>
      <c r="F38" s="1">
        <v>1</v>
      </c>
    </row>
    <row r="39" spans="1:6" x14ac:dyDescent="0.35">
      <c r="A39" s="1">
        <v>2038</v>
      </c>
      <c r="B39" s="1">
        <v>32.774867634191637</v>
      </c>
      <c r="C39" s="1">
        <v>40.867174549990217</v>
      </c>
      <c r="D39" s="1">
        <v>48.665255363788248</v>
      </c>
      <c r="E39" s="1" t="s">
        <v>135</v>
      </c>
      <c r="F39" s="1">
        <v>1</v>
      </c>
    </row>
    <row r="40" spans="1:6" x14ac:dyDescent="0.35">
      <c r="A40" s="1">
        <v>2039</v>
      </c>
      <c r="B40" s="1">
        <v>32.310987662267863</v>
      </c>
      <c r="C40" s="1">
        <v>41.28805914551161</v>
      </c>
      <c r="D40" s="1">
        <v>47.228306245542854</v>
      </c>
      <c r="E40" s="1" t="s">
        <v>135</v>
      </c>
      <c r="F40" s="1">
        <v>1</v>
      </c>
    </row>
    <row r="41" spans="1:6" x14ac:dyDescent="0.35">
      <c r="A41" s="1">
        <v>2040</v>
      </c>
      <c r="B41" s="1">
        <v>32.627393033831488</v>
      </c>
      <c r="C41" s="1">
        <v>41.650491611602867</v>
      </c>
      <c r="D41" s="1">
        <v>46.962247904458387</v>
      </c>
      <c r="E41" s="1" t="s">
        <v>135</v>
      </c>
      <c r="F41" s="1">
        <v>1</v>
      </c>
    </row>
    <row r="42" spans="1:6" x14ac:dyDescent="0.35">
      <c r="A42" s="1">
        <v>2041</v>
      </c>
      <c r="B42" s="1">
        <v>32.81079602974193</v>
      </c>
      <c r="C42" s="1">
        <v>39.496116840831696</v>
      </c>
      <c r="D42" s="1">
        <v>46.425979889961759</v>
      </c>
      <c r="E42" s="1" t="s">
        <v>135</v>
      </c>
      <c r="F42" s="1">
        <v>1</v>
      </c>
    </row>
    <row r="43" spans="1:6" x14ac:dyDescent="0.35">
      <c r="A43" s="1">
        <v>2042</v>
      </c>
      <c r="B43" s="1">
        <v>35.326873268439449</v>
      </c>
      <c r="C43" s="1">
        <v>39.279023095991533</v>
      </c>
      <c r="D43" s="1">
        <v>46.907938447547501</v>
      </c>
      <c r="E43" s="1" t="s">
        <v>135</v>
      </c>
      <c r="F43" s="1">
        <v>1</v>
      </c>
    </row>
    <row r="44" spans="1:6" x14ac:dyDescent="0.35">
      <c r="A44" s="1">
        <v>2043</v>
      </c>
      <c r="B44" s="1">
        <v>34.664760130491167</v>
      </c>
      <c r="C44" s="1">
        <v>38.88958492105904</v>
      </c>
      <c r="D44" s="1">
        <v>47.270584806489509</v>
      </c>
      <c r="E44" s="1" t="s">
        <v>135</v>
      </c>
      <c r="F44" s="1">
        <v>1</v>
      </c>
    </row>
    <row r="45" spans="1:6" x14ac:dyDescent="0.35">
      <c r="A45" s="1">
        <v>2044</v>
      </c>
      <c r="B45" s="1">
        <v>34.952201122339652</v>
      </c>
      <c r="C45" s="1">
        <v>39.764767785400572</v>
      </c>
      <c r="D45" s="1">
        <v>47.4185692751647</v>
      </c>
      <c r="E45" s="1" t="s">
        <v>135</v>
      </c>
      <c r="F45" s="1">
        <v>1</v>
      </c>
    </row>
    <row r="46" spans="1:6" x14ac:dyDescent="0.35">
      <c r="A46" s="1">
        <v>2045</v>
      </c>
      <c r="B46" s="1">
        <v>33.732616232361373</v>
      </c>
      <c r="C46" s="1">
        <v>40.726075483782957</v>
      </c>
      <c r="D46" s="1">
        <v>47.114107307318577</v>
      </c>
      <c r="E46" s="1" t="s">
        <v>135</v>
      </c>
      <c r="F46" s="1">
        <v>1</v>
      </c>
    </row>
    <row r="47" spans="1:6" x14ac:dyDescent="0.35">
      <c r="A47" s="1">
        <v>2046</v>
      </c>
      <c r="B47" s="1">
        <v>32.949908458105227</v>
      </c>
      <c r="C47" s="1">
        <v>40.606516446072</v>
      </c>
      <c r="D47" s="1">
        <v>47.376043214814302</v>
      </c>
      <c r="E47" s="1" t="s">
        <v>135</v>
      </c>
      <c r="F47" s="1">
        <v>1</v>
      </c>
    </row>
    <row r="48" spans="1:6" x14ac:dyDescent="0.35">
      <c r="A48" s="1">
        <v>2047</v>
      </c>
      <c r="B48" s="1">
        <v>32.973217906421567</v>
      </c>
      <c r="C48" s="1">
        <v>40.027757460456598</v>
      </c>
      <c r="D48" s="1">
        <v>48.419320819488597</v>
      </c>
      <c r="E48" s="1" t="s">
        <v>135</v>
      </c>
      <c r="F48" s="1">
        <v>1</v>
      </c>
    </row>
    <row r="49" spans="1:6" x14ac:dyDescent="0.35">
      <c r="A49" s="1">
        <v>2048</v>
      </c>
      <c r="B49" s="1">
        <v>31.709407585947648</v>
      </c>
      <c r="C49" s="1">
        <v>40.386765285371617</v>
      </c>
      <c r="D49" s="1">
        <v>49.698117315927817</v>
      </c>
      <c r="E49" s="1" t="s">
        <v>135</v>
      </c>
      <c r="F49" s="1">
        <v>1</v>
      </c>
    </row>
    <row r="50" spans="1:6" x14ac:dyDescent="0.35">
      <c r="A50" s="1">
        <v>2049</v>
      </c>
      <c r="B50" s="1">
        <v>32.246933658402831</v>
      </c>
      <c r="C50" s="1">
        <v>41.043441283024713</v>
      </c>
      <c r="D50" s="1">
        <v>47.769051117732182</v>
      </c>
      <c r="E50" s="1" t="s">
        <v>135</v>
      </c>
      <c r="F50" s="1">
        <v>1</v>
      </c>
    </row>
    <row r="51" spans="1:6" x14ac:dyDescent="0.35">
      <c r="A51" s="1">
        <v>2050</v>
      </c>
      <c r="B51" s="1">
        <v>32.245214853012243</v>
      </c>
      <c r="C51" s="1">
        <v>40.0683315125045</v>
      </c>
      <c r="D51" s="1">
        <v>48.112851351555392</v>
      </c>
      <c r="E51" s="1" t="s">
        <v>135</v>
      </c>
      <c r="F51" s="1">
        <v>1</v>
      </c>
    </row>
    <row r="52" spans="1:6" x14ac:dyDescent="0.35">
      <c r="A52" s="1">
        <v>2026</v>
      </c>
      <c r="B52" s="1">
        <v>25.82649357622228</v>
      </c>
      <c r="C52" s="1">
        <v>26.07545590764208</v>
      </c>
      <c r="D52" s="1">
        <v>27.07753006705407</v>
      </c>
      <c r="E52" s="1" t="s">
        <v>136</v>
      </c>
      <c r="F52" s="1">
        <v>1</v>
      </c>
    </row>
    <row r="53" spans="1:6" x14ac:dyDescent="0.35">
      <c r="A53" s="1">
        <v>2027</v>
      </c>
      <c r="B53" s="1">
        <v>26.266579054064199</v>
      </c>
      <c r="C53" s="1">
        <v>26.138354682233349</v>
      </c>
      <c r="D53" s="1">
        <v>28.137989782246699</v>
      </c>
      <c r="E53" s="1" t="s">
        <v>136</v>
      </c>
      <c r="F53" s="1">
        <v>1</v>
      </c>
    </row>
    <row r="54" spans="1:6" x14ac:dyDescent="0.35">
      <c r="A54" s="1">
        <v>2028</v>
      </c>
      <c r="B54" s="1">
        <v>26.59993775235861</v>
      </c>
      <c r="C54" s="1">
        <v>25.742164009687649</v>
      </c>
      <c r="D54" s="1">
        <v>28.45405894045669</v>
      </c>
      <c r="E54" s="1" t="s">
        <v>136</v>
      </c>
      <c r="F54" s="1">
        <v>1</v>
      </c>
    </row>
    <row r="55" spans="1:6" x14ac:dyDescent="0.35">
      <c r="A55" s="1">
        <v>2029</v>
      </c>
      <c r="B55" s="1">
        <v>25.352265689007041</v>
      </c>
      <c r="C55" s="1">
        <v>26.311752012608409</v>
      </c>
      <c r="D55" s="1">
        <v>29.015943599377589</v>
      </c>
      <c r="E55" s="1" t="s">
        <v>136</v>
      </c>
      <c r="F55" s="1">
        <v>1</v>
      </c>
    </row>
    <row r="56" spans="1:6" x14ac:dyDescent="0.35">
      <c r="A56" s="1">
        <v>2030</v>
      </c>
      <c r="B56" s="1">
        <v>25.837791407301101</v>
      </c>
      <c r="C56" s="1">
        <v>27.38406731136627</v>
      </c>
      <c r="D56" s="1">
        <v>28.465874855675779</v>
      </c>
      <c r="E56" s="1" t="s">
        <v>136</v>
      </c>
      <c r="F56" s="1">
        <v>1</v>
      </c>
    </row>
    <row r="57" spans="1:6" x14ac:dyDescent="0.35">
      <c r="A57" s="1">
        <v>2031</v>
      </c>
      <c r="B57" s="1">
        <v>24.930106959918611</v>
      </c>
      <c r="C57" s="1">
        <v>27.29927473128577</v>
      </c>
      <c r="D57" s="1">
        <v>29.484080176244689</v>
      </c>
      <c r="E57" s="1" t="s">
        <v>136</v>
      </c>
      <c r="F57" s="1">
        <v>1</v>
      </c>
    </row>
    <row r="58" spans="1:6" x14ac:dyDescent="0.35">
      <c r="A58" s="1">
        <v>2032</v>
      </c>
      <c r="B58" s="1">
        <v>24.02331257753892</v>
      </c>
      <c r="C58" s="1">
        <v>27.12267317997442</v>
      </c>
      <c r="D58" s="1">
        <v>29.828587733476851</v>
      </c>
      <c r="E58" s="1" t="s">
        <v>136</v>
      </c>
      <c r="F58" s="1">
        <v>1</v>
      </c>
    </row>
    <row r="59" spans="1:6" x14ac:dyDescent="0.35">
      <c r="A59" s="1">
        <v>2033</v>
      </c>
      <c r="B59" s="1">
        <v>25.335176234105781</v>
      </c>
      <c r="C59" s="1">
        <v>26.95894593851818</v>
      </c>
      <c r="D59" s="1">
        <v>30.946442958121398</v>
      </c>
      <c r="E59" s="1" t="s">
        <v>136</v>
      </c>
      <c r="F59" s="1">
        <v>1</v>
      </c>
    </row>
    <row r="60" spans="1:6" x14ac:dyDescent="0.35">
      <c r="A60" s="1">
        <v>2034</v>
      </c>
      <c r="B60" s="1">
        <v>24.496350328888209</v>
      </c>
      <c r="C60" s="1">
        <v>26.461482307288509</v>
      </c>
      <c r="D60" s="1">
        <v>31.625748962903529</v>
      </c>
      <c r="E60" s="1" t="s">
        <v>136</v>
      </c>
      <c r="F60" s="1">
        <v>1</v>
      </c>
    </row>
    <row r="61" spans="1:6" x14ac:dyDescent="0.35">
      <c r="A61" s="1">
        <v>2035</v>
      </c>
      <c r="B61" s="1">
        <v>22.935457919255938</v>
      </c>
      <c r="C61" s="1">
        <v>27.650927959023331</v>
      </c>
      <c r="D61" s="1">
        <v>30.852006264247919</v>
      </c>
      <c r="E61" s="1" t="s">
        <v>136</v>
      </c>
      <c r="F61" s="1">
        <v>1</v>
      </c>
    </row>
    <row r="62" spans="1:6" x14ac:dyDescent="0.35">
      <c r="A62" s="1">
        <v>2036</v>
      </c>
      <c r="B62" s="1">
        <v>22.58554069966376</v>
      </c>
      <c r="C62" s="1">
        <v>27.91132383172604</v>
      </c>
      <c r="D62" s="1">
        <v>30.719308589002171</v>
      </c>
      <c r="E62" s="1" t="s">
        <v>136</v>
      </c>
      <c r="F62" s="1">
        <v>1</v>
      </c>
    </row>
    <row r="63" spans="1:6" x14ac:dyDescent="0.35">
      <c r="A63" s="1">
        <v>2037</v>
      </c>
      <c r="B63" s="1">
        <v>22.33428462774091</v>
      </c>
      <c r="C63" s="1">
        <v>27.62869992660497</v>
      </c>
      <c r="D63" s="1">
        <v>32.018217711881213</v>
      </c>
      <c r="E63" s="1" t="s">
        <v>136</v>
      </c>
      <c r="F63" s="1">
        <v>1</v>
      </c>
    </row>
    <row r="64" spans="1:6" x14ac:dyDescent="0.35">
      <c r="A64" s="1">
        <v>2038</v>
      </c>
      <c r="B64" s="1">
        <v>36.823010131627342</v>
      </c>
      <c r="C64" s="1">
        <v>42.190184931614503</v>
      </c>
      <c r="D64" s="1">
        <v>52.789116591486128</v>
      </c>
      <c r="E64" s="1" t="s">
        <v>136</v>
      </c>
      <c r="F64" s="1">
        <v>1</v>
      </c>
    </row>
    <row r="65" spans="1:6" x14ac:dyDescent="0.35">
      <c r="A65" s="1">
        <v>2039</v>
      </c>
      <c r="B65" s="1">
        <v>32.949142961152532</v>
      </c>
      <c r="C65" s="1">
        <v>40.191904590101572</v>
      </c>
      <c r="D65" s="1">
        <v>48.114112657231857</v>
      </c>
      <c r="E65" s="1" t="s">
        <v>136</v>
      </c>
      <c r="F65" s="1">
        <v>1</v>
      </c>
    </row>
    <row r="66" spans="1:6" x14ac:dyDescent="0.35">
      <c r="A66" s="1">
        <v>2040</v>
      </c>
      <c r="B66" s="1">
        <v>32.61278481915668</v>
      </c>
      <c r="C66" s="1">
        <v>41.902555098964683</v>
      </c>
      <c r="D66" s="1">
        <v>48.334012207274007</v>
      </c>
      <c r="E66" s="1" t="s">
        <v>136</v>
      </c>
      <c r="F66" s="1">
        <v>1</v>
      </c>
    </row>
    <row r="67" spans="1:6" x14ac:dyDescent="0.35">
      <c r="A67" s="1">
        <v>2041</v>
      </c>
      <c r="B67" s="1">
        <v>32.014377197510157</v>
      </c>
      <c r="C67" s="1">
        <v>41.770081177060128</v>
      </c>
      <c r="D67" s="1">
        <v>48.682138200557652</v>
      </c>
      <c r="E67" s="1" t="s">
        <v>136</v>
      </c>
      <c r="F67" s="1">
        <v>1</v>
      </c>
    </row>
    <row r="68" spans="1:6" x14ac:dyDescent="0.35">
      <c r="A68" s="1">
        <v>2042</v>
      </c>
      <c r="B68" s="1">
        <v>31.546975887855641</v>
      </c>
      <c r="C68" s="1">
        <v>41.041512945140141</v>
      </c>
      <c r="D68" s="1">
        <v>49.235643758925399</v>
      </c>
      <c r="E68" s="1" t="s">
        <v>136</v>
      </c>
      <c r="F68" s="1">
        <v>1</v>
      </c>
    </row>
    <row r="69" spans="1:6" x14ac:dyDescent="0.35">
      <c r="A69" s="1">
        <v>2043</v>
      </c>
      <c r="B69" s="1">
        <v>32.402361427123928</v>
      </c>
      <c r="C69" s="1">
        <v>40.432545929226428</v>
      </c>
      <c r="D69" s="1">
        <v>48.444932998427802</v>
      </c>
      <c r="E69" s="1" t="s">
        <v>136</v>
      </c>
      <c r="F69" s="1">
        <v>1</v>
      </c>
    </row>
    <row r="70" spans="1:6" x14ac:dyDescent="0.35">
      <c r="A70" s="1">
        <v>2044</v>
      </c>
      <c r="B70" s="1">
        <v>32.52781302577867</v>
      </c>
      <c r="C70" s="1">
        <v>40.696431828971257</v>
      </c>
      <c r="D70" s="1">
        <v>47.617848568504911</v>
      </c>
      <c r="E70" s="1" t="s">
        <v>136</v>
      </c>
      <c r="F70" s="1">
        <v>1</v>
      </c>
    </row>
    <row r="71" spans="1:6" x14ac:dyDescent="0.35">
      <c r="A71" s="1">
        <v>2045</v>
      </c>
      <c r="B71" s="1">
        <v>32.457859508578323</v>
      </c>
      <c r="C71" s="1">
        <v>40.853373898993681</v>
      </c>
      <c r="D71" s="1">
        <v>48.429383051657368</v>
      </c>
      <c r="E71" s="1" t="s">
        <v>136</v>
      </c>
      <c r="F71" s="1">
        <v>1</v>
      </c>
    </row>
    <row r="72" spans="1:6" x14ac:dyDescent="0.35">
      <c r="A72" s="1">
        <v>2046</v>
      </c>
      <c r="B72" s="1">
        <v>31.912615905220068</v>
      </c>
      <c r="C72" s="1">
        <v>41.356636730438737</v>
      </c>
      <c r="D72" s="1">
        <v>48.929033174640978</v>
      </c>
      <c r="E72" s="1" t="s">
        <v>136</v>
      </c>
      <c r="F72" s="1">
        <v>1</v>
      </c>
    </row>
    <row r="73" spans="1:6" x14ac:dyDescent="0.35">
      <c r="A73" s="1">
        <v>2047</v>
      </c>
      <c r="B73" s="1">
        <v>32.940153144085038</v>
      </c>
      <c r="C73" s="1">
        <v>40.527577761088367</v>
      </c>
      <c r="D73" s="1">
        <v>48.497879585214378</v>
      </c>
      <c r="E73" s="1" t="s">
        <v>136</v>
      </c>
      <c r="F73" s="1">
        <v>1</v>
      </c>
    </row>
    <row r="74" spans="1:6" x14ac:dyDescent="0.35">
      <c r="A74" s="1">
        <v>2048</v>
      </c>
      <c r="B74" s="1">
        <v>31.45825201518797</v>
      </c>
      <c r="C74" s="1">
        <v>40.368979353551083</v>
      </c>
      <c r="D74" s="1">
        <v>51.073960217950713</v>
      </c>
      <c r="E74" s="1" t="s">
        <v>136</v>
      </c>
      <c r="F74" s="1">
        <v>1</v>
      </c>
    </row>
    <row r="75" spans="1:6" x14ac:dyDescent="0.35">
      <c r="A75" s="1">
        <v>2049</v>
      </c>
      <c r="B75" s="1">
        <v>31.413095675295569</v>
      </c>
      <c r="C75" s="1">
        <v>40.910116133137556</v>
      </c>
      <c r="D75" s="1">
        <v>49.209043529155252</v>
      </c>
      <c r="E75" s="1" t="s">
        <v>136</v>
      </c>
      <c r="F75" s="1">
        <v>1</v>
      </c>
    </row>
    <row r="76" spans="1:6" x14ac:dyDescent="0.35">
      <c r="A76" s="1">
        <v>2050</v>
      </c>
      <c r="B76" s="1">
        <v>33.305664471474429</v>
      </c>
      <c r="C76" s="1">
        <v>41.99164660244972</v>
      </c>
      <c r="D76" s="1">
        <v>47.127123269018988</v>
      </c>
      <c r="E76" s="1" t="s">
        <v>136</v>
      </c>
      <c r="F76" s="1">
        <v>1</v>
      </c>
    </row>
    <row r="77" spans="1:6" x14ac:dyDescent="0.35">
      <c r="A77" s="1">
        <v>2026</v>
      </c>
      <c r="B77" s="1">
        <v>25.807559494904329</v>
      </c>
      <c r="C77" s="1">
        <v>26.987249308998859</v>
      </c>
      <c r="D77" s="1">
        <v>27.75275731192129</v>
      </c>
      <c r="E77" s="1" t="s">
        <v>137</v>
      </c>
      <c r="F77" s="1">
        <v>1</v>
      </c>
    </row>
    <row r="78" spans="1:6" x14ac:dyDescent="0.35">
      <c r="A78" s="1">
        <v>2027</v>
      </c>
      <c r="B78" s="1">
        <v>25.80591715436967</v>
      </c>
      <c r="C78" s="1">
        <v>27.91802012971602</v>
      </c>
      <c r="D78" s="1">
        <v>28.905794068507099</v>
      </c>
      <c r="E78" s="1" t="s">
        <v>137</v>
      </c>
      <c r="F78" s="1">
        <v>1</v>
      </c>
    </row>
    <row r="79" spans="1:6" x14ac:dyDescent="0.35">
      <c r="A79" s="1">
        <v>2028</v>
      </c>
      <c r="B79" s="1">
        <v>25.478298675399639</v>
      </c>
      <c r="C79" s="1">
        <v>27.10534125829497</v>
      </c>
      <c r="D79" s="1">
        <v>27.881993741228449</v>
      </c>
      <c r="E79" s="1" t="s">
        <v>137</v>
      </c>
      <c r="F79" s="1">
        <v>1</v>
      </c>
    </row>
    <row r="80" spans="1:6" x14ac:dyDescent="0.35">
      <c r="A80" s="1">
        <v>2029</v>
      </c>
      <c r="B80" s="1">
        <v>25.283685442593178</v>
      </c>
      <c r="C80" s="1">
        <v>26.52527073913771</v>
      </c>
      <c r="D80" s="1">
        <v>28.354970642388182</v>
      </c>
      <c r="E80" s="1" t="s">
        <v>137</v>
      </c>
      <c r="F80" s="1">
        <v>1</v>
      </c>
    </row>
    <row r="81" spans="1:6" x14ac:dyDescent="0.35">
      <c r="A81" s="1">
        <v>2030</v>
      </c>
      <c r="B81" s="1">
        <v>25.05280953929493</v>
      </c>
      <c r="C81" s="1">
        <v>26.74997152772546</v>
      </c>
      <c r="D81" s="1">
        <v>30.57361632097836</v>
      </c>
      <c r="E81" s="1" t="s">
        <v>137</v>
      </c>
      <c r="F81" s="1">
        <v>1</v>
      </c>
    </row>
    <row r="82" spans="1:6" x14ac:dyDescent="0.35">
      <c r="A82" s="1">
        <v>2031</v>
      </c>
      <c r="B82" s="1">
        <v>25.08330458933413</v>
      </c>
      <c r="C82" s="1">
        <v>26.950741624610199</v>
      </c>
      <c r="D82" s="1">
        <v>30.635717085648601</v>
      </c>
      <c r="E82" s="1" t="s">
        <v>137</v>
      </c>
      <c r="F82" s="1">
        <v>1</v>
      </c>
    </row>
    <row r="83" spans="1:6" x14ac:dyDescent="0.35">
      <c r="A83" s="1">
        <v>2032</v>
      </c>
      <c r="B83" s="1">
        <v>25.031920644140271</v>
      </c>
      <c r="C83" s="1">
        <v>25.829807831554319</v>
      </c>
      <c r="D83" s="1">
        <v>30.30443110229292</v>
      </c>
      <c r="E83" s="1" t="s">
        <v>137</v>
      </c>
      <c r="F83" s="1">
        <v>1</v>
      </c>
    </row>
    <row r="84" spans="1:6" x14ac:dyDescent="0.35">
      <c r="A84" s="1">
        <v>2033</v>
      </c>
      <c r="B84" s="1">
        <v>24.145188183151319</v>
      </c>
      <c r="C84" s="1">
        <v>26.166962398027781</v>
      </c>
      <c r="D84" s="1">
        <v>30.26236456369265</v>
      </c>
      <c r="E84" s="1" t="s">
        <v>137</v>
      </c>
      <c r="F84" s="1">
        <v>1</v>
      </c>
    </row>
    <row r="85" spans="1:6" x14ac:dyDescent="0.35">
      <c r="A85" s="1">
        <v>2034</v>
      </c>
      <c r="B85" s="1">
        <v>24.013330462845861</v>
      </c>
      <c r="C85" s="1">
        <v>27.32648861820746</v>
      </c>
      <c r="D85" s="1">
        <v>29.943464773922031</v>
      </c>
      <c r="E85" s="1" t="s">
        <v>137</v>
      </c>
      <c r="F85" s="1">
        <v>1</v>
      </c>
    </row>
    <row r="86" spans="1:6" x14ac:dyDescent="0.35">
      <c r="A86" s="1">
        <v>2035</v>
      </c>
      <c r="B86" s="1">
        <v>23.387970992264091</v>
      </c>
      <c r="C86" s="1">
        <v>27.075015411974711</v>
      </c>
      <c r="D86" s="1">
        <v>30.436583755422799</v>
      </c>
      <c r="E86" s="1" t="s">
        <v>137</v>
      </c>
      <c r="F86" s="1">
        <v>1</v>
      </c>
    </row>
    <row r="87" spans="1:6" x14ac:dyDescent="0.35">
      <c r="A87" s="1">
        <v>2036</v>
      </c>
      <c r="B87" s="1">
        <v>23.21792005927054</v>
      </c>
      <c r="C87" s="1">
        <v>28.099557269609601</v>
      </c>
      <c r="D87" s="1">
        <v>31.523465817202069</v>
      </c>
      <c r="E87" s="1" t="s">
        <v>137</v>
      </c>
      <c r="F87" s="1">
        <v>1</v>
      </c>
    </row>
    <row r="88" spans="1:6" x14ac:dyDescent="0.35">
      <c r="A88" s="1">
        <v>2037</v>
      </c>
      <c r="B88" s="1">
        <v>23.692186708782611</v>
      </c>
      <c r="C88" s="1">
        <v>26.22773482046065</v>
      </c>
      <c r="D88" s="1">
        <v>30.95465529870496</v>
      </c>
      <c r="E88" s="1" t="s">
        <v>137</v>
      </c>
      <c r="F88" s="1">
        <v>1</v>
      </c>
    </row>
    <row r="89" spans="1:6" x14ac:dyDescent="0.35">
      <c r="A89" s="1">
        <v>2038</v>
      </c>
      <c r="B89" s="1">
        <v>23.938635663318031</v>
      </c>
      <c r="C89" s="1">
        <v>26.998015682984349</v>
      </c>
      <c r="D89" s="1">
        <v>31.77274469181754</v>
      </c>
      <c r="E89" s="1" t="s">
        <v>137</v>
      </c>
      <c r="F89" s="1">
        <v>1</v>
      </c>
    </row>
    <row r="90" spans="1:6" x14ac:dyDescent="0.35">
      <c r="A90" s="1">
        <v>2039</v>
      </c>
      <c r="B90" s="1">
        <v>23.493767269731769</v>
      </c>
      <c r="C90" s="1">
        <v>26.56505933376555</v>
      </c>
      <c r="D90" s="1">
        <v>30.8345842500845</v>
      </c>
      <c r="E90" s="1" t="s">
        <v>137</v>
      </c>
      <c r="F90" s="1">
        <v>1</v>
      </c>
    </row>
    <row r="91" spans="1:6" x14ac:dyDescent="0.35">
      <c r="A91" s="1">
        <v>2040</v>
      </c>
      <c r="B91" s="1">
        <v>23.34870715364837</v>
      </c>
      <c r="C91" s="1">
        <v>26.337711286814908</v>
      </c>
      <c r="D91" s="1">
        <v>30.66087913580505</v>
      </c>
      <c r="E91" s="1" t="s">
        <v>137</v>
      </c>
      <c r="F91" s="1">
        <v>1</v>
      </c>
    </row>
    <row r="92" spans="1:6" x14ac:dyDescent="0.35">
      <c r="A92" s="1">
        <v>2041</v>
      </c>
      <c r="B92" s="1">
        <v>22.74609976634423</v>
      </c>
      <c r="C92" s="1">
        <v>26.771795499309039</v>
      </c>
      <c r="D92" s="1">
        <v>30.31075857065812</v>
      </c>
      <c r="E92" s="1" t="s">
        <v>137</v>
      </c>
      <c r="F92" s="1">
        <v>1</v>
      </c>
    </row>
    <row r="93" spans="1:6" x14ac:dyDescent="0.35">
      <c r="A93" s="1">
        <v>2042</v>
      </c>
      <c r="B93" s="1">
        <v>34.281089145331798</v>
      </c>
      <c r="C93" s="1">
        <v>44.139228694544769</v>
      </c>
      <c r="D93" s="1">
        <v>49.973992386500257</v>
      </c>
      <c r="E93" s="1" t="s">
        <v>137</v>
      </c>
      <c r="F93" s="1">
        <v>1</v>
      </c>
    </row>
    <row r="94" spans="1:6" x14ac:dyDescent="0.35">
      <c r="A94" s="1">
        <v>2043</v>
      </c>
      <c r="B94" s="1">
        <v>32.735085926021107</v>
      </c>
      <c r="C94" s="1">
        <v>39.738788612049213</v>
      </c>
      <c r="D94" s="1">
        <v>47.398865575366052</v>
      </c>
      <c r="E94" s="1" t="s">
        <v>137</v>
      </c>
      <c r="F94" s="1">
        <v>1</v>
      </c>
    </row>
    <row r="95" spans="1:6" x14ac:dyDescent="0.35">
      <c r="A95" s="1">
        <v>2044</v>
      </c>
      <c r="B95" s="1">
        <v>32.088246488645702</v>
      </c>
      <c r="C95" s="1">
        <v>39.354080222645969</v>
      </c>
      <c r="D95" s="1">
        <v>47.547251637579819</v>
      </c>
      <c r="E95" s="1" t="s">
        <v>137</v>
      </c>
      <c r="F95" s="1">
        <v>1</v>
      </c>
    </row>
    <row r="96" spans="1:6" x14ac:dyDescent="0.35">
      <c r="A96" s="1">
        <v>2045</v>
      </c>
      <c r="B96" s="1">
        <v>32.217188916191851</v>
      </c>
      <c r="C96" s="1">
        <v>39.320550237821458</v>
      </c>
      <c r="D96" s="1">
        <v>47.241963434655602</v>
      </c>
      <c r="E96" s="1" t="s">
        <v>137</v>
      </c>
      <c r="F96" s="1">
        <v>1</v>
      </c>
    </row>
    <row r="97" spans="1:6" x14ac:dyDescent="0.35">
      <c r="A97" s="1">
        <v>2046</v>
      </c>
      <c r="B97" s="1">
        <v>32.98611012813722</v>
      </c>
      <c r="C97" s="1">
        <v>39.540828193018633</v>
      </c>
      <c r="D97" s="1">
        <v>47.504610171935788</v>
      </c>
      <c r="E97" s="1" t="s">
        <v>137</v>
      </c>
      <c r="F97" s="1">
        <v>1</v>
      </c>
    </row>
    <row r="98" spans="1:6" x14ac:dyDescent="0.35">
      <c r="A98" s="1">
        <v>2047</v>
      </c>
      <c r="B98" s="1">
        <v>32.980848723410539</v>
      </c>
      <c r="C98" s="1">
        <v>41.988083372048898</v>
      </c>
      <c r="D98" s="1">
        <v>48.55071897605108</v>
      </c>
      <c r="E98" s="1" t="s">
        <v>137</v>
      </c>
      <c r="F98" s="1">
        <v>1</v>
      </c>
    </row>
    <row r="99" spans="1:6" x14ac:dyDescent="0.35">
      <c r="A99" s="1">
        <v>2048</v>
      </c>
      <c r="B99" s="1">
        <v>32.44447183056613</v>
      </c>
      <c r="C99" s="1">
        <v>40.86022536427889</v>
      </c>
      <c r="D99" s="1">
        <v>49.83298581241673</v>
      </c>
      <c r="E99" s="1" t="s">
        <v>137</v>
      </c>
      <c r="F99" s="1">
        <v>1</v>
      </c>
    </row>
    <row r="100" spans="1:6" x14ac:dyDescent="0.35">
      <c r="A100" s="1">
        <v>2049</v>
      </c>
      <c r="B100" s="1">
        <v>32.98877849242195</v>
      </c>
      <c r="C100" s="1">
        <v>40.604697252284083</v>
      </c>
      <c r="D100" s="1">
        <v>47.89868460187396</v>
      </c>
      <c r="E100" s="1" t="s">
        <v>137</v>
      </c>
      <c r="F100" s="1">
        <v>1</v>
      </c>
    </row>
    <row r="101" spans="1:6" x14ac:dyDescent="0.35">
      <c r="A101" s="1">
        <v>2050</v>
      </c>
      <c r="B101" s="1">
        <v>33.456730339381771</v>
      </c>
      <c r="C101" s="1">
        <v>40.806165374912112</v>
      </c>
      <c r="D101" s="1">
        <v>48.243417825177097</v>
      </c>
      <c r="E101" s="1" t="s">
        <v>137</v>
      </c>
      <c r="F101" s="1">
        <v>1</v>
      </c>
    </row>
    <row r="102" spans="1:6" x14ac:dyDescent="0.35">
      <c r="A102" s="1">
        <v>2026</v>
      </c>
      <c r="B102" s="1">
        <v>26.402402474476421</v>
      </c>
      <c r="C102" s="1">
        <v>27.03901465515192</v>
      </c>
      <c r="D102" s="1">
        <v>27.75275731192129</v>
      </c>
      <c r="E102" s="1" t="s">
        <v>138</v>
      </c>
      <c r="F102" s="1">
        <v>1</v>
      </c>
    </row>
    <row r="103" spans="1:6" x14ac:dyDescent="0.35">
      <c r="A103" s="1">
        <v>2027</v>
      </c>
      <c r="B103" s="1">
        <v>25.34096196571171</v>
      </c>
      <c r="C103" s="1">
        <v>26.6858722512168</v>
      </c>
      <c r="D103" s="1">
        <v>28.905794068507099</v>
      </c>
      <c r="E103" s="1" t="s">
        <v>138</v>
      </c>
      <c r="F103" s="1">
        <v>1</v>
      </c>
    </row>
    <row r="104" spans="1:6" x14ac:dyDescent="0.35">
      <c r="A104" s="1">
        <v>2028</v>
      </c>
      <c r="B104" s="1">
        <v>24.716527114811669</v>
      </c>
      <c r="C104" s="1">
        <v>26.536075518638349</v>
      </c>
      <c r="D104" s="1">
        <v>27.881993741228449</v>
      </c>
      <c r="E104" s="1" t="s">
        <v>138</v>
      </c>
      <c r="F104" s="1">
        <v>1</v>
      </c>
    </row>
    <row r="105" spans="1:6" x14ac:dyDescent="0.35">
      <c r="A105" s="1">
        <v>2029</v>
      </c>
      <c r="B105" s="1">
        <v>24.993363581048818</v>
      </c>
      <c r="C105" s="1">
        <v>27.189086849200748</v>
      </c>
      <c r="D105" s="1">
        <v>28.354970642388182</v>
      </c>
      <c r="E105" s="1" t="s">
        <v>138</v>
      </c>
      <c r="F105" s="1">
        <v>1</v>
      </c>
    </row>
    <row r="106" spans="1:6" x14ac:dyDescent="0.35">
      <c r="A106" s="1">
        <v>2030</v>
      </c>
      <c r="B106" s="1">
        <v>24.84895929488129</v>
      </c>
      <c r="C106" s="1">
        <v>26.804464755270629</v>
      </c>
      <c r="D106" s="1">
        <v>30.57361632097836</v>
      </c>
      <c r="E106" s="1" t="s">
        <v>138</v>
      </c>
      <c r="F106" s="1">
        <v>1</v>
      </c>
    </row>
    <row r="107" spans="1:6" x14ac:dyDescent="0.35">
      <c r="A107" s="1">
        <v>2031</v>
      </c>
      <c r="B107" s="1">
        <v>23.9613208549689</v>
      </c>
      <c r="C107" s="1">
        <v>26.574967110046899</v>
      </c>
      <c r="D107" s="1">
        <v>30.635717085648601</v>
      </c>
      <c r="E107" s="1" t="s">
        <v>138</v>
      </c>
      <c r="F107" s="1">
        <v>1</v>
      </c>
    </row>
    <row r="108" spans="1:6" x14ac:dyDescent="0.35">
      <c r="A108" s="1">
        <v>2032</v>
      </c>
      <c r="B108" s="1">
        <v>24.079767716088341</v>
      </c>
      <c r="C108" s="1">
        <v>26.366138906806089</v>
      </c>
      <c r="D108" s="1">
        <v>30.30443110229292</v>
      </c>
      <c r="E108" s="1" t="s">
        <v>138</v>
      </c>
      <c r="F108" s="1">
        <v>1</v>
      </c>
    </row>
    <row r="109" spans="1:6" x14ac:dyDescent="0.35">
      <c r="A109" s="1">
        <v>2033</v>
      </c>
      <c r="B109" s="1">
        <v>23.107845211802001</v>
      </c>
      <c r="C109" s="1">
        <v>26.325775253145402</v>
      </c>
      <c r="D109" s="1">
        <v>30.26236456369265</v>
      </c>
      <c r="E109" s="1" t="s">
        <v>138</v>
      </c>
      <c r="F109" s="1">
        <v>1</v>
      </c>
    </row>
    <row r="110" spans="1:6" x14ac:dyDescent="0.35">
      <c r="A110" s="1">
        <v>2034</v>
      </c>
      <c r="B110" s="1">
        <v>22.877758270601031</v>
      </c>
      <c r="C110" s="1">
        <v>27.289001371572201</v>
      </c>
      <c r="D110" s="1">
        <v>29.943464773922031</v>
      </c>
      <c r="E110" s="1" t="s">
        <v>138</v>
      </c>
      <c r="F110" s="1">
        <v>1</v>
      </c>
    </row>
    <row r="111" spans="1:6" x14ac:dyDescent="0.35">
      <c r="A111" s="1">
        <v>2035</v>
      </c>
      <c r="B111" s="1">
        <v>23.769300760845049</v>
      </c>
      <c r="C111" s="1">
        <v>27.341631314727479</v>
      </c>
      <c r="D111" s="1">
        <v>30.436583755422799</v>
      </c>
      <c r="E111" s="1" t="s">
        <v>138</v>
      </c>
      <c r="F111" s="1">
        <v>1</v>
      </c>
    </row>
    <row r="112" spans="1:6" x14ac:dyDescent="0.35">
      <c r="A112" s="1">
        <v>2036</v>
      </c>
      <c r="B112" s="1">
        <v>23.232135989723471</v>
      </c>
      <c r="C112" s="1">
        <v>27.420997162519729</v>
      </c>
      <c r="D112" s="1">
        <v>31.523465817202069</v>
      </c>
      <c r="E112" s="1" t="s">
        <v>138</v>
      </c>
      <c r="F112" s="1">
        <v>1</v>
      </c>
    </row>
    <row r="113" spans="1:6" x14ac:dyDescent="0.35">
      <c r="A113" s="1">
        <v>2037</v>
      </c>
      <c r="B113" s="1">
        <v>23.07540284541038</v>
      </c>
      <c r="C113" s="1">
        <v>26.39726389722632</v>
      </c>
      <c r="D113" s="1">
        <v>30.95465529870496</v>
      </c>
      <c r="E113" s="1" t="s">
        <v>138</v>
      </c>
      <c r="F113" s="1">
        <v>1</v>
      </c>
    </row>
    <row r="114" spans="1:6" x14ac:dyDescent="0.35">
      <c r="A114" s="1">
        <v>2038</v>
      </c>
      <c r="B114" s="1">
        <v>22.324318067436629</v>
      </c>
      <c r="C114" s="1">
        <v>27.288504174109729</v>
      </c>
      <c r="D114" s="1">
        <v>31.77274469181754</v>
      </c>
      <c r="E114" s="1" t="s">
        <v>138</v>
      </c>
      <c r="F114" s="1">
        <v>1</v>
      </c>
    </row>
    <row r="115" spans="1:6" x14ac:dyDescent="0.35">
      <c r="A115" s="1">
        <v>2039</v>
      </c>
      <c r="B115" s="1">
        <v>22.269233055021509</v>
      </c>
      <c r="C115" s="1">
        <v>26.83963080022313</v>
      </c>
      <c r="D115" s="1">
        <v>30.8345842500845</v>
      </c>
      <c r="E115" s="1" t="s">
        <v>138</v>
      </c>
      <c r="F115" s="1">
        <v>1</v>
      </c>
    </row>
    <row r="116" spans="1:6" x14ac:dyDescent="0.35">
      <c r="A116" s="1">
        <v>2040</v>
      </c>
      <c r="B116" s="1">
        <v>22.753930496276471</v>
      </c>
      <c r="C116" s="1">
        <v>27.540379960212139</v>
      </c>
      <c r="D116" s="1">
        <v>30.66087913580505</v>
      </c>
      <c r="E116" s="1" t="s">
        <v>138</v>
      </c>
      <c r="F116" s="1">
        <v>1</v>
      </c>
    </row>
    <row r="117" spans="1:6" x14ac:dyDescent="0.35">
      <c r="A117" s="1">
        <v>2041</v>
      </c>
      <c r="B117" s="1">
        <v>22.846599370636099</v>
      </c>
      <c r="C117" s="1">
        <v>28.563795330830931</v>
      </c>
      <c r="D117" s="1">
        <v>30.31075857065812</v>
      </c>
      <c r="E117" s="1" t="s">
        <v>138</v>
      </c>
      <c r="F117" s="1">
        <v>1</v>
      </c>
    </row>
    <row r="118" spans="1:6" x14ac:dyDescent="0.35">
      <c r="A118" s="1">
        <v>2042</v>
      </c>
      <c r="B118" s="1">
        <v>23.79162676395552</v>
      </c>
      <c r="C118" s="1">
        <v>28.34541609027794</v>
      </c>
      <c r="D118" s="1">
        <v>30.62542138476929</v>
      </c>
      <c r="E118" s="1" t="s">
        <v>138</v>
      </c>
      <c r="F118" s="1">
        <v>1</v>
      </c>
    </row>
    <row r="119" spans="1:6" x14ac:dyDescent="0.35">
      <c r="A119" s="1">
        <v>2043</v>
      </c>
      <c r="B119" s="1">
        <v>24.184740517690571</v>
      </c>
      <c r="C119" s="1">
        <v>28.094473858153091</v>
      </c>
      <c r="D119" s="1">
        <v>30.8621872270514</v>
      </c>
      <c r="E119" s="1" t="s">
        <v>138</v>
      </c>
      <c r="F119" s="1">
        <v>1</v>
      </c>
    </row>
    <row r="120" spans="1:6" x14ac:dyDescent="0.35">
      <c r="A120" s="1">
        <v>2044</v>
      </c>
      <c r="B120" s="1">
        <v>23.03417163023299</v>
      </c>
      <c r="C120" s="1">
        <v>27.461345930150092</v>
      </c>
      <c r="D120" s="1">
        <v>30.958803852330011</v>
      </c>
      <c r="E120" s="1" t="s">
        <v>138</v>
      </c>
      <c r="F120" s="1">
        <v>1</v>
      </c>
    </row>
    <row r="121" spans="1:6" x14ac:dyDescent="0.35">
      <c r="A121" s="1">
        <v>2045</v>
      </c>
      <c r="B121" s="1">
        <v>22.470002905119969</v>
      </c>
      <c r="C121" s="1">
        <v>26.574121736412479</v>
      </c>
      <c r="D121" s="1">
        <v>30.760025641871032</v>
      </c>
      <c r="E121" s="1" t="s">
        <v>138</v>
      </c>
      <c r="F121" s="1">
        <v>1</v>
      </c>
    </row>
    <row r="122" spans="1:6" x14ac:dyDescent="0.35">
      <c r="A122" s="1">
        <v>2046</v>
      </c>
      <c r="B122" s="1">
        <v>21.361068075812199</v>
      </c>
      <c r="C122" s="1">
        <v>26.3732812505284</v>
      </c>
      <c r="D122" s="1">
        <v>30.93103928707372</v>
      </c>
      <c r="E122" s="1" t="s">
        <v>138</v>
      </c>
      <c r="F122" s="1">
        <v>1</v>
      </c>
    </row>
    <row r="123" spans="1:6" x14ac:dyDescent="0.35">
      <c r="A123" s="1">
        <v>2047</v>
      </c>
      <c r="B123" s="1">
        <v>35.218447301465027</v>
      </c>
      <c r="C123" s="1">
        <v>43.482189775903038</v>
      </c>
      <c r="D123" s="1">
        <v>50.996662397459772</v>
      </c>
      <c r="E123" s="1" t="s">
        <v>138</v>
      </c>
      <c r="F123" s="1">
        <v>1</v>
      </c>
    </row>
    <row r="124" spans="1:6" x14ac:dyDescent="0.35">
      <c r="A124" s="1">
        <v>2048</v>
      </c>
      <c r="B124" s="1">
        <v>32.293314649040262</v>
      </c>
      <c r="C124" s="1">
        <v>42.028299148646013</v>
      </c>
      <c r="D124" s="1">
        <v>49.804658980935251</v>
      </c>
      <c r="E124" s="1" t="s">
        <v>138</v>
      </c>
      <c r="F124" s="1">
        <v>1</v>
      </c>
    </row>
    <row r="125" spans="1:6" x14ac:dyDescent="0.35">
      <c r="A125" s="1">
        <v>2049</v>
      </c>
      <c r="B125" s="1">
        <v>31.36201780457419</v>
      </c>
      <c r="C125" s="1">
        <v>40.121880344827609</v>
      </c>
      <c r="D125" s="1">
        <v>47.8714572956072</v>
      </c>
      <c r="E125" s="1" t="s">
        <v>138</v>
      </c>
      <c r="F125" s="1">
        <v>1</v>
      </c>
    </row>
    <row r="126" spans="1:6" x14ac:dyDescent="0.35">
      <c r="A126" s="1">
        <v>2050</v>
      </c>
      <c r="B126" s="1">
        <v>31.483724104186191</v>
      </c>
      <c r="C126" s="1">
        <v>40.180134578044402</v>
      </c>
      <c r="D126" s="1">
        <v>48.215994560354723</v>
      </c>
      <c r="E126" s="1" t="s">
        <v>138</v>
      </c>
      <c r="F126" s="1">
        <v>1</v>
      </c>
    </row>
    <row r="127" spans="1:6" x14ac:dyDescent="0.35">
      <c r="A127" s="1">
        <v>2026</v>
      </c>
      <c r="B127" s="1">
        <v>26.597397347379179</v>
      </c>
      <c r="C127" s="1">
        <v>27.199140559425221</v>
      </c>
      <c r="D127" s="1">
        <v>28.096969940877361</v>
      </c>
      <c r="E127" s="1" t="s">
        <v>139</v>
      </c>
      <c r="F127" s="1">
        <v>2</v>
      </c>
    </row>
    <row r="128" spans="1:6" x14ac:dyDescent="0.35">
      <c r="A128" s="1">
        <v>2027</v>
      </c>
      <c r="B128" s="1">
        <v>26.033207446943919</v>
      </c>
      <c r="C128" s="1">
        <v>26.367071042326909</v>
      </c>
      <c r="D128" s="1">
        <v>28.35060595142415</v>
      </c>
      <c r="E128" s="1" t="s">
        <v>139</v>
      </c>
      <c r="F128" s="1">
        <v>2</v>
      </c>
    </row>
    <row r="129" spans="1:6" x14ac:dyDescent="0.35">
      <c r="A129" s="1">
        <v>2028</v>
      </c>
      <c r="B129" s="1">
        <v>25.265118786186861</v>
      </c>
      <c r="C129" s="1">
        <v>27.435772461880269</v>
      </c>
      <c r="D129" s="1">
        <v>27.575865169264269</v>
      </c>
      <c r="E129" s="1" t="s">
        <v>139</v>
      </c>
      <c r="F129" s="1">
        <v>2</v>
      </c>
    </row>
    <row r="130" spans="1:6" x14ac:dyDescent="0.35">
      <c r="A130" s="1">
        <v>2029</v>
      </c>
      <c r="B130" s="1">
        <v>41.655138749551668</v>
      </c>
      <c r="C130" s="1">
        <v>45.233941635990817</v>
      </c>
      <c r="D130" s="1">
        <v>45.464915462524793</v>
      </c>
      <c r="E130" s="1" t="s">
        <v>139</v>
      </c>
      <c r="F130" s="1">
        <v>2</v>
      </c>
    </row>
    <row r="131" spans="1:6" x14ac:dyDescent="0.35">
      <c r="A131" s="1">
        <v>2030</v>
      </c>
      <c r="B131" s="1">
        <v>36.389344441867742</v>
      </c>
      <c r="C131" s="1">
        <v>42.882914051938428</v>
      </c>
      <c r="D131" s="1">
        <v>44.206551872756542</v>
      </c>
      <c r="E131" s="1" t="s">
        <v>139</v>
      </c>
      <c r="F131" s="1">
        <v>2</v>
      </c>
    </row>
    <row r="132" spans="1:6" x14ac:dyDescent="0.35">
      <c r="A132" s="1">
        <v>2031</v>
      </c>
      <c r="B132" s="1">
        <v>35.984819947347823</v>
      </c>
      <c r="C132" s="1">
        <v>42.317262519000863</v>
      </c>
      <c r="D132" s="1">
        <v>41.656888237698112</v>
      </c>
      <c r="E132" s="1" t="s">
        <v>139</v>
      </c>
      <c r="F132" s="1">
        <v>2</v>
      </c>
    </row>
    <row r="133" spans="1:6" x14ac:dyDescent="0.35">
      <c r="A133" s="1">
        <v>2032</v>
      </c>
      <c r="B133" s="1">
        <v>35.434006873734198</v>
      </c>
      <c r="C133" s="1">
        <v>40.687833505929277</v>
      </c>
      <c r="D133" s="1">
        <v>44.34688599442439</v>
      </c>
      <c r="E133" s="1" t="s">
        <v>139</v>
      </c>
      <c r="F133" s="1">
        <v>2</v>
      </c>
    </row>
    <row r="134" spans="1:6" x14ac:dyDescent="0.35">
      <c r="A134" s="1">
        <v>2033</v>
      </c>
      <c r="B134" s="1">
        <v>34.035407166032513</v>
      </c>
      <c r="C134" s="1">
        <v>40.646023370311163</v>
      </c>
      <c r="D134" s="1">
        <v>44.65831810795374</v>
      </c>
      <c r="E134" s="1" t="s">
        <v>139</v>
      </c>
      <c r="F134" s="1">
        <v>2</v>
      </c>
    </row>
    <row r="135" spans="1:6" x14ac:dyDescent="0.35">
      <c r="A135" s="1">
        <v>2034</v>
      </c>
      <c r="B135" s="1">
        <v>35.398686952043782</v>
      </c>
      <c r="C135" s="1">
        <v>39.220107245910732</v>
      </c>
      <c r="D135" s="1">
        <v>45.036768415739623</v>
      </c>
      <c r="E135" s="1" t="s">
        <v>139</v>
      </c>
      <c r="F135" s="1">
        <v>2</v>
      </c>
    </row>
    <row r="136" spans="1:6" x14ac:dyDescent="0.35">
      <c r="A136" s="1">
        <v>2035</v>
      </c>
      <c r="B136" s="1">
        <v>34.940497182212241</v>
      </c>
      <c r="C136" s="1">
        <v>39.098443677987518</v>
      </c>
      <c r="D136" s="1">
        <v>47.51858340805984</v>
      </c>
      <c r="E136" s="1" t="s">
        <v>139</v>
      </c>
      <c r="F136" s="1">
        <v>2</v>
      </c>
    </row>
    <row r="137" spans="1:6" x14ac:dyDescent="0.35">
      <c r="A137" s="1">
        <v>2036</v>
      </c>
      <c r="B137" s="1">
        <v>33.93516666998093</v>
      </c>
      <c r="C137" s="1">
        <v>39.085126826496882</v>
      </c>
      <c r="D137" s="1">
        <v>46.517238714851423</v>
      </c>
      <c r="E137" s="1" t="s">
        <v>139</v>
      </c>
      <c r="F137" s="1">
        <v>2</v>
      </c>
    </row>
    <row r="138" spans="1:6" x14ac:dyDescent="0.35">
      <c r="A138" s="1">
        <v>2037</v>
      </c>
      <c r="B138" s="1">
        <v>50.037987703375563</v>
      </c>
      <c r="C138" s="1">
        <v>64.440479966857595</v>
      </c>
      <c r="D138" s="1">
        <v>76.693960923411026</v>
      </c>
      <c r="E138" s="1" t="s">
        <v>139</v>
      </c>
      <c r="F138" s="1">
        <v>2</v>
      </c>
    </row>
    <row r="139" spans="1:6" x14ac:dyDescent="0.35">
      <c r="A139" s="1">
        <v>2038</v>
      </c>
      <c r="B139" s="1">
        <v>47.833001667516328</v>
      </c>
      <c r="C139" s="1">
        <v>58.418390593554967</v>
      </c>
      <c r="D139" s="1">
        <v>72.742045627355338</v>
      </c>
      <c r="E139" s="1" t="s">
        <v>139</v>
      </c>
      <c r="F139" s="1">
        <v>2</v>
      </c>
    </row>
    <row r="140" spans="1:6" x14ac:dyDescent="0.35">
      <c r="A140" s="1">
        <v>2039</v>
      </c>
      <c r="B140" s="1">
        <v>47.739519138080801</v>
      </c>
      <c r="C140" s="1">
        <v>57.687322551639781</v>
      </c>
      <c r="D140" s="1">
        <v>71.82883647962484</v>
      </c>
      <c r="E140" s="1" t="s">
        <v>139</v>
      </c>
      <c r="F140" s="1">
        <v>2</v>
      </c>
    </row>
    <row r="141" spans="1:6" x14ac:dyDescent="0.35">
      <c r="A141" s="1">
        <v>2040</v>
      </c>
      <c r="B141" s="1">
        <v>47.10724296110439</v>
      </c>
      <c r="C141" s="1">
        <v>59.870189369185397</v>
      </c>
      <c r="D141" s="1">
        <v>72.488309261819083</v>
      </c>
      <c r="E141" s="1" t="s">
        <v>139</v>
      </c>
      <c r="F141" s="1">
        <v>2</v>
      </c>
    </row>
    <row r="142" spans="1:6" x14ac:dyDescent="0.35">
      <c r="A142" s="1">
        <v>2041</v>
      </c>
      <c r="B142" s="1">
        <v>47.781521492610061</v>
      </c>
      <c r="C142" s="1">
        <v>59.377863203622823</v>
      </c>
      <c r="D142" s="1">
        <v>71.944531229673558</v>
      </c>
      <c r="E142" s="1" t="s">
        <v>139</v>
      </c>
      <c r="F142" s="1">
        <v>2</v>
      </c>
    </row>
    <row r="143" spans="1:6" x14ac:dyDescent="0.35">
      <c r="A143" s="1">
        <v>2042</v>
      </c>
      <c r="B143" s="1">
        <v>48.323724712454407</v>
      </c>
      <c r="C143" s="1">
        <v>57.953670358647408</v>
      </c>
      <c r="D143" s="1">
        <v>71.056824602278468</v>
      </c>
      <c r="E143" s="1" t="s">
        <v>139</v>
      </c>
      <c r="F143" s="1">
        <v>2</v>
      </c>
    </row>
    <row r="144" spans="1:6" x14ac:dyDescent="0.35">
      <c r="A144" s="1">
        <v>2043</v>
      </c>
      <c r="B144" s="1">
        <v>45.995294240963432</v>
      </c>
      <c r="C144" s="1">
        <v>59.165219577471461</v>
      </c>
      <c r="D144" s="1">
        <v>73.139551061957107</v>
      </c>
      <c r="E144" s="1" t="s">
        <v>139</v>
      </c>
      <c r="F144" s="1">
        <v>2</v>
      </c>
    </row>
    <row r="145" spans="1:6" x14ac:dyDescent="0.35">
      <c r="A145" s="1">
        <v>2044</v>
      </c>
      <c r="B145" s="1">
        <v>46.263109296452747</v>
      </c>
      <c r="C145" s="1">
        <v>59.168255966293863</v>
      </c>
      <c r="D145" s="1">
        <v>74.180928582430354</v>
      </c>
      <c r="E145" s="1" t="s">
        <v>139</v>
      </c>
      <c r="F145" s="1">
        <v>2</v>
      </c>
    </row>
    <row r="146" spans="1:6" x14ac:dyDescent="0.35">
      <c r="A146" s="1">
        <v>2045</v>
      </c>
      <c r="B146" s="1">
        <v>47.023110994125481</v>
      </c>
      <c r="C146" s="1">
        <v>61.949344791541328</v>
      </c>
      <c r="D146" s="1">
        <v>72.593230858845445</v>
      </c>
      <c r="E146" s="1" t="s">
        <v>139</v>
      </c>
      <c r="F146" s="1">
        <v>2</v>
      </c>
    </row>
    <row r="147" spans="1:6" x14ac:dyDescent="0.35">
      <c r="A147" s="1">
        <v>2046</v>
      </c>
      <c r="B147" s="1">
        <v>46.628032708468247</v>
      </c>
      <c r="C147" s="1">
        <v>59.714060566342397</v>
      </c>
      <c r="D147" s="1">
        <v>73.427757743092485</v>
      </c>
      <c r="E147" s="1" t="s">
        <v>139</v>
      </c>
      <c r="F147" s="1">
        <v>2</v>
      </c>
    </row>
    <row r="148" spans="1:6" x14ac:dyDescent="0.35">
      <c r="A148" s="1">
        <v>2047</v>
      </c>
      <c r="B148" s="1">
        <v>46.902658632154584</v>
      </c>
      <c r="C148" s="1">
        <v>61.575995754297132</v>
      </c>
      <c r="D148" s="1">
        <v>70.612454845472286</v>
      </c>
      <c r="E148" s="1" t="s">
        <v>139</v>
      </c>
      <c r="F148" s="1">
        <v>2</v>
      </c>
    </row>
    <row r="149" spans="1:6" x14ac:dyDescent="0.35">
      <c r="A149" s="1">
        <v>2048</v>
      </c>
      <c r="B149" s="1">
        <v>47.311194015424419</v>
      </c>
      <c r="C149" s="1">
        <v>60.443247063993283</v>
      </c>
      <c r="D149" s="1">
        <v>73.439648899004155</v>
      </c>
      <c r="E149" s="1" t="s">
        <v>139</v>
      </c>
      <c r="F149" s="1">
        <v>2</v>
      </c>
    </row>
    <row r="150" spans="1:6" x14ac:dyDescent="0.35">
      <c r="A150" s="1">
        <v>2049</v>
      </c>
      <c r="B150" s="1">
        <v>47.37515119432242</v>
      </c>
      <c r="C150" s="1">
        <v>58.980212134072431</v>
      </c>
      <c r="D150" s="1">
        <v>74.572662854004918</v>
      </c>
      <c r="E150" s="1" t="s">
        <v>139</v>
      </c>
      <c r="F150" s="1">
        <v>2</v>
      </c>
    </row>
    <row r="151" spans="1:6" x14ac:dyDescent="0.35">
      <c r="A151" s="1">
        <v>2050</v>
      </c>
      <c r="B151" s="1">
        <v>47.545378256734693</v>
      </c>
      <c r="C151" s="1">
        <v>57.169515573390619</v>
      </c>
      <c r="D151" s="1">
        <v>77.142947180325379</v>
      </c>
      <c r="E151" s="1" t="s">
        <v>139</v>
      </c>
      <c r="F151" s="1">
        <v>2</v>
      </c>
    </row>
    <row r="152" spans="1:6" x14ac:dyDescent="0.35">
      <c r="A152" s="1">
        <v>2026</v>
      </c>
      <c r="B152" s="1">
        <v>26.02743052398721</v>
      </c>
      <c r="C152" s="1">
        <v>26.07545590764208</v>
      </c>
      <c r="D152" s="1">
        <v>26.369336762808711</v>
      </c>
      <c r="E152" s="1" t="s">
        <v>140</v>
      </c>
      <c r="F152" s="1">
        <v>2</v>
      </c>
    </row>
    <row r="153" spans="1:6" x14ac:dyDescent="0.35">
      <c r="A153" s="1">
        <v>2027</v>
      </c>
      <c r="B153" s="1">
        <v>25.809466557747822</v>
      </c>
      <c r="C153" s="1">
        <v>26.138354682233349</v>
      </c>
      <c r="D153" s="1">
        <v>26.643733144495361</v>
      </c>
      <c r="E153" s="1" t="s">
        <v>140</v>
      </c>
      <c r="F153" s="1">
        <v>2</v>
      </c>
    </row>
    <row r="154" spans="1:6" x14ac:dyDescent="0.35">
      <c r="A154" s="1">
        <v>2028</v>
      </c>
      <c r="B154" s="1">
        <v>25.782421330839231</v>
      </c>
      <c r="C154" s="1">
        <v>25.742164009687649</v>
      </c>
      <c r="D154" s="1">
        <v>27.906946076701889</v>
      </c>
      <c r="E154" s="1" t="s">
        <v>140</v>
      </c>
      <c r="F154" s="1">
        <v>2</v>
      </c>
    </row>
    <row r="155" spans="1:6" x14ac:dyDescent="0.35">
      <c r="A155" s="1">
        <v>2029</v>
      </c>
      <c r="B155" s="1">
        <v>25.55108042347182</v>
      </c>
      <c r="C155" s="1">
        <v>26.311752012608409</v>
      </c>
      <c r="D155" s="1">
        <v>28.951358606040682</v>
      </c>
      <c r="E155" s="1" t="s">
        <v>140</v>
      </c>
      <c r="F155" s="1">
        <v>2</v>
      </c>
    </row>
    <row r="156" spans="1:6" x14ac:dyDescent="0.35">
      <c r="A156" s="1">
        <v>2030</v>
      </c>
      <c r="B156" s="1">
        <v>35.962155756380838</v>
      </c>
      <c r="C156" s="1">
        <v>43.380745212574389</v>
      </c>
      <c r="D156" s="1">
        <v>47.732720749446479</v>
      </c>
      <c r="E156" s="1" t="s">
        <v>140</v>
      </c>
      <c r="F156" s="1">
        <v>2</v>
      </c>
    </row>
    <row r="157" spans="1:6" x14ac:dyDescent="0.35">
      <c r="A157" s="1">
        <v>2031</v>
      </c>
      <c r="B157" s="1">
        <v>35.479512022000428</v>
      </c>
      <c r="C157" s="1">
        <v>40.443508433589088</v>
      </c>
      <c r="D157" s="1">
        <v>45.187606870996412</v>
      </c>
      <c r="E157" s="1" t="s">
        <v>140</v>
      </c>
      <c r="F157" s="1">
        <v>2</v>
      </c>
    </row>
    <row r="158" spans="1:6" x14ac:dyDescent="0.35">
      <c r="A158" s="1">
        <v>2032</v>
      </c>
      <c r="B158" s="1">
        <v>35.306510081405513</v>
      </c>
      <c r="C158" s="1">
        <v>40.181875610001299</v>
      </c>
      <c r="D158" s="1">
        <v>44.753759373147183</v>
      </c>
      <c r="E158" s="1" t="s">
        <v>140</v>
      </c>
      <c r="F158" s="1">
        <v>2</v>
      </c>
    </row>
    <row r="159" spans="1:6" x14ac:dyDescent="0.35">
      <c r="A159" s="1">
        <v>2033</v>
      </c>
      <c r="B159" s="1">
        <v>34.709137976144021</v>
      </c>
      <c r="C159" s="1">
        <v>39.939315903348913</v>
      </c>
      <c r="D159" s="1">
        <v>45.082651292834562</v>
      </c>
      <c r="E159" s="1" t="s">
        <v>140</v>
      </c>
      <c r="F159" s="1">
        <v>2</v>
      </c>
    </row>
    <row r="160" spans="1:6" x14ac:dyDescent="0.35">
      <c r="A160" s="1">
        <v>2034</v>
      </c>
      <c r="B160" s="1">
        <v>34.082858882197812</v>
      </c>
      <c r="C160" s="1">
        <v>39.202330222847152</v>
      </c>
      <c r="D160" s="1">
        <v>45.014685231130713</v>
      </c>
      <c r="E160" s="1" t="s">
        <v>140</v>
      </c>
      <c r="F160" s="1">
        <v>2</v>
      </c>
    </row>
    <row r="161" spans="1:6" x14ac:dyDescent="0.35">
      <c r="A161" s="1">
        <v>2035</v>
      </c>
      <c r="B161" s="1">
        <v>33.460651092765502</v>
      </c>
      <c r="C161" s="1">
        <v>40.964477961962842</v>
      </c>
      <c r="D161" s="1">
        <v>46.648870782705067</v>
      </c>
      <c r="E161" s="1" t="s">
        <v>140</v>
      </c>
      <c r="F161" s="1">
        <v>2</v>
      </c>
    </row>
    <row r="162" spans="1:6" x14ac:dyDescent="0.35">
      <c r="A162" s="1">
        <v>2036</v>
      </c>
      <c r="B162" s="1">
        <v>32.804790814233748</v>
      </c>
      <c r="C162" s="1">
        <v>41.350250945948183</v>
      </c>
      <c r="D162" s="1">
        <v>46.336787529968582</v>
      </c>
      <c r="E162" s="1" t="s">
        <v>140</v>
      </c>
      <c r="F162" s="1">
        <v>2</v>
      </c>
    </row>
    <row r="163" spans="1:6" x14ac:dyDescent="0.35">
      <c r="A163" s="1">
        <v>2037</v>
      </c>
      <c r="B163" s="1">
        <v>32.732893269578753</v>
      </c>
      <c r="C163" s="1">
        <v>40.931547430825177</v>
      </c>
      <c r="D163" s="1">
        <v>47.313220599987247</v>
      </c>
      <c r="E163" s="1" t="s">
        <v>140</v>
      </c>
      <c r="F163" s="1">
        <v>2</v>
      </c>
    </row>
    <row r="164" spans="1:6" x14ac:dyDescent="0.35">
      <c r="A164" s="1">
        <v>2038</v>
      </c>
      <c r="B164" s="1">
        <v>32.698474091211217</v>
      </c>
      <c r="C164" s="1">
        <v>39.977268644864488</v>
      </c>
      <c r="D164" s="1">
        <v>47.120519398110218</v>
      </c>
      <c r="E164" s="1" t="s">
        <v>140</v>
      </c>
      <c r="F164" s="1">
        <v>2</v>
      </c>
    </row>
    <row r="165" spans="1:6" x14ac:dyDescent="0.35">
      <c r="A165" s="1">
        <v>2039</v>
      </c>
      <c r="B165" s="1">
        <v>32.239943260544607</v>
      </c>
      <c r="C165" s="1">
        <v>40.397337094652883</v>
      </c>
      <c r="D165" s="1">
        <v>47.630033898346483</v>
      </c>
      <c r="E165" s="1" t="s">
        <v>140</v>
      </c>
      <c r="F165" s="1">
        <v>2</v>
      </c>
    </row>
    <row r="166" spans="1:6" x14ac:dyDescent="0.35">
      <c r="A166" s="1">
        <v>2040</v>
      </c>
      <c r="B166" s="1">
        <v>33.953035558739302</v>
      </c>
      <c r="C166" s="1">
        <v>42.116731235399861</v>
      </c>
      <c r="D166" s="1">
        <v>46.317806555379448</v>
      </c>
      <c r="E166" s="1" t="s">
        <v>140</v>
      </c>
      <c r="F166" s="1">
        <v>2</v>
      </c>
    </row>
    <row r="167" spans="1:6" x14ac:dyDescent="0.35">
      <c r="A167" s="1">
        <v>2041</v>
      </c>
      <c r="B167" s="1">
        <v>35.584522001908688</v>
      </c>
      <c r="C167" s="1">
        <v>41.983580200782143</v>
      </c>
      <c r="D167" s="1">
        <v>47.153113834850537</v>
      </c>
      <c r="E167" s="1" t="s">
        <v>140</v>
      </c>
      <c r="F167" s="1">
        <v>2</v>
      </c>
    </row>
    <row r="168" spans="1:6" x14ac:dyDescent="0.35">
      <c r="A168" s="1">
        <v>2042</v>
      </c>
      <c r="B168" s="1">
        <v>35.252110853163423</v>
      </c>
      <c r="C168" s="1">
        <v>41.251288044899191</v>
      </c>
      <c r="D168" s="1">
        <v>49.558876969802142</v>
      </c>
      <c r="E168" s="1" t="s">
        <v>140</v>
      </c>
      <c r="F168" s="1">
        <v>2</v>
      </c>
    </row>
    <row r="169" spans="1:6" x14ac:dyDescent="0.35">
      <c r="A169" s="1">
        <v>2043</v>
      </c>
      <c r="B169" s="1">
        <v>33.764073968649043</v>
      </c>
      <c r="C169" s="1">
        <v>40.639208421594908</v>
      </c>
      <c r="D169" s="1">
        <v>47.538792416851052</v>
      </c>
      <c r="E169" s="1" t="s">
        <v>140</v>
      </c>
      <c r="F169" s="1">
        <v>2</v>
      </c>
    </row>
    <row r="170" spans="1:6" x14ac:dyDescent="0.35">
      <c r="A170" s="1">
        <v>2044</v>
      </c>
      <c r="B170" s="1">
        <v>33.757722012062658</v>
      </c>
      <c r="C170" s="1">
        <v>40.904443118861352</v>
      </c>
      <c r="D170" s="1">
        <v>46.925639935274717</v>
      </c>
      <c r="E170" s="1" t="s">
        <v>140</v>
      </c>
      <c r="F170" s="1">
        <v>2</v>
      </c>
    </row>
    <row r="171" spans="1:6" x14ac:dyDescent="0.35">
      <c r="A171" s="1">
        <v>2045</v>
      </c>
      <c r="B171" s="1">
        <v>33.330428497360813</v>
      </c>
      <c r="C171" s="1">
        <v>41.062187365412683</v>
      </c>
      <c r="D171" s="1">
        <v>47.573534799181388</v>
      </c>
      <c r="E171" s="1" t="s">
        <v>140</v>
      </c>
      <c r="F171" s="1">
        <v>2</v>
      </c>
    </row>
    <row r="172" spans="1:6" x14ac:dyDescent="0.35">
      <c r="A172" s="1">
        <v>2046</v>
      </c>
      <c r="B172" s="1">
        <v>32.447887580106851</v>
      </c>
      <c r="C172" s="1">
        <v>41.568022519442742</v>
      </c>
      <c r="D172" s="1">
        <v>47.542195328544139</v>
      </c>
      <c r="E172" s="1" t="s">
        <v>140</v>
      </c>
      <c r="F172" s="1">
        <v>2</v>
      </c>
    </row>
    <row r="173" spans="1:6" x14ac:dyDescent="0.35">
      <c r="A173" s="1">
        <v>2047</v>
      </c>
      <c r="B173" s="1">
        <v>50.362422125037597</v>
      </c>
      <c r="C173" s="1">
        <v>64.593668534308293</v>
      </c>
      <c r="D173" s="1">
        <v>78.383828693950989</v>
      </c>
      <c r="E173" s="1" t="s">
        <v>140</v>
      </c>
      <c r="F173" s="1">
        <v>2</v>
      </c>
    </row>
    <row r="174" spans="1:6" x14ac:dyDescent="0.35">
      <c r="A174" s="1">
        <v>2048</v>
      </c>
      <c r="B174" s="1">
        <v>45.097280936290623</v>
      </c>
      <c r="C174" s="1">
        <v>60.141563183118777</v>
      </c>
      <c r="D174" s="1">
        <v>75.28795011529995</v>
      </c>
      <c r="E174" s="1" t="s">
        <v>140</v>
      </c>
      <c r="F174" s="1">
        <v>2</v>
      </c>
    </row>
    <row r="175" spans="1:6" x14ac:dyDescent="0.35">
      <c r="A175" s="1">
        <v>2049</v>
      </c>
      <c r="B175" s="1">
        <v>43.8027203929976</v>
      </c>
      <c r="C175" s="1">
        <v>60.947746850413971</v>
      </c>
      <c r="D175" s="1">
        <v>74.845602058084282</v>
      </c>
      <c r="E175" s="1" t="s">
        <v>140</v>
      </c>
      <c r="F175" s="1">
        <v>2</v>
      </c>
    </row>
    <row r="176" spans="1:6" x14ac:dyDescent="0.35">
      <c r="A176" s="1">
        <v>2050</v>
      </c>
      <c r="B176" s="1">
        <v>43.666976881054246</v>
      </c>
      <c r="C176" s="1">
        <v>62.559007132348349</v>
      </c>
      <c r="D176" s="1">
        <v>71.077181430479726</v>
      </c>
      <c r="E176" s="1" t="s">
        <v>140</v>
      </c>
      <c r="F176" s="1">
        <v>2</v>
      </c>
    </row>
    <row r="177" spans="1:6" x14ac:dyDescent="0.35">
      <c r="A177" s="1">
        <v>2026</v>
      </c>
      <c r="B177" s="1">
        <v>25.562124991584682</v>
      </c>
      <c r="C177" s="1">
        <v>26.419522355700082</v>
      </c>
      <c r="D177" s="1">
        <v>27.451855108356021</v>
      </c>
      <c r="E177" s="1" t="s">
        <v>141</v>
      </c>
      <c r="F177" s="1">
        <v>2</v>
      </c>
    </row>
    <row r="178" spans="1:6" x14ac:dyDescent="0.35">
      <c r="A178" s="1">
        <v>2027</v>
      </c>
      <c r="B178" s="1">
        <v>26.222911576648659</v>
      </c>
      <c r="C178" s="1">
        <v>25.635835020383411</v>
      </c>
      <c r="D178" s="1">
        <v>27.637884583417438</v>
      </c>
      <c r="E178" s="1" t="s">
        <v>141</v>
      </c>
      <c r="F178" s="1">
        <v>2</v>
      </c>
    </row>
    <row r="179" spans="1:6" x14ac:dyDescent="0.35">
      <c r="A179" s="1">
        <v>2028</v>
      </c>
      <c r="B179" s="1">
        <v>25.692388242327251</v>
      </c>
      <c r="C179" s="1">
        <v>25.889701548106991</v>
      </c>
      <c r="D179" s="1">
        <v>28.030131880790879</v>
      </c>
      <c r="E179" s="1" t="s">
        <v>141</v>
      </c>
      <c r="F179" s="1">
        <v>2</v>
      </c>
    </row>
    <row r="180" spans="1:6" x14ac:dyDescent="0.35">
      <c r="A180" s="1">
        <v>2029</v>
      </c>
      <c r="B180" s="1">
        <v>24.900767333343872</v>
      </c>
      <c r="C180" s="1">
        <v>26.27084675253322</v>
      </c>
      <c r="D180" s="1">
        <v>28.65050152794597</v>
      </c>
      <c r="E180" s="1" t="s">
        <v>141</v>
      </c>
      <c r="F180" s="1">
        <v>2</v>
      </c>
    </row>
    <row r="181" spans="1:6" x14ac:dyDescent="0.35">
      <c r="A181" s="1">
        <v>2030</v>
      </c>
      <c r="B181" s="1">
        <v>23.148839274782251</v>
      </c>
      <c r="C181" s="1">
        <v>27.188456818809641</v>
      </c>
      <c r="D181" s="1">
        <v>28.5500739662344</v>
      </c>
      <c r="E181" s="1" t="s">
        <v>141</v>
      </c>
      <c r="F181" s="1">
        <v>2</v>
      </c>
    </row>
    <row r="182" spans="1:6" x14ac:dyDescent="0.35">
      <c r="A182" s="1">
        <v>2031</v>
      </c>
      <c r="B182" s="1">
        <v>38.16598370435203</v>
      </c>
      <c r="C182" s="1">
        <v>44.826187074683403</v>
      </c>
      <c r="D182" s="1">
        <v>47.071114228192627</v>
      </c>
      <c r="E182" s="1" t="s">
        <v>141</v>
      </c>
      <c r="F182" s="1">
        <v>2</v>
      </c>
    </row>
    <row r="183" spans="1:6" x14ac:dyDescent="0.35">
      <c r="A183" s="1">
        <v>2032</v>
      </c>
      <c r="B183" s="1">
        <v>37.122426963142992</v>
      </c>
      <c r="C183" s="1">
        <v>40.539461793409338</v>
      </c>
      <c r="D183" s="1">
        <v>47.184439119918608</v>
      </c>
      <c r="E183" s="1" t="s">
        <v>141</v>
      </c>
      <c r="F183" s="1">
        <v>2</v>
      </c>
    </row>
    <row r="184" spans="1:6" x14ac:dyDescent="0.35">
      <c r="A184" s="1">
        <v>2033</v>
      </c>
      <c r="B184" s="1">
        <v>34.364051462239132</v>
      </c>
      <c r="C184" s="1">
        <v>40.661975501503953</v>
      </c>
      <c r="D184" s="1">
        <v>45.043077190245882</v>
      </c>
      <c r="E184" s="1" t="s">
        <v>141</v>
      </c>
      <c r="F184" s="1">
        <v>2</v>
      </c>
    </row>
    <row r="185" spans="1:6" x14ac:dyDescent="0.35">
      <c r="A185" s="1">
        <v>2034</v>
      </c>
      <c r="B185" s="1">
        <v>34.794415981260883</v>
      </c>
      <c r="C185" s="1">
        <v>40.162089698777137</v>
      </c>
      <c r="D185" s="1">
        <v>44.012846303763943</v>
      </c>
      <c r="E185" s="1" t="s">
        <v>141</v>
      </c>
      <c r="F185" s="1">
        <v>2</v>
      </c>
    </row>
    <row r="186" spans="1:6" x14ac:dyDescent="0.35">
      <c r="A186" s="1">
        <v>2035</v>
      </c>
      <c r="B186" s="1">
        <v>32.500289019624233</v>
      </c>
      <c r="C186" s="1">
        <v>40.707707476090768</v>
      </c>
      <c r="D186" s="1">
        <v>44.752693789620601</v>
      </c>
      <c r="E186" s="1" t="s">
        <v>141</v>
      </c>
      <c r="F186" s="1">
        <v>2</v>
      </c>
    </row>
    <row r="187" spans="1:6" x14ac:dyDescent="0.35">
      <c r="A187" s="1">
        <v>2036</v>
      </c>
      <c r="B187" s="1">
        <v>53.583917810556279</v>
      </c>
      <c r="C187" s="1">
        <v>67.115663197269484</v>
      </c>
      <c r="D187" s="1">
        <v>73.784718172077007</v>
      </c>
      <c r="E187" s="1" t="s">
        <v>141</v>
      </c>
      <c r="F187" s="1">
        <v>2</v>
      </c>
    </row>
    <row r="188" spans="1:6" x14ac:dyDescent="0.35">
      <c r="A188" s="1">
        <v>2037</v>
      </c>
      <c r="B188" s="1">
        <v>51.341144927920617</v>
      </c>
      <c r="C188" s="1">
        <v>60.596975286766742</v>
      </c>
      <c r="D188" s="1">
        <v>68.59830701879423</v>
      </c>
      <c r="E188" s="1" t="s">
        <v>141</v>
      </c>
      <c r="F188" s="1">
        <v>2</v>
      </c>
    </row>
    <row r="189" spans="1:6" x14ac:dyDescent="0.35">
      <c r="A189" s="1">
        <v>2038</v>
      </c>
      <c r="B189" s="1">
        <v>49.530918691582279</v>
      </c>
      <c r="C189" s="1">
        <v>61.224641441738093</v>
      </c>
      <c r="D189" s="1">
        <v>70.295890461372892</v>
      </c>
      <c r="E189" s="1" t="s">
        <v>141</v>
      </c>
      <c r="F189" s="1">
        <v>2</v>
      </c>
    </row>
    <row r="190" spans="1:6" x14ac:dyDescent="0.35">
      <c r="A190" s="1">
        <v>2039</v>
      </c>
      <c r="B190" s="1">
        <v>48.764750797415068</v>
      </c>
      <c r="C190" s="1">
        <v>61.855184383179449</v>
      </c>
      <c r="D190" s="1">
        <v>71.053949560128203</v>
      </c>
      <c r="E190" s="1" t="s">
        <v>141</v>
      </c>
      <c r="F190" s="1">
        <v>2</v>
      </c>
    </row>
    <row r="191" spans="1:6" x14ac:dyDescent="0.35">
      <c r="A191" s="1">
        <v>2040</v>
      </c>
      <c r="B191" s="1">
        <v>47.287597817118552</v>
      </c>
      <c r="C191" s="1">
        <v>62.398158005105259</v>
      </c>
      <c r="D191" s="1">
        <v>74.432635118173977</v>
      </c>
      <c r="E191" s="1" t="s">
        <v>141</v>
      </c>
      <c r="F191" s="1">
        <v>2</v>
      </c>
    </row>
    <row r="192" spans="1:6" x14ac:dyDescent="0.35">
      <c r="A192" s="1">
        <v>2041</v>
      </c>
      <c r="B192" s="1">
        <v>46.890670093420461</v>
      </c>
      <c r="C192" s="1">
        <v>59.170608649809218</v>
      </c>
      <c r="D192" s="1">
        <v>74.12740344647456</v>
      </c>
      <c r="E192" s="1" t="s">
        <v>141</v>
      </c>
      <c r="F192" s="1">
        <v>2</v>
      </c>
    </row>
    <row r="193" spans="1:6" x14ac:dyDescent="0.35">
      <c r="A193" s="1">
        <v>2042</v>
      </c>
      <c r="B193" s="1">
        <v>47.083959264205177</v>
      </c>
      <c r="C193" s="1">
        <v>58.845372397647338</v>
      </c>
      <c r="D193" s="1">
        <v>73.372813503034138</v>
      </c>
      <c r="E193" s="1" t="s">
        <v>141</v>
      </c>
      <c r="F193" s="1">
        <v>2</v>
      </c>
    </row>
    <row r="194" spans="1:6" x14ac:dyDescent="0.35">
      <c r="A194" s="1">
        <v>2043</v>
      </c>
      <c r="B194" s="1">
        <v>47.869053387645131</v>
      </c>
      <c r="C194" s="1">
        <v>58.261940514075341</v>
      </c>
      <c r="D194" s="1">
        <v>71.370099656735022</v>
      </c>
      <c r="E194" s="1" t="s">
        <v>141</v>
      </c>
      <c r="F194" s="1">
        <v>2</v>
      </c>
    </row>
    <row r="195" spans="1:6" x14ac:dyDescent="0.35">
      <c r="A195" s="1">
        <v>2044</v>
      </c>
      <c r="B195" s="1">
        <v>50.704051059495782</v>
      </c>
      <c r="C195" s="1">
        <v>59.57308466963029</v>
      </c>
      <c r="D195" s="1">
        <v>73.280968106049201</v>
      </c>
      <c r="E195" s="1" t="s">
        <v>141</v>
      </c>
      <c r="F195" s="1">
        <v>2</v>
      </c>
    </row>
    <row r="196" spans="1:6" x14ac:dyDescent="0.35">
      <c r="A196" s="1">
        <v>2045</v>
      </c>
      <c r="B196" s="1">
        <v>49.837715449853917</v>
      </c>
      <c r="C196" s="1">
        <v>61.01325565763559</v>
      </c>
      <c r="D196" s="1">
        <v>73.71011150622995</v>
      </c>
      <c r="E196" s="1" t="s">
        <v>141</v>
      </c>
      <c r="F196" s="1">
        <v>2</v>
      </c>
    </row>
    <row r="197" spans="1:6" x14ac:dyDescent="0.35">
      <c r="A197" s="1">
        <v>2046</v>
      </c>
      <c r="B197" s="1">
        <v>47.710681029929667</v>
      </c>
      <c r="C197" s="1">
        <v>60.834139795196442</v>
      </c>
      <c r="D197" s="1">
        <v>73.525827609417348</v>
      </c>
      <c r="E197" s="1" t="s">
        <v>141</v>
      </c>
      <c r="F197" s="1">
        <v>2</v>
      </c>
    </row>
    <row r="198" spans="1:6" x14ac:dyDescent="0.35">
      <c r="A198" s="1">
        <v>2047</v>
      </c>
      <c r="B198" s="1">
        <v>47.384882738109063</v>
      </c>
      <c r="C198" s="1">
        <v>59.967079330026714</v>
      </c>
      <c r="D198" s="1">
        <v>74.27315053756999</v>
      </c>
      <c r="E198" s="1" t="s">
        <v>141</v>
      </c>
      <c r="F198" s="1">
        <v>2</v>
      </c>
    </row>
    <row r="199" spans="1:6" x14ac:dyDescent="0.35">
      <c r="A199" s="1">
        <v>2048</v>
      </c>
      <c r="B199" s="1">
        <v>46.948078212566529</v>
      </c>
      <c r="C199" s="1">
        <v>60.504922369024023</v>
      </c>
      <c r="D199" s="1">
        <v>75.718959276447393</v>
      </c>
      <c r="E199" s="1" t="s">
        <v>141</v>
      </c>
      <c r="F199" s="1">
        <v>2</v>
      </c>
    </row>
    <row r="200" spans="1:6" x14ac:dyDescent="0.35">
      <c r="A200" s="1">
        <v>2049</v>
      </c>
      <c r="B200" s="1">
        <v>47.91170400704344</v>
      </c>
      <c r="C200" s="1">
        <v>61.488713221766403</v>
      </c>
      <c r="D200" s="1">
        <v>76.131197177624216</v>
      </c>
      <c r="E200" s="1" t="s">
        <v>141</v>
      </c>
      <c r="F200" s="1">
        <v>2</v>
      </c>
    </row>
    <row r="201" spans="1:6" x14ac:dyDescent="0.35">
      <c r="A201" s="1">
        <v>2050</v>
      </c>
      <c r="B201" s="1">
        <v>45.560913761249502</v>
      </c>
      <c r="C201" s="1">
        <v>60.027864833693791</v>
      </c>
      <c r="D201" s="1">
        <v>75.604293017607887</v>
      </c>
      <c r="E201" s="1" t="s">
        <v>141</v>
      </c>
      <c r="F201" s="1">
        <v>2</v>
      </c>
    </row>
    <row r="202" spans="1:6" x14ac:dyDescent="0.35">
      <c r="A202" s="1">
        <v>2026</v>
      </c>
      <c r="B202" s="1">
        <v>26.543956484514791</v>
      </c>
      <c r="C202" s="1">
        <v>26.771294994732749</v>
      </c>
      <c r="D202" s="1">
        <v>27.451855108356021</v>
      </c>
      <c r="E202" s="1" t="s">
        <v>142</v>
      </c>
      <c r="F202" s="1">
        <v>2</v>
      </c>
    </row>
    <row r="203" spans="1:6" x14ac:dyDescent="0.35">
      <c r="A203" s="1">
        <v>2027</v>
      </c>
      <c r="B203" s="1">
        <v>26.105308078180229</v>
      </c>
      <c r="C203" s="1">
        <v>26.576818508079899</v>
      </c>
      <c r="D203" s="1">
        <v>27.637884583417438</v>
      </c>
      <c r="E203" s="1" t="s">
        <v>142</v>
      </c>
      <c r="F203" s="1">
        <v>2</v>
      </c>
    </row>
    <row r="204" spans="1:6" x14ac:dyDescent="0.35">
      <c r="A204" s="1">
        <v>2028</v>
      </c>
      <c r="B204" s="1">
        <v>25.414515087816241</v>
      </c>
      <c r="C204" s="1">
        <v>27.77105056955892</v>
      </c>
      <c r="D204" s="1">
        <v>28.030131880790879</v>
      </c>
      <c r="E204" s="1" t="s">
        <v>142</v>
      </c>
      <c r="F204" s="1">
        <v>2</v>
      </c>
    </row>
    <row r="205" spans="1:6" x14ac:dyDescent="0.35">
      <c r="A205" s="1">
        <v>2029</v>
      </c>
      <c r="B205" s="1">
        <v>24.712484813748471</v>
      </c>
      <c r="C205" s="1">
        <v>27.943046288646681</v>
      </c>
      <c r="D205" s="1">
        <v>28.65050152794597</v>
      </c>
      <c r="E205" s="1" t="s">
        <v>142</v>
      </c>
      <c r="F205" s="1">
        <v>2</v>
      </c>
    </row>
    <row r="206" spans="1:6" x14ac:dyDescent="0.35">
      <c r="A206" s="1">
        <v>2030</v>
      </c>
      <c r="B206" s="1">
        <v>24.221987452587211</v>
      </c>
      <c r="C206" s="1">
        <v>28.185454166447631</v>
      </c>
      <c r="D206" s="1">
        <v>28.5500739662344</v>
      </c>
      <c r="E206" s="1" t="s">
        <v>142</v>
      </c>
      <c r="F206" s="1">
        <v>2</v>
      </c>
    </row>
    <row r="207" spans="1:6" x14ac:dyDescent="0.35">
      <c r="A207" s="1">
        <v>2031</v>
      </c>
      <c r="B207" s="1">
        <v>24.267932377269801</v>
      </c>
      <c r="C207" s="1">
        <v>27.8878449262372</v>
      </c>
      <c r="D207" s="1">
        <v>29.883375429193109</v>
      </c>
      <c r="E207" s="1" t="s">
        <v>142</v>
      </c>
      <c r="F207" s="1">
        <v>2</v>
      </c>
    </row>
    <row r="208" spans="1:6" x14ac:dyDescent="0.35">
      <c r="A208" s="1">
        <v>2032</v>
      </c>
      <c r="B208" s="1">
        <v>24.022169438032378</v>
      </c>
      <c r="C208" s="1">
        <v>27.00330947793227</v>
      </c>
      <c r="D208" s="1">
        <v>31.178548714281561</v>
      </c>
      <c r="E208" s="1" t="s">
        <v>142</v>
      </c>
      <c r="F208" s="1">
        <v>2</v>
      </c>
    </row>
    <row r="209" spans="1:6" x14ac:dyDescent="0.35">
      <c r="A209" s="1">
        <v>2033</v>
      </c>
      <c r="B209" s="1">
        <v>23.105075970536909</v>
      </c>
      <c r="C209" s="1">
        <v>26.928997270787331</v>
      </c>
      <c r="D209" s="1">
        <v>29.76357889616996</v>
      </c>
      <c r="E209" s="1" t="s">
        <v>142</v>
      </c>
      <c r="F209" s="1">
        <v>2</v>
      </c>
    </row>
    <row r="210" spans="1:6" x14ac:dyDescent="0.35">
      <c r="A210" s="1">
        <v>2034</v>
      </c>
      <c r="B210" s="1">
        <v>23.33842690221617</v>
      </c>
      <c r="C210" s="1">
        <v>27.59553676741638</v>
      </c>
      <c r="D210" s="1">
        <v>29.0828226027763</v>
      </c>
      <c r="E210" s="1" t="s">
        <v>142</v>
      </c>
      <c r="F210" s="1">
        <v>2</v>
      </c>
    </row>
    <row r="211" spans="1:6" x14ac:dyDescent="0.35">
      <c r="A211" s="1">
        <v>2035</v>
      </c>
      <c r="B211" s="1">
        <v>38.478560858363899</v>
      </c>
      <c r="C211" s="1">
        <v>45.497348444826827</v>
      </c>
      <c r="D211" s="1">
        <v>47.949468237195759</v>
      </c>
      <c r="E211" s="1" t="s">
        <v>142</v>
      </c>
      <c r="F211" s="1">
        <v>2</v>
      </c>
    </row>
    <row r="212" spans="1:6" x14ac:dyDescent="0.35">
      <c r="A212" s="1">
        <v>2036</v>
      </c>
      <c r="B212" s="1">
        <v>34.728695359709079</v>
      </c>
      <c r="C212" s="1">
        <v>41.444007563301447</v>
      </c>
      <c r="D212" s="1">
        <v>44.480315065714692</v>
      </c>
      <c r="E212" s="1" t="s">
        <v>142</v>
      </c>
      <c r="F212" s="1">
        <v>2</v>
      </c>
    </row>
    <row r="213" spans="1:6" x14ac:dyDescent="0.35">
      <c r="A213" s="1">
        <v>2037</v>
      </c>
      <c r="B213" s="1">
        <v>33.646453561655967</v>
      </c>
      <c r="C213" s="1">
        <v>40.47399038237257</v>
      </c>
      <c r="D213" s="1">
        <v>44.26541411381065</v>
      </c>
      <c r="E213" s="1" t="s">
        <v>142</v>
      </c>
      <c r="F213" s="1">
        <v>2</v>
      </c>
    </row>
    <row r="214" spans="1:6" x14ac:dyDescent="0.35">
      <c r="A214" s="1">
        <v>2038</v>
      </c>
      <c r="B214" s="1">
        <v>32.128039539966721</v>
      </c>
      <c r="C214" s="1">
        <v>38.358501554848893</v>
      </c>
      <c r="D214" s="1">
        <v>45.360838146037928</v>
      </c>
      <c r="E214" s="1" t="s">
        <v>142</v>
      </c>
      <c r="F214" s="1">
        <v>2</v>
      </c>
    </row>
    <row r="215" spans="1:6" x14ac:dyDescent="0.35">
      <c r="A215" s="1">
        <v>2039</v>
      </c>
      <c r="B215" s="1">
        <v>32.91900467580755</v>
      </c>
      <c r="C215" s="1">
        <v>39.126269786609271</v>
      </c>
      <c r="D215" s="1">
        <v>45.850001820586819</v>
      </c>
      <c r="E215" s="1" t="s">
        <v>142</v>
      </c>
      <c r="F215" s="1">
        <v>2</v>
      </c>
    </row>
    <row r="216" spans="1:6" x14ac:dyDescent="0.35">
      <c r="A216" s="1">
        <v>2040</v>
      </c>
      <c r="B216" s="1">
        <v>33.327031756185541</v>
      </c>
      <c r="C216" s="1">
        <v>39.36778768715034</v>
      </c>
      <c r="D216" s="1">
        <v>48.030214742551088</v>
      </c>
      <c r="E216" s="1" t="s">
        <v>142</v>
      </c>
      <c r="F216" s="1">
        <v>2</v>
      </c>
    </row>
    <row r="217" spans="1:6" x14ac:dyDescent="0.35">
      <c r="A217" s="1">
        <v>2041</v>
      </c>
      <c r="B217" s="1">
        <v>53.147599508002322</v>
      </c>
      <c r="C217" s="1">
        <v>64.906508940211367</v>
      </c>
      <c r="D217" s="1">
        <v>79.18843668233886</v>
      </c>
      <c r="E217" s="1" t="s">
        <v>142</v>
      </c>
      <c r="F217" s="1">
        <v>2</v>
      </c>
    </row>
    <row r="218" spans="1:6" x14ac:dyDescent="0.35">
      <c r="A218" s="1">
        <v>2042</v>
      </c>
      <c r="B218" s="1">
        <v>48.432047983070341</v>
      </c>
      <c r="C218" s="1">
        <v>59.276071706920838</v>
      </c>
      <c r="D218" s="1">
        <v>72.993026738107545</v>
      </c>
      <c r="E218" s="1" t="s">
        <v>142</v>
      </c>
      <c r="F218" s="1">
        <v>2</v>
      </c>
    </row>
    <row r="219" spans="1:6" x14ac:dyDescent="0.35">
      <c r="A219" s="1">
        <v>2043</v>
      </c>
      <c r="B219" s="1">
        <v>47.816597205145342</v>
      </c>
      <c r="C219" s="1">
        <v>58.679425004097403</v>
      </c>
      <c r="D219" s="1">
        <v>71.000679186576832</v>
      </c>
      <c r="E219" s="1" t="s">
        <v>142</v>
      </c>
      <c r="F219" s="1">
        <v>2</v>
      </c>
    </row>
    <row r="220" spans="1:6" x14ac:dyDescent="0.35">
      <c r="A220" s="1">
        <v>2044</v>
      </c>
      <c r="B220" s="1">
        <v>46.914661243836768</v>
      </c>
      <c r="C220" s="1">
        <v>59.530243262724333</v>
      </c>
      <c r="D220" s="1">
        <v>72.901656744266205</v>
      </c>
      <c r="E220" s="1" t="s">
        <v>142</v>
      </c>
      <c r="F220" s="1">
        <v>2</v>
      </c>
    </row>
    <row r="221" spans="1:6" x14ac:dyDescent="0.35">
      <c r="A221" s="1">
        <v>2045</v>
      </c>
      <c r="B221" s="1">
        <v>47.923122584424881</v>
      </c>
      <c r="C221" s="1">
        <v>57.384107156110232</v>
      </c>
      <c r="D221" s="1">
        <v>73.328578845087392</v>
      </c>
      <c r="E221" s="1" t="s">
        <v>142</v>
      </c>
      <c r="F221" s="1">
        <v>2</v>
      </c>
    </row>
    <row r="222" spans="1:6" x14ac:dyDescent="0.35">
      <c r="A222" s="1">
        <v>2046</v>
      </c>
      <c r="B222" s="1">
        <v>48.529248588399753</v>
      </c>
      <c r="C222" s="1">
        <v>59.384972175251399</v>
      </c>
      <c r="D222" s="1">
        <v>73.145248824535713</v>
      </c>
      <c r="E222" s="1" t="s">
        <v>142</v>
      </c>
      <c r="F222" s="1">
        <v>2</v>
      </c>
    </row>
    <row r="223" spans="1:6" x14ac:dyDescent="0.35">
      <c r="A223" s="1">
        <v>2047</v>
      </c>
      <c r="B223" s="1">
        <v>48.403768712943773</v>
      </c>
      <c r="C223" s="1">
        <v>60.256856802500273</v>
      </c>
      <c r="D223" s="1">
        <v>73.888703516707096</v>
      </c>
      <c r="E223" s="1" t="s">
        <v>142</v>
      </c>
      <c r="F223" s="1">
        <v>2</v>
      </c>
    </row>
    <row r="224" spans="1:6" x14ac:dyDescent="0.35">
      <c r="A224" s="1">
        <v>2048</v>
      </c>
      <c r="B224" s="1">
        <v>46.960542771756387</v>
      </c>
      <c r="C224" s="1">
        <v>60.083940267474077</v>
      </c>
      <c r="D224" s="1">
        <v>75.327028570586947</v>
      </c>
      <c r="E224" s="1" t="s">
        <v>142</v>
      </c>
      <c r="F224" s="1">
        <v>2</v>
      </c>
    </row>
    <row r="225" spans="1:6" x14ac:dyDescent="0.35">
      <c r="A225" s="1">
        <v>2049</v>
      </c>
      <c r="B225" s="1">
        <v>47.301271443806563</v>
      </c>
      <c r="C225" s="1">
        <v>59.233494556583061</v>
      </c>
      <c r="D225" s="1">
        <v>75.737132677359639</v>
      </c>
      <c r="E225" s="1" t="s">
        <v>142</v>
      </c>
      <c r="F225" s="1">
        <v>2</v>
      </c>
    </row>
    <row r="226" spans="1:6" x14ac:dyDescent="0.35">
      <c r="A226" s="1">
        <v>2050</v>
      </c>
      <c r="B226" s="1">
        <v>44.570240189370523</v>
      </c>
      <c r="C226" s="1">
        <v>58.968922500605373</v>
      </c>
      <c r="D226" s="1">
        <v>75.212955838496825</v>
      </c>
      <c r="E226" s="1" t="s">
        <v>142</v>
      </c>
      <c r="F226" s="1">
        <v>2</v>
      </c>
    </row>
    <row r="227" spans="1:6" x14ac:dyDescent="0.35">
      <c r="A227" s="1">
        <v>2026</v>
      </c>
      <c r="B227" s="1">
        <v>25.4556121408603</v>
      </c>
      <c r="C227" s="1">
        <v>26.419522355700082</v>
      </c>
      <c r="D227" s="1">
        <v>27.75275731192129</v>
      </c>
      <c r="E227" s="1" t="s">
        <v>143</v>
      </c>
      <c r="F227" s="1">
        <v>2</v>
      </c>
    </row>
    <row r="228" spans="1:6" x14ac:dyDescent="0.35">
      <c r="A228" s="1">
        <v>2027</v>
      </c>
      <c r="B228" s="1">
        <v>25.47687590083682</v>
      </c>
      <c r="C228" s="1">
        <v>25.635835020383411</v>
      </c>
      <c r="D228" s="1">
        <v>28.905794068507099</v>
      </c>
      <c r="E228" s="1" t="s">
        <v>143</v>
      </c>
      <c r="F228" s="1">
        <v>2</v>
      </c>
    </row>
    <row r="229" spans="1:6" x14ac:dyDescent="0.35">
      <c r="A229" s="1">
        <v>2028</v>
      </c>
      <c r="B229" s="1">
        <v>25.770858982486551</v>
      </c>
      <c r="C229" s="1">
        <v>25.889701548106991</v>
      </c>
      <c r="D229" s="1">
        <v>27.881993741228449</v>
      </c>
      <c r="E229" s="1" t="s">
        <v>143</v>
      </c>
      <c r="F229" s="1">
        <v>2</v>
      </c>
    </row>
    <row r="230" spans="1:6" x14ac:dyDescent="0.35">
      <c r="A230" s="1">
        <v>2029</v>
      </c>
      <c r="B230" s="1">
        <v>25.723586322647531</v>
      </c>
      <c r="C230" s="1">
        <v>26.27084675253322</v>
      </c>
      <c r="D230" s="1">
        <v>28.354970642388182</v>
      </c>
      <c r="E230" s="1" t="s">
        <v>143</v>
      </c>
      <c r="F230" s="1">
        <v>2</v>
      </c>
    </row>
    <row r="231" spans="1:6" x14ac:dyDescent="0.35">
      <c r="A231" s="1">
        <v>2030</v>
      </c>
      <c r="B231" s="1">
        <v>26.249593355238861</v>
      </c>
      <c r="C231" s="1">
        <v>27.188456818809641</v>
      </c>
      <c r="D231" s="1">
        <v>30.57361632097836</v>
      </c>
      <c r="E231" s="1" t="s">
        <v>143</v>
      </c>
      <c r="F231" s="1">
        <v>2</v>
      </c>
    </row>
    <row r="232" spans="1:6" x14ac:dyDescent="0.35">
      <c r="A232" s="1">
        <v>2031</v>
      </c>
      <c r="B232" s="1">
        <v>25.528104245019609</v>
      </c>
      <c r="C232" s="1">
        <v>27.769815397065361</v>
      </c>
      <c r="D232" s="1">
        <v>30.635717085648601</v>
      </c>
      <c r="E232" s="1" t="s">
        <v>143</v>
      </c>
      <c r="F232" s="1">
        <v>2</v>
      </c>
    </row>
    <row r="233" spans="1:6" x14ac:dyDescent="0.35">
      <c r="A233" s="1">
        <v>2032</v>
      </c>
      <c r="B233" s="1">
        <v>24.734792276136709</v>
      </c>
      <c r="C233" s="1">
        <v>27.160313054441609</v>
      </c>
      <c r="D233" s="1">
        <v>30.30443110229292</v>
      </c>
      <c r="E233" s="1" t="s">
        <v>143</v>
      </c>
      <c r="F233" s="1">
        <v>2</v>
      </c>
    </row>
    <row r="234" spans="1:6" x14ac:dyDescent="0.35">
      <c r="A234" s="1">
        <v>2033</v>
      </c>
      <c r="B234" s="1">
        <v>24.281131380314161</v>
      </c>
      <c r="C234" s="1">
        <v>27.242393834947951</v>
      </c>
      <c r="D234" s="1">
        <v>30.26236456369265</v>
      </c>
      <c r="E234" s="1" t="s">
        <v>143</v>
      </c>
      <c r="F234" s="1">
        <v>2</v>
      </c>
    </row>
    <row r="235" spans="1:6" x14ac:dyDescent="0.35">
      <c r="A235" s="1">
        <v>2034</v>
      </c>
      <c r="B235" s="1">
        <v>24.466315655339461</v>
      </c>
      <c r="C235" s="1">
        <v>26.90748423593255</v>
      </c>
      <c r="D235" s="1">
        <v>29.943464773922031</v>
      </c>
      <c r="E235" s="1" t="s">
        <v>143</v>
      </c>
      <c r="F235" s="1">
        <v>2</v>
      </c>
    </row>
    <row r="236" spans="1:6" x14ac:dyDescent="0.35">
      <c r="A236" s="1">
        <v>2035</v>
      </c>
      <c r="B236" s="1">
        <v>23.928238337946102</v>
      </c>
      <c r="C236" s="1">
        <v>27.273032987305371</v>
      </c>
      <c r="D236" s="1">
        <v>30.436583755422799</v>
      </c>
      <c r="E236" s="1" t="s">
        <v>143</v>
      </c>
      <c r="F236" s="1">
        <v>2</v>
      </c>
    </row>
    <row r="237" spans="1:6" x14ac:dyDescent="0.35">
      <c r="A237" s="1">
        <v>2036</v>
      </c>
      <c r="B237" s="1">
        <v>24.750366355640949</v>
      </c>
      <c r="C237" s="1">
        <v>27.736128056024711</v>
      </c>
      <c r="D237" s="1">
        <v>31.523465817202069</v>
      </c>
      <c r="E237" s="1" t="s">
        <v>143</v>
      </c>
      <c r="F237" s="1">
        <v>2</v>
      </c>
    </row>
    <row r="238" spans="1:6" x14ac:dyDescent="0.35">
      <c r="A238" s="1">
        <v>2037</v>
      </c>
      <c r="B238" s="1">
        <v>24.673573232054942</v>
      </c>
      <c r="C238" s="1">
        <v>27.099177019898299</v>
      </c>
      <c r="D238" s="1">
        <v>30.95465529870496</v>
      </c>
      <c r="E238" s="1" t="s">
        <v>143</v>
      </c>
      <c r="F238" s="1">
        <v>2</v>
      </c>
    </row>
    <row r="239" spans="1:6" x14ac:dyDescent="0.35">
      <c r="A239" s="1">
        <v>2038</v>
      </c>
      <c r="B239" s="1">
        <v>23.494988249208419</v>
      </c>
      <c r="C239" s="1">
        <v>27.379871496189789</v>
      </c>
      <c r="D239" s="1">
        <v>31.77274469181754</v>
      </c>
      <c r="E239" s="1" t="s">
        <v>143</v>
      </c>
      <c r="F239" s="1">
        <v>2</v>
      </c>
    </row>
    <row r="240" spans="1:6" x14ac:dyDescent="0.35">
      <c r="A240" s="1">
        <v>2039</v>
      </c>
      <c r="B240" s="1">
        <v>22.049168440530401</v>
      </c>
      <c r="C240" s="1">
        <v>27.661852481344638</v>
      </c>
      <c r="D240" s="1">
        <v>30.8345842500845</v>
      </c>
      <c r="E240" s="1" t="s">
        <v>143</v>
      </c>
      <c r="F240" s="1">
        <v>2</v>
      </c>
    </row>
    <row r="241" spans="1:6" x14ac:dyDescent="0.35">
      <c r="A241" s="1">
        <v>2040</v>
      </c>
      <c r="B241" s="1">
        <v>22.583629367368331</v>
      </c>
      <c r="C241" s="1">
        <v>27.904672163813451</v>
      </c>
      <c r="D241" s="1">
        <v>30.66087913580505</v>
      </c>
      <c r="E241" s="1" t="s">
        <v>143</v>
      </c>
      <c r="F241" s="1">
        <v>2</v>
      </c>
    </row>
    <row r="242" spans="1:6" x14ac:dyDescent="0.35">
      <c r="A242" s="1">
        <v>2041</v>
      </c>
      <c r="B242" s="1">
        <v>22.044490570661711</v>
      </c>
      <c r="C242" s="1">
        <v>26.46130092447823</v>
      </c>
      <c r="D242" s="1">
        <v>30.31075857065812</v>
      </c>
      <c r="E242" s="1" t="s">
        <v>143</v>
      </c>
      <c r="F242" s="1">
        <v>2</v>
      </c>
    </row>
    <row r="243" spans="1:6" x14ac:dyDescent="0.35">
      <c r="A243" s="1">
        <v>2042</v>
      </c>
      <c r="B243" s="1">
        <v>36.345220505598363</v>
      </c>
      <c r="C243" s="1">
        <v>43.627309684584233</v>
      </c>
      <c r="D243" s="1">
        <v>49.973992386500257</v>
      </c>
      <c r="E243" s="1" t="s">
        <v>143</v>
      </c>
      <c r="F243" s="1">
        <v>2</v>
      </c>
    </row>
    <row r="244" spans="1:6" x14ac:dyDescent="0.35">
      <c r="A244" s="1">
        <v>2043</v>
      </c>
      <c r="B244" s="1">
        <v>31.851604863053481</v>
      </c>
      <c r="C244" s="1">
        <v>40.231217805828003</v>
      </c>
      <c r="D244" s="1">
        <v>47.398865575366052</v>
      </c>
      <c r="E244" s="1" t="s">
        <v>143</v>
      </c>
      <c r="F244" s="1">
        <v>2</v>
      </c>
    </row>
    <row r="245" spans="1:6" x14ac:dyDescent="0.35">
      <c r="A245" s="1">
        <v>2044</v>
      </c>
      <c r="B245" s="1">
        <v>32.746802918292417</v>
      </c>
      <c r="C245" s="1">
        <v>41.136593178353152</v>
      </c>
      <c r="D245" s="1">
        <v>47.547251637579819</v>
      </c>
      <c r="E245" s="1" t="s">
        <v>143</v>
      </c>
      <c r="F245" s="1">
        <v>2</v>
      </c>
    </row>
    <row r="246" spans="1:6" x14ac:dyDescent="0.35">
      <c r="A246" s="1">
        <v>2045</v>
      </c>
      <c r="B246" s="1">
        <v>32.889721166069407</v>
      </c>
      <c r="C246" s="1">
        <v>42.131064563700818</v>
      </c>
      <c r="D246" s="1">
        <v>47.241963434655602</v>
      </c>
      <c r="E246" s="1" t="s">
        <v>143</v>
      </c>
      <c r="F246" s="1">
        <v>2</v>
      </c>
    </row>
    <row r="247" spans="1:6" x14ac:dyDescent="0.35">
      <c r="A247" s="1">
        <v>2046</v>
      </c>
      <c r="B247" s="1">
        <v>32.130386939130787</v>
      </c>
      <c r="C247" s="1">
        <v>42.007380916869188</v>
      </c>
      <c r="D247" s="1">
        <v>47.504610171935788</v>
      </c>
      <c r="E247" s="1" t="s">
        <v>143</v>
      </c>
      <c r="F247" s="1">
        <v>2</v>
      </c>
    </row>
    <row r="248" spans="1:6" x14ac:dyDescent="0.35">
      <c r="A248" s="1">
        <v>2047</v>
      </c>
      <c r="B248" s="1">
        <v>31.233001121237539</v>
      </c>
      <c r="C248" s="1">
        <v>41.408655606361577</v>
      </c>
      <c r="D248" s="1">
        <v>48.55071897605108</v>
      </c>
      <c r="E248" s="1" t="s">
        <v>143</v>
      </c>
      <c r="F248" s="1">
        <v>2</v>
      </c>
    </row>
    <row r="249" spans="1:6" x14ac:dyDescent="0.35">
      <c r="A249" s="1">
        <v>2048</v>
      </c>
      <c r="B249" s="1">
        <v>32.08819634550585</v>
      </c>
      <c r="C249" s="1">
        <v>41.780048667703603</v>
      </c>
      <c r="D249" s="1">
        <v>49.83298581241673</v>
      </c>
      <c r="E249" s="1" t="s">
        <v>143</v>
      </c>
      <c r="F249" s="1">
        <v>2</v>
      </c>
    </row>
    <row r="250" spans="1:6" x14ac:dyDescent="0.35">
      <c r="A250" s="1">
        <v>2049</v>
      </c>
      <c r="B250" s="1">
        <v>30.578678048931771</v>
      </c>
      <c r="C250" s="1">
        <v>42.459379011369343</v>
      </c>
      <c r="D250" s="1">
        <v>47.89868460187396</v>
      </c>
      <c r="E250" s="1" t="s">
        <v>143</v>
      </c>
      <c r="F250" s="1">
        <v>2</v>
      </c>
    </row>
    <row r="251" spans="1:6" x14ac:dyDescent="0.35">
      <c r="A251" s="1">
        <v>2050</v>
      </c>
      <c r="B251" s="1">
        <v>48.664128693836403</v>
      </c>
      <c r="C251" s="1">
        <v>64.683387187151865</v>
      </c>
      <c r="D251" s="1">
        <v>78.971580141666294</v>
      </c>
      <c r="E251" s="1" t="s">
        <v>143</v>
      </c>
      <c r="F251" s="1">
        <v>2</v>
      </c>
    </row>
    <row r="252" spans="1:6" x14ac:dyDescent="0.35">
      <c r="A252" s="1">
        <v>2026</v>
      </c>
      <c r="B252" s="1">
        <v>25.488384971429682</v>
      </c>
      <c r="C252" s="1">
        <v>27.76518644973892</v>
      </c>
      <c r="D252" s="1">
        <v>28.685774397844369</v>
      </c>
      <c r="E252" s="1" t="s">
        <v>144</v>
      </c>
      <c r="F252" s="1">
        <v>3</v>
      </c>
    </row>
    <row r="253" spans="1:6" x14ac:dyDescent="0.35">
      <c r="A253" s="1">
        <v>2027</v>
      </c>
      <c r="B253" s="1">
        <v>25.659198791772909</v>
      </c>
      <c r="C253" s="1">
        <v>29.061621378638339</v>
      </c>
      <c r="D253" s="1">
        <v>28.128638444451891</v>
      </c>
      <c r="E253" s="1" t="s">
        <v>144</v>
      </c>
      <c r="F253" s="1">
        <v>3</v>
      </c>
    </row>
    <row r="254" spans="1:6" x14ac:dyDescent="0.35">
      <c r="A254" s="1">
        <v>2028</v>
      </c>
      <c r="B254" s="1">
        <v>25.578852547507559</v>
      </c>
      <c r="C254" s="1">
        <v>28.45183760191026</v>
      </c>
      <c r="D254" s="1">
        <v>29.04189664337947</v>
      </c>
      <c r="E254" s="1" t="s">
        <v>144</v>
      </c>
      <c r="F254" s="1">
        <v>3</v>
      </c>
    </row>
    <row r="255" spans="1:6" x14ac:dyDescent="0.35">
      <c r="A255" s="1">
        <v>2029</v>
      </c>
      <c r="B255" s="1">
        <v>24.758107614222698</v>
      </c>
      <c r="C255" s="1">
        <v>29.987963268588281</v>
      </c>
      <c r="D255" s="1">
        <v>29.73244605716862</v>
      </c>
      <c r="E255" s="1" t="s">
        <v>144</v>
      </c>
      <c r="F255" s="1">
        <v>3</v>
      </c>
    </row>
    <row r="256" spans="1:6" x14ac:dyDescent="0.35">
      <c r="A256" s="1">
        <v>2030</v>
      </c>
      <c r="B256" s="1">
        <v>25.080857688871291</v>
      </c>
      <c r="C256" s="1">
        <v>28.086624347834579</v>
      </c>
      <c r="D256" s="1">
        <v>30.264772599544742</v>
      </c>
      <c r="E256" s="1" t="s">
        <v>144</v>
      </c>
      <c r="F256" s="1">
        <v>3</v>
      </c>
    </row>
    <row r="257" spans="1:6" x14ac:dyDescent="0.35">
      <c r="A257" s="1">
        <v>2031</v>
      </c>
      <c r="B257" s="1">
        <v>24.410736671871351</v>
      </c>
      <c r="C257" s="1">
        <v>27.25676535177379</v>
      </c>
      <c r="D257" s="1">
        <v>30.824287364090878</v>
      </c>
      <c r="E257" s="1" t="s">
        <v>144</v>
      </c>
      <c r="F257" s="1">
        <v>3</v>
      </c>
    </row>
    <row r="258" spans="1:6" x14ac:dyDescent="0.35">
      <c r="A258" s="1">
        <v>2032</v>
      </c>
      <c r="B258" s="1">
        <v>25.72967636771844</v>
      </c>
      <c r="C258" s="1">
        <v>26.443579584392481</v>
      </c>
      <c r="D258" s="1">
        <v>30.759101482225979</v>
      </c>
      <c r="E258" s="1" t="s">
        <v>144</v>
      </c>
      <c r="F258" s="1">
        <v>3</v>
      </c>
    </row>
    <row r="259" spans="1:6" x14ac:dyDescent="0.35">
      <c r="A259" s="1">
        <v>2033</v>
      </c>
      <c r="B259" s="1">
        <v>25.33652143282378</v>
      </c>
      <c r="C259" s="1">
        <v>26.468218234308811</v>
      </c>
      <c r="D259" s="1">
        <v>32.225064753682851</v>
      </c>
      <c r="E259" s="1" t="s">
        <v>144</v>
      </c>
      <c r="F259" s="1">
        <v>3</v>
      </c>
    </row>
    <row r="260" spans="1:6" x14ac:dyDescent="0.35">
      <c r="A260" s="1">
        <v>2034</v>
      </c>
      <c r="B260" s="1">
        <v>24.646841078888471</v>
      </c>
      <c r="C260" s="1">
        <v>26.464231037621751</v>
      </c>
      <c r="D260" s="1">
        <v>33.330543940461197</v>
      </c>
      <c r="E260" s="1" t="s">
        <v>144</v>
      </c>
      <c r="F260" s="1">
        <v>3</v>
      </c>
    </row>
    <row r="261" spans="1:6" x14ac:dyDescent="0.35">
      <c r="A261" s="1">
        <v>2035</v>
      </c>
      <c r="B261" s="1">
        <v>23.609369480505961</v>
      </c>
      <c r="C261" s="1">
        <v>26.83129731561063</v>
      </c>
      <c r="D261" s="1">
        <v>31.22363176704167</v>
      </c>
      <c r="E261" s="1" t="s">
        <v>144</v>
      </c>
      <c r="F261" s="1">
        <v>3</v>
      </c>
    </row>
    <row r="262" spans="1:6" x14ac:dyDescent="0.35">
      <c r="A262" s="1">
        <v>2036</v>
      </c>
      <c r="B262" s="1">
        <v>22.790924216696091</v>
      </c>
      <c r="C262" s="1">
        <v>26.756440366405212</v>
      </c>
      <c r="D262" s="1">
        <v>30.409147835521061</v>
      </c>
      <c r="E262" s="1" t="s">
        <v>144</v>
      </c>
      <c r="F262" s="1">
        <v>3</v>
      </c>
    </row>
    <row r="263" spans="1:6" x14ac:dyDescent="0.35">
      <c r="A263" s="1">
        <v>2037</v>
      </c>
      <c r="B263" s="1">
        <v>37.575881534981512</v>
      </c>
      <c r="C263" s="1">
        <v>44.113912360311801</v>
      </c>
      <c r="D263" s="1">
        <v>50.136208860288328</v>
      </c>
      <c r="E263" s="1" t="s">
        <v>144</v>
      </c>
      <c r="F263" s="1">
        <v>3</v>
      </c>
    </row>
    <row r="264" spans="1:6" x14ac:dyDescent="0.35">
      <c r="A264" s="1">
        <v>2038</v>
      </c>
      <c r="B264" s="1">
        <v>33.424757971112527</v>
      </c>
      <c r="C264" s="1">
        <v>39.924802181660709</v>
      </c>
      <c r="D264" s="1">
        <v>47.280240887295129</v>
      </c>
      <c r="E264" s="1" t="s">
        <v>144</v>
      </c>
      <c r="F264" s="1">
        <v>3</v>
      </c>
    </row>
    <row r="265" spans="1:6" x14ac:dyDescent="0.35">
      <c r="A265" s="1">
        <v>2039</v>
      </c>
      <c r="B265" s="1">
        <v>48.640680001967411</v>
      </c>
      <c r="C265" s="1">
        <v>65.824870585398898</v>
      </c>
      <c r="D265" s="1">
        <v>77.951938834709381</v>
      </c>
      <c r="E265" s="1" t="s">
        <v>144</v>
      </c>
      <c r="F265" s="1">
        <v>3</v>
      </c>
    </row>
    <row r="266" spans="1:6" x14ac:dyDescent="0.35">
      <c r="A266" s="1">
        <v>2040</v>
      </c>
      <c r="B266" s="1">
        <v>45.259904593395959</v>
      </c>
      <c r="C266" s="1">
        <v>64.743902190067871</v>
      </c>
      <c r="D266" s="1">
        <v>75.917686798849999</v>
      </c>
      <c r="E266" s="1" t="s">
        <v>144</v>
      </c>
      <c r="F266" s="1">
        <v>3</v>
      </c>
    </row>
    <row r="267" spans="1:6" x14ac:dyDescent="0.35">
      <c r="A267" s="1">
        <v>2041</v>
      </c>
      <c r="B267" s="1">
        <v>74.620967412990353</v>
      </c>
      <c r="C267" s="1">
        <v>81.458333339999996</v>
      </c>
      <c r="D267" s="1">
        <v>81.458333339999996</v>
      </c>
      <c r="E267" s="1" t="s">
        <v>144</v>
      </c>
      <c r="F267" s="1">
        <v>3</v>
      </c>
    </row>
    <row r="268" spans="1:6" x14ac:dyDescent="0.35">
      <c r="A268" s="1">
        <v>2042</v>
      </c>
      <c r="B268" s="1">
        <v>67.889339702014709</v>
      </c>
      <c r="C268" s="1">
        <v>76.446383749830517</v>
      </c>
      <c r="D268" s="1">
        <v>79.956190985915484</v>
      </c>
      <c r="E268" s="1" t="s">
        <v>144</v>
      </c>
      <c r="F268" s="1">
        <v>3</v>
      </c>
    </row>
    <row r="269" spans="1:6" x14ac:dyDescent="0.35">
      <c r="A269" s="1">
        <v>2043</v>
      </c>
      <c r="B269" s="1">
        <v>66.860213562360343</v>
      </c>
      <c r="C269" s="1">
        <v>76.420161371453474</v>
      </c>
      <c r="D269" s="1">
        <v>81.458333339999996</v>
      </c>
      <c r="E269" s="1" t="s">
        <v>144</v>
      </c>
      <c r="F269" s="1">
        <v>3</v>
      </c>
    </row>
    <row r="270" spans="1:6" x14ac:dyDescent="0.35">
      <c r="A270" s="1">
        <v>2044</v>
      </c>
      <c r="B270" s="1">
        <v>66.496411050968035</v>
      </c>
      <c r="C270" s="1">
        <v>76.47722103937285</v>
      </c>
      <c r="D270" s="1">
        <v>81.458333339999996</v>
      </c>
      <c r="E270" s="1" t="s">
        <v>144</v>
      </c>
      <c r="F270" s="1">
        <v>3</v>
      </c>
    </row>
    <row r="271" spans="1:6" x14ac:dyDescent="0.35">
      <c r="A271" s="1">
        <v>2045</v>
      </c>
      <c r="B271" s="1">
        <v>64.743062775763804</v>
      </c>
      <c r="C271" s="1">
        <v>75.395940489941296</v>
      </c>
      <c r="D271" s="1">
        <v>81.458333339999996</v>
      </c>
      <c r="E271" s="1" t="s">
        <v>144</v>
      </c>
      <c r="F271" s="1">
        <v>3</v>
      </c>
    </row>
    <row r="272" spans="1:6" x14ac:dyDescent="0.35">
      <c r="A272" s="1">
        <v>2046</v>
      </c>
      <c r="B272" s="1">
        <v>66.545505290681533</v>
      </c>
      <c r="C272" s="1">
        <v>73.021907648927936</v>
      </c>
      <c r="D272" s="1">
        <v>81.458333339999996</v>
      </c>
      <c r="E272" s="1" t="s">
        <v>144</v>
      </c>
      <c r="F272" s="1">
        <v>3</v>
      </c>
    </row>
    <row r="273" spans="1:6" x14ac:dyDescent="0.35">
      <c r="A273" s="1">
        <v>2047</v>
      </c>
      <c r="B273" s="1">
        <v>63.546665004837187</v>
      </c>
      <c r="C273" s="1">
        <v>75.388038657779134</v>
      </c>
      <c r="D273" s="1">
        <v>81.458333339999996</v>
      </c>
      <c r="E273" s="1" t="s">
        <v>144</v>
      </c>
      <c r="F273" s="1">
        <v>3</v>
      </c>
    </row>
    <row r="274" spans="1:6" x14ac:dyDescent="0.35">
      <c r="A274" s="1">
        <v>2048</v>
      </c>
      <c r="B274" s="1">
        <v>62.908847764196992</v>
      </c>
      <c r="C274" s="1">
        <v>75.766891588490253</v>
      </c>
      <c r="D274" s="1">
        <v>81.458333339999996</v>
      </c>
      <c r="E274" s="1" t="s">
        <v>144</v>
      </c>
      <c r="F274" s="1">
        <v>3</v>
      </c>
    </row>
    <row r="275" spans="1:6" x14ac:dyDescent="0.35">
      <c r="A275" s="1">
        <v>2049</v>
      </c>
      <c r="B275" s="1">
        <v>60.961932256504262</v>
      </c>
      <c r="C275" s="1">
        <v>74.473276314251095</v>
      </c>
      <c r="D275" s="1">
        <v>81.458333339999996</v>
      </c>
      <c r="E275" s="1" t="s">
        <v>144</v>
      </c>
      <c r="F275" s="1">
        <v>3</v>
      </c>
    </row>
    <row r="276" spans="1:6" x14ac:dyDescent="0.35">
      <c r="A276" s="1">
        <v>2050</v>
      </c>
      <c r="B276" s="1">
        <v>65.052041145317176</v>
      </c>
      <c r="C276" s="1">
        <v>73.653582315493125</v>
      </c>
      <c r="D276" s="1">
        <v>81.458333339999996</v>
      </c>
      <c r="E276" s="1" t="s">
        <v>144</v>
      </c>
      <c r="F276" s="1">
        <v>3</v>
      </c>
    </row>
    <row r="277" spans="1:6" x14ac:dyDescent="0.35">
      <c r="A277" s="1">
        <v>2026</v>
      </c>
      <c r="B277" s="1">
        <v>35.965564582327893</v>
      </c>
      <c r="C277" s="1">
        <v>44.767362284479809</v>
      </c>
      <c r="D277" s="1">
        <v>44.767362284479809</v>
      </c>
      <c r="E277" s="1" t="s">
        <v>145</v>
      </c>
      <c r="F277" s="1">
        <v>3</v>
      </c>
    </row>
    <row r="278" spans="1:6" x14ac:dyDescent="0.35">
      <c r="A278" s="1">
        <v>2027</v>
      </c>
      <c r="B278" s="1">
        <v>33.693008387933183</v>
      </c>
      <c r="C278" s="1">
        <v>42.065307942308458</v>
      </c>
      <c r="D278" s="1">
        <v>43.790843417515909</v>
      </c>
      <c r="E278" s="1" t="s">
        <v>145</v>
      </c>
      <c r="F278" s="1">
        <v>3</v>
      </c>
    </row>
    <row r="279" spans="1:6" x14ac:dyDescent="0.35">
      <c r="A279" s="1">
        <v>2028</v>
      </c>
      <c r="B279" s="1">
        <v>33.265259507939973</v>
      </c>
      <c r="C279" s="1">
        <v>39.884053208581037</v>
      </c>
      <c r="D279" s="1">
        <v>45.132330727362167</v>
      </c>
      <c r="E279" s="1" t="s">
        <v>145</v>
      </c>
      <c r="F279" s="1">
        <v>3</v>
      </c>
    </row>
    <row r="280" spans="1:6" x14ac:dyDescent="0.35">
      <c r="A280" s="1">
        <v>2029</v>
      </c>
      <c r="B280" s="1">
        <v>33.011166415796552</v>
      </c>
      <c r="C280" s="1">
        <v>40.522857831398802</v>
      </c>
      <c r="D280" s="1">
        <v>45.775799898214522</v>
      </c>
      <c r="E280" s="1" t="s">
        <v>145</v>
      </c>
      <c r="F280" s="1">
        <v>3</v>
      </c>
    </row>
    <row r="281" spans="1:6" x14ac:dyDescent="0.35">
      <c r="A281" s="1">
        <v>2030</v>
      </c>
      <c r="B281" s="1">
        <v>32.70972765274594</v>
      </c>
      <c r="C281" s="1">
        <v>39.822464520204313</v>
      </c>
      <c r="D281" s="1">
        <v>45.330004692148933</v>
      </c>
      <c r="E281" s="1" t="s">
        <v>145</v>
      </c>
      <c r="F281" s="1">
        <v>3</v>
      </c>
    </row>
    <row r="282" spans="1:6" x14ac:dyDescent="0.35">
      <c r="A282" s="1">
        <v>2031</v>
      </c>
      <c r="B282" s="1">
        <v>53.929223739890411</v>
      </c>
      <c r="C282" s="1">
        <v>65.65614430616202</v>
      </c>
      <c r="D282" s="1">
        <v>74.736542936882543</v>
      </c>
      <c r="E282" s="1" t="s">
        <v>145</v>
      </c>
      <c r="F282" s="1">
        <v>3</v>
      </c>
    </row>
    <row r="283" spans="1:6" x14ac:dyDescent="0.35">
      <c r="A283" s="1">
        <v>2032</v>
      </c>
      <c r="B283" s="1">
        <v>50.361966127778622</v>
      </c>
      <c r="C283" s="1">
        <v>59.12880669238826</v>
      </c>
      <c r="D283" s="1">
        <v>68.79793072034137</v>
      </c>
      <c r="E283" s="1" t="s">
        <v>145</v>
      </c>
      <c r="F283" s="1">
        <v>3</v>
      </c>
    </row>
    <row r="284" spans="1:6" x14ac:dyDescent="0.35">
      <c r="A284" s="1">
        <v>2033</v>
      </c>
      <c r="B284" s="1">
        <v>48.577940411190987</v>
      </c>
      <c r="C284" s="1">
        <v>56.830589460977691</v>
      </c>
      <c r="D284" s="1">
        <v>71.918670253145734</v>
      </c>
      <c r="E284" s="1" t="s">
        <v>145</v>
      </c>
      <c r="F284" s="1">
        <v>3</v>
      </c>
    </row>
    <row r="285" spans="1:6" x14ac:dyDescent="0.35">
      <c r="A285" s="1">
        <v>2034</v>
      </c>
      <c r="B285" s="1">
        <v>48.31265457323574</v>
      </c>
      <c r="C285" s="1">
        <v>59.12206462935697</v>
      </c>
      <c r="D285" s="1">
        <v>74.777520986075672</v>
      </c>
      <c r="E285" s="1" t="s">
        <v>145</v>
      </c>
      <c r="F285" s="1">
        <v>3</v>
      </c>
    </row>
    <row r="286" spans="1:6" x14ac:dyDescent="0.35">
      <c r="A286" s="1">
        <v>2035</v>
      </c>
      <c r="B286" s="1">
        <v>47.054487734068452</v>
      </c>
      <c r="C286" s="1">
        <v>60.717366882776098</v>
      </c>
      <c r="D286" s="1">
        <v>73.607839145765723</v>
      </c>
      <c r="E286" s="1" t="s">
        <v>145</v>
      </c>
      <c r="F286" s="1">
        <v>3</v>
      </c>
    </row>
    <row r="287" spans="1:6" x14ac:dyDescent="0.35">
      <c r="A287" s="1">
        <v>2036</v>
      </c>
      <c r="B287" s="1">
        <v>46.712360597714529</v>
      </c>
      <c r="C287" s="1">
        <v>61.667125339671657</v>
      </c>
      <c r="D287" s="1">
        <v>72.432159048629174</v>
      </c>
      <c r="E287" s="1" t="s">
        <v>145</v>
      </c>
      <c r="F287" s="1">
        <v>3</v>
      </c>
    </row>
    <row r="288" spans="1:6" x14ac:dyDescent="0.35">
      <c r="A288" s="1">
        <v>2037</v>
      </c>
      <c r="B288" s="1">
        <v>47.666542311447827</v>
      </c>
      <c r="C288" s="1">
        <v>61.159353448132357</v>
      </c>
      <c r="D288" s="1">
        <v>73.426487601706839</v>
      </c>
      <c r="E288" s="1" t="s">
        <v>145</v>
      </c>
      <c r="F288" s="1">
        <v>3</v>
      </c>
    </row>
    <row r="289" spans="1:6" x14ac:dyDescent="0.35">
      <c r="A289" s="1">
        <v>2038</v>
      </c>
      <c r="B289" s="1">
        <v>48.162375375038359</v>
      </c>
      <c r="C289" s="1">
        <v>59.100283511614009</v>
      </c>
      <c r="D289" s="1">
        <v>72.694892612896965</v>
      </c>
      <c r="E289" s="1" t="s">
        <v>145</v>
      </c>
      <c r="F289" s="1">
        <v>3</v>
      </c>
    </row>
    <row r="290" spans="1:6" x14ac:dyDescent="0.35">
      <c r="A290" s="1">
        <v>2039</v>
      </c>
      <c r="B290" s="1">
        <v>47.267340300118732</v>
      </c>
      <c r="C290" s="1">
        <v>61.835367261877657</v>
      </c>
      <c r="D290" s="1">
        <v>71.041100613118914</v>
      </c>
      <c r="E290" s="1" t="s">
        <v>145</v>
      </c>
      <c r="F290" s="1">
        <v>3</v>
      </c>
    </row>
    <row r="291" spans="1:6" x14ac:dyDescent="0.35">
      <c r="A291" s="1">
        <v>2040</v>
      </c>
      <c r="B291" s="1">
        <v>46.97549243288789</v>
      </c>
      <c r="C291" s="1">
        <v>60.172060848115812</v>
      </c>
      <c r="D291" s="1">
        <v>73.109525195223483</v>
      </c>
      <c r="E291" s="1" t="s">
        <v>145</v>
      </c>
      <c r="F291" s="1">
        <v>3</v>
      </c>
    </row>
    <row r="292" spans="1:6" x14ac:dyDescent="0.35">
      <c r="A292" s="1">
        <v>2041</v>
      </c>
      <c r="B292" s="1">
        <v>45.763100732738231</v>
      </c>
      <c r="C292" s="1">
        <v>60.119907135811147</v>
      </c>
      <c r="D292" s="1">
        <v>73.67582850385287</v>
      </c>
      <c r="E292" s="1" t="s">
        <v>145</v>
      </c>
      <c r="F292" s="1">
        <v>3</v>
      </c>
    </row>
    <row r="293" spans="1:6" x14ac:dyDescent="0.35">
      <c r="A293" s="1">
        <v>2042</v>
      </c>
      <c r="B293" s="1">
        <v>68.970458755617187</v>
      </c>
      <c r="C293" s="1">
        <v>81.458333339999996</v>
      </c>
      <c r="D293" s="1">
        <v>81.458333339999996</v>
      </c>
      <c r="E293" s="1" t="s">
        <v>145</v>
      </c>
      <c r="F293" s="1">
        <v>3</v>
      </c>
    </row>
    <row r="294" spans="1:6" x14ac:dyDescent="0.35">
      <c r="A294" s="1">
        <v>2043</v>
      </c>
      <c r="B294" s="1">
        <v>65.860039748173278</v>
      </c>
      <c r="C294" s="1">
        <v>78.035325069780583</v>
      </c>
      <c r="D294" s="1">
        <v>81.458333339999996</v>
      </c>
      <c r="E294" s="1" t="s">
        <v>145</v>
      </c>
      <c r="F294" s="1">
        <v>3</v>
      </c>
    </row>
    <row r="295" spans="1:6" x14ac:dyDescent="0.35">
      <c r="A295" s="1">
        <v>2044</v>
      </c>
      <c r="B295" s="1">
        <v>64.558657153592492</v>
      </c>
      <c r="C295" s="1">
        <v>76.436473507737674</v>
      </c>
      <c r="D295" s="1">
        <v>81.458333339999996</v>
      </c>
      <c r="E295" s="1" t="s">
        <v>145</v>
      </c>
      <c r="F295" s="1">
        <v>3</v>
      </c>
    </row>
    <row r="296" spans="1:6" x14ac:dyDescent="0.35">
      <c r="A296" s="1">
        <v>2045</v>
      </c>
      <c r="B296" s="1">
        <v>64.818077685513714</v>
      </c>
      <c r="C296" s="1">
        <v>77.224418965421648</v>
      </c>
      <c r="D296" s="1">
        <v>81.458333339999996</v>
      </c>
      <c r="E296" s="1" t="s">
        <v>145</v>
      </c>
      <c r="F296" s="1">
        <v>3</v>
      </c>
    </row>
    <row r="297" spans="1:6" x14ac:dyDescent="0.35">
      <c r="A297" s="1">
        <v>2046</v>
      </c>
      <c r="B297" s="1">
        <v>66.3650777971487</v>
      </c>
      <c r="C297" s="1">
        <v>73.856427780794576</v>
      </c>
      <c r="D297" s="1">
        <v>81.458333339999996</v>
      </c>
      <c r="E297" s="1" t="s">
        <v>145</v>
      </c>
      <c r="F297" s="1">
        <v>3</v>
      </c>
    </row>
    <row r="298" spans="1:6" x14ac:dyDescent="0.35">
      <c r="A298" s="1">
        <v>2047</v>
      </c>
      <c r="B298" s="1">
        <v>66.354492325486461</v>
      </c>
      <c r="C298" s="1">
        <v>75.091465709592768</v>
      </c>
      <c r="D298" s="1">
        <v>81.458333339999996</v>
      </c>
      <c r="E298" s="1" t="s">
        <v>145</v>
      </c>
      <c r="F298" s="1">
        <v>3</v>
      </c>
    </row>
    <row r="299" spans="1:6" x14ac:dyDescent="0.35">
      <c r="A299" s="1">
        <v>2048</v>
      </c>
      <c r="B299" s="1">
        <v>65.275350405328737</v>
      </c>
      <c r="C299" s="1">
        <v>72.992790132933777</v>
      </c>
      <c r="D299" s="1">
        <v>81.458333339999996</v>
      </c>
      <c r="E299" s="1" t="s">
        <v>145</v>
      </c>
      <c r="F299" s="1">
        <v>3</v>
      </c>
    </row>
    <row r="300" spans="1:6" x14ac:dyDescent="0.35">
      <c r="A300" s="1">
        <v>2049</v>
      </c>
      <c r="B300" s="1">
        <v>66.370446305368034</v>
      </c>
      <c r="C300" s="1">
        <v>72.886200955355008</v>
      </c>
      <c r="D300" s="1">
        <v>78.169023204189827</v>
      </c>
      <c r="E300" s="1" t="s">
        <v>145</v>
      </c>
      <c r="F300" s="1">
        <v>3</v>
      </c>
    </row>
    <row r="301" spans="1:6" x14ac:dyDescent="0.35">
      <c r="A301" s="1">
        <v>2050</v>
      </c>
      <c r="B301" s="1">
        <v>67.311923206044398</v>
      </c>
      <c r="C301" s="1">
        <v>73.133881724523633</v>
      </c>
      <c r="D301" s="1">
        <v>78.82917273236194</v>
      </c>
      <c r="E301" s="1" t="s">
        <v>145</v>
      </c>
      <c r="F301" s="1">
        <v>3</v>
      </c>
    </row>
    <row r="302" spans="1:6" x14ac:dyDescent="0.35">
      <c r="A302" s="1">
        <v>2026</v>
      </c>
      <c r="B302" s="1">
        <v>27.197067746321991</v>
      </c>
      <c r="C302" s="1">
        <v>26.37753752286299</v>
      </c>
      <c r="D302" s="1">
        <v>28.91596340173443</v>
      </c>
      <c r="E302" s="1" t="s">
        <v>146</v>
      </c>
      <c r="F302" s="1">
        <v>3</v>
      </c>
    </row>
    <row r="303" spans="1:6" x14ac:dyDescent="0.35">
      <c r="A303" s="1">
        <v>2027</v>
      </c>
      <c r="B303" s="1">
        <v>26.70817317042162</v>
      </c>
      <c r="C303" s="1">
        <v>26.671062115307151</v>
      </c>
      <c r="D303" s="1">
        <v>28.60895713750384</v>
      </c>
      <c r="E303" s="1" t="s">
        <v>146</v>
      </c>
      <c r="F303" s="1">
        <v>3</v>
      </c>
    </row>
    <row r="304" spans="1:6" x14ac:dyDescent="0.35">
      <c r="A304" s="1">
        <v>2028</v>
      </c>
      <c r="B304" s="1">
        <v>25.634009210329339</v>
      </c>
      <c r="C304" s="1">
        <v>27.569742665892271</v>
      </c>
      <c r="D304" s="1">
        <v>28.666626963830922</v>
      </c>
      <c r="E304" s="1" t="s">
        <v>146</v>
      </c>
      <c r="F304" s="1">
        <v>3</v>
      </c>
    </row>
    <row r="305" spans="1:6" x14ac:dyDescent="0.35">
      <c r="A305" s="1">
        <v>2029</v>
      </c>
      <c r="B305" s="1">
        <v>25.580204670470149</v>
      </c>
      <c r="C305" s="1">
        <v>27.75299192129917</v>
      </c>
      <c r="D305" s="1">
        <v>29.991171387393191</v>
      </c>
      <c r="E305" s="1" t="s">
        <v>146</v>
      </c>
      <c r="F305" s="1">
        <v>3</v>
      </c>
    </row>
    <row r="306" spans="1:6" x14ac:dyDescent="0.35">
      <c r="A306" s="1">
        <v>2030</v>
      </c>
      <c r="B306" s="1">
        <v>25.280219354770232</v>
      </c>
      <c r="C306" s="1">
        <v>26.036379853928509</v>
      </c>
      <c r="D306" s="1">
        <v>29.228701100945681</v>
      </c>
      <c r="E306" s="1" t="s">
        <v>146</v>
      </c>
      <c r="F306" s="1">
        <v>3</v>
      </c>
    </row>
    <row r="307" spans="1:6" x14ac:dyDescent="0.35">
      <c r="A307" s="1">
        <v>2031</v>
      </c>
      <c r="B307" s="1">
        <v>25.28088556119042</v>
      </c>
      <c r="C307" s="1">
        <v>25.905194028337519</v>
      </c>
      <c r="D307" s="1">
        <v>30.623356737203739</v>
      </c>
      <c r="E307" s="1" t="s">
        <v>146</v>
      </c>
      <c r="F307" s="1">
        <v>3</v>
      </c>
    </row>
    <row r="308" spans="1:6" x14ac:dyDescent="0.35">
      <c r="A308" s="1">
        <v>2032</v>
      </c>
      <c r="B308" s="1">
        <v>24.03438418466002</v>
      </c>
      <c r="C308" s="1">
        <v>26.335701971292671</v>
      </c>
      <c r="D308" s="1">
        <v>31.075151351478691</v>
      </c>
      <c r="E308" s="1" t="s">
        <v>146</v>
      </c>
      <c r="F308" s="1">
        <v>3</v>
      </c>
    </row>
    <row r="309" spans="1:6" x14ac:dyDescent="0.35">
      <c r="A309" s="1">
        <v>2033</v>
      </c>
      <c r="B309" s="1">
        <v>23.635183406585899</v>
      </c>
      <c r="C309" s="1">
        <v>26.44308269931939</v>
      </c>
      <c r="D309" s="1">
        <v>32.213857473777118</v>
      </c>
      <c r="E309" s="1" t="s">
        <v>146</v>
      </c>
      <c r="F309" s="1">
        <v>3</v>
      </c>
    </row>
    <row r="310" spans="1:6" x14ac:dyDescent="0.35">
      <c r="A310" s="1">
        <v>2034</v>
      </c>
      <c r="B310" s="1">
        <v>36.880565083134449</v>
      </c>
      <c r="C310" s="1">
        <v>43.597272909250449</v>
      </c>
      <c r="D310" s="1">
        <v>48.010467551809768</v>
      </c>
      <c r="E310" s="1" t="s">
        <v>146</v>
      </c>
      <c r="F310" s="1">
        <v>3</v>
      </c>
    </row>
    <row r="311" spans="1:6" x14ac:dyDescent="0.35">
      <c r="A311" s="1">
        <v>2035</v>
      </c>
      <c r="B311" s="1">
        <v>33.33539216793114</v>
      </c>
      <c r="C311" s="1">
        <v>41.292124969121588</v>
      </c>
      <c r="D311" s="1">
        <v>45.69154940043844</v>
      </c>
      <c r="E311" s="1" t="s">
        <v>146</v>
      </c>
      <c r="F311" s="1">
        <v>3</v>
      </c>
    </row>
    <row r="312" spans="1:6" x14ac:dyDescent="0.35">
      <c r="A312" s="1">
        <v>2036</v>
      </c>
      <c r="B312" s="1">
        <v>33.696933976161183</v>
      </c>
      <c r="C312" s="1">
        <v>42.864342252338858</v>
      </c>
      <c r="D312" s="1">
        <v>46.84945586792432</v>
      </c>
      <c r="E312" s="1" t="s">
        <v>146</v>
      </c>
      <c r="F312" s="1">
        <v>3</v>
      </c>
    </row>
    <row r="313" spans="1:6" x14ac:dyDescent="0.35">
      <c r="A313" s="1">
        <v>2037</v>
      </c>
      <c r="B313" s="1">
        <v>33.39848007510593</v>
      </c>
      <c r="C313" s="1">
        <v>41.509416966860229</v>
      </c>
      <c r="D313" s="1">
        <v>47.651364824037167</v>
      </c>
      <c r="E313" s="1" t="s">
        <v>146</v>
      </c>
      <c r="F313" s="1">
        <v>3</v>
      </c>
    </row>
    <row r="314" spans="1:6" x14ac:dyDescent="0.35">
      <c r="A314" s="1">
        <v>2038</v>
      </c>
      <c r="B314" s="1">
        <v>33.374650156170823</v>
      </c>
      <c r="C314" s="1">
        <v>41.473061725850343</v>
      </c>
      <c r="D314" s="1">
        <v>48.241202061332217</v>
      </c>
      <c r="E314" s="1" t="s">
        <v>146</v>
      </c>
      <c r="F314" s="1">
        <v>3</v>
      </c>
    </row>
    <row r="315" spans="1:6" x14ac:dyDescent="0.35">
      <c r="A315" s="1">
        <v>2039</v>
      </c>
      <c r="B315" s="1">
        <v>32.742320291827212</v>
      </c>
      <c r="C315" s="1">
        <v>41.348495619450141</v>
      </c>
      <c r="D315" s="1">
        <v>49.014233679924857</v>
      </c>
      <c r="E315" s="1" t="s">
        <v>146</v>
      </c>
      <c r="F315" s="1">
        <v>3</v>
      </c>
    </row>
    <row r="316" spans="1:6" x14ac:dyDescent="0.35">
      <c r="A316" s="1">
        <v>2040</v>
      </c>
      <c r="B316" s="1">
        <v>33.176013936227527</v>
      </c>
      <c r="C316" s="1">
        <v>40.855558067190877</v>
      </c>
      <c r="D316" s="1">
        <v>48.822247067527321</v>
      </c>
      <c r="E316" s="1" t="s">
        <v>146</v>
      </c>
      <c r="F316" s="1">
        <v>3</v>
      </c>
    </row>
    <row r="317" spans="1:6" x14ac:dyDescent="0.35">
      <c r="A317" s="1">
        <v>2041</v>
      </c>
      <c r="B317" s="1">
        <v>33.553430454493871</v>
      </c>
      <c r="C317" s="1">
        <v>40.267115979311058</v>
      </c>
      <c r="D317" s="1">
        <v>50.547987611515353</v>
      </c>
      <c r="E317" s="1" t="s">
        <v>146</v>
      </c>
      <c r="F317" s="1">
        <v>3</v>
      </c>
    </row>
    <row r="318" spans="1:6" x14ac:dyDescent="0.35">
      <c r="A318" s="1">
        <v>2042</v>
      </c>
      <c r="B318" s="1">
        <v>32.312253320391179</v>
      </c>
      <c r="C318" s="1">
        <v>41.980224935361527</v>
      </c>
      <c r="D318" s="1">
        <v>47.546366316076387</v>
      </c>
      <c r="E318" s="1" t="s">
        <v>146</v>
      </c>
      <c r="F318" s="1">
        <v>3</v>
      </c>
    </row>
    <row r="319" spans="1:6" x14ac:dyDescent="0.35">
      <c r="A319" s="1">
        <v>2043</v>
      </c>
      <c r="B319" s="1">
        <v>32.34562191813307</v>
      </c>
      <c r="C319" s="1">
        <v>40.62136214889528</v>
      </c>
      <c r="D319" s="1">
        <v>49.019047075676511</v>
      </c>
      <c r="E319" s="1" t="s">
        <v>146</v>
      </c>
      <c r="F319" s="1">
        <v>3</v>
      </c>
    </row>
    <row r="320" spans="1:6" x14ac:dyDescent="0.35">
      <c r="A320" s="1">
        <v>2044</v>
      </c>
      <c r="B320" s="1">
        <v>32.653541455187543</v>
      </c>
      <c r="C320" s="1">
        <v>41.279967843268068</v>
      </c>
      <c r="D320" s="1">
        <v>48.534761153295307</v>
      </c>
      <c r="E320" s="1" t="s">
        <v>146</v>
      </c>
      <c r="F320" s="1">
        <v>3</v>
      </c>
    </row>
    <row r="321" spans="1:6" x14ac:dyDescent="0.35">
      <c r="A321" s="1">
        <v>2045</v>
      </c>
      <c r="B321" s="1">
        <v>31.067705183856841</v>
      </c>
      <c r="C321" s="1">
        <v>40.151517947760269</v>
      </c>
      <c r="D321" s="1">
        <v>48.757041664228879</v>
      </c>
      <c r="E321" s="1" t="s">
        <v>146</v>
      </c>
      <c r="F321" s="1">
        <v>3</v>
      </c>
    </row>
    <row r="322" spans="1:6" x14ac:dyDescent="0.35">
      <c r="A322" s="1">
        <v>2046</v>
      </c>
      <c r="B322" s="1">
        <v>30.116202695710729</v>
      </c>
      <c r="C322" s="1">
        <v>40.312266364897368</v>
      </c>
      <c r="D322" s="1">
        <v>47.61039644917139</v>
      </c>
      <c r="E322" s="1" t="s">
        <v>146</v>
      </c>
      <c r="F322" s="1">
        <v>3</v>
      </c>
    </row>
    <row r="323" spans="1:6" x14ac:dyDescent="0.35">
      <c r="A323" s="1">
        <v>2047</v>
      </c>
      <c r="B323" s="1">
        <v>31.084548000479529</v>
      </c>
      <c r="C323" s="1">
        <v>40.753484650747659</v>
      </c>
      <c r="D323" s="1">
        <v>50.725076867303962</v>
      </c>
      <c r="E323" s="1" t="s">
        <v>146</v>
      </c>
      <c r="F323" s="1">
        <v>3</v>
      </c>
    </row>
    <row r="324" spans="1:6" x14ac:dyDescent="0.35">
      <c r="A324" s="1">
        <v>2048</v>
      </c>
      <c r="B324" s="1">
        <v>51.249755478489732</v>
      </c>
      <c r="C324" s="1">
        <v>67.191136998838843</v>
      </c>
      <c r="D324" s="1">
        <v>78.717117703019142</v>
      </c>
      <c r="E324" s="1" t="s">
        <v>146</v>
      </c>
      <c r="F324" s="1">
        <v>3</v>
      </c>
    </row>
    <row r="325" spans="1:6" x14ac:dyDescent="0.35">
      <c r="A325" s="1">
        <v>2049</v>
      </c>
      <c r="B325" s="1">
        <v>49.618415278476917</v>
      </c>
      <c r="C325" s="1">
        <v>59.485371547228297</v>
      </c>
      <c r="D325" s="1">
        <v>74.396440974039976</v>
      </c>
      <c r="E325" s="1" t="s">
        <v>146</v>
      </c>
      <c r="F325" s="1">
        <v>3</v>
      </c>
    </row>
    <row r="326" spans="1:6" x14ac:dyDescent="0.35">
      <c r="A326" s="1">
        <v>2050</v>
      </c>
      <c r="B326" s="1">
        <v>69.677790533155203</v>
      </c>
      <c r="C326" s="1">
        <v>81.458333339999996</v>
      </c>
      <c r="D326" s="1">
        <v>81.458333339999996</v>
      </c>
      <c r="E326" s="1" t="s">
        <v>146</v>
      </c>
      <c r="F326" s="1">
        <v>3</v>
      </c>
    </row>
    <row r="327" spans="1:6" x14ac:dyDescent="0.35">
      <c r="A327" s="1">
        <v>2026</v>
      </c>
      <c r="B327" s="1">
        <v>28.064040004486799</v>
      </c>
      <c r="C327" s="1">
        <v>27.535473897924891</v>
      </c>
      <c r="D327" s="1">
        <v>28.096969940877361</v>
      </c>
      <c r="E327" s="1" t="s">
        <v>147</v>
      </c>
      <c r="F327" s="1">
        <v>3</v>
      </c>
    </row>
    <row r="328" spans="1:6" x14ac:dyDescent="0.35">
      <c r="A328" s="1">
        <v>2027</v>
      </c>
      <c r="B328" s="1">
        <v>26.44349570962752</v>
      </c>
      <c r="C328" s="1">
        <v>27.538575667356842</v>
      </c>
      <c r="D328" s="1">
        <v>28.35060595142415</v>
      </c>
      <c r="E328" s="1" t="s">
        <v>147</v>
      </c>
      <c r="F328" s="1">
        <v>3</v>
      </c>
    </row>
    <row r="329" spans="1:6" x14ac:dyDescent="0.35">
      <c r="A329" s="1">
        <v>2028</v>
      </c>
      <c r="B329" s="1">
        <v>25.546561638815991</v>
      </c>
      <c r="C329" s="1">
        <v>26.913304795115732</v>
      </c>
      <c r="D329" s="1">
        <v>27.575865169264269</v>
      </c>
      <c r="E329" s="1" t="s">
        <v>147</v>
      </c>
      <c r="F329" s="1">
        <v>3</v>
      </c>
    </row>
    <row r="330" spans="1:6" x14ac:dyDescent="0.35">
      <c r="A330" s="1">
        <v>2029</v>
      </c>
      <c r="B330" s="1">
        <v>42.119159567167848</v>
      </c>
      <c r="C330" s="1">
        <v>44.372538080543059</v>
      </c>
      <c r="D330" s="1">
        <v>45.464915462524793</v>
      </c>
      <c r="E330" s="1" t="s">
        <v>147</v>
      </c>
      <c r="F330" s="1">
        <v>3</v>
      </c>
    </row>
    <row r="331" spans="1:6" x14ac:dyDescent="0.35">
      <c r="A331" s="1">
        <v>2030</v>
      </c>
      <c r="B331" s="1">
        <v>36.034626089016299</v>
      </c>
      <c r="C331" s="1">
        <v>40.224822227854069</v>
      </c>
      <c r="D331" s="1">
        <v>44.206551872756542</v>
      </c>
      <c r="E331" s="1" t="s">
        <v>147</v>
      </c>
      <c r="F331" s="1">
        <v>3</v>
      </c>
    </row>
    <row r="332" spans="1:6" x14ac:dyDescent="0.35">
      <c r="A332" s="1">
        <v>2031</v>
      </c>
      <c r="B332" s="1">
        <v>35.568606579569867</v>
      </c>
      <c r="C332" s="1">
        <v>40.004355261635617</v>
      </c>
      <c r="D332" s="1">
        <v>41.656888237698112</v>
      </c>
      <c r="E332" s="1" t="s">
        <v>147</v>
      </c>
      <c r="F332" s="1">
        <v>3</v>
      </c>
    </row>
    <row r="333" spans="1:6" x14ac:dyDescent="0.35">
      <c r="A333" s="1">
        <v>2032</v>
      </c>
      <c r="B333" s="1">
        <v>34.377282548280192</v>
      </c>
      <c r="C333" s="1">
        <v>39.27574724631036</v>
      </c>
      <c r="D333" s="1">
        <v>44.34688599442439</v>
      </c>
      <c r="E333" s="1" t="s">
        <v>147</v>
      </c>
      <c r="F333" s="1">
        <v>3</v>
      </c>
    </row>
    <row r="334" spans="1:6" x14ac:dyDescent="0.35">
      <c r="A334" s="1">
        <v>2033</v>
      </c>
      <c r="B334" s="1">
        <v>33.327973956331348</v>
      </c>
      <c r="C334" s="1">
        <v>41.160326796795339</v>
      </c>
      <c r="D334" s="1">
        <v>44.65831810795374</v>
      </c>
      <c r="E334" s="1" t="s">
        <v>147</v>
      </c>
      <c r="F334" s="1">
        <v>3</v>
      </c>
    </row>
    <row r="335" spans="1:6" x14ac:dyDescent="0.35">
      <c r="A335" s="1">
        <v>2034</v>
      </c>
      <c r="B335" s="1">
        <v>31.038809611073759</v>
      </c>
      <c r="C335" s="1">
        <v>42.71496005241714</v>
      </c>
      <c r="D335" s="1">
        <v>45.036768415739623</v>
      </c>
      <c r="E335" s="1" t="s">
        <v>147</v>
      </c>
      <c r="F335" s="1">
        <v>3</v>
      </c>
    </row>
    <row r="336" spans="1:6" x14ac:dyDescent="0.35">
      <c r="A336" s="1">
        <v>2035</v>
      </c>
      <c r="B336" s="1">
        <v>31.70069126195466</v>
      </c>
      <c r="C336" s="1">
        <v>41.326804374775037</v>
      </c>
      <c r="D336" s="1">
        <v>47.51858340805984</v>
      </c>
      <c r="E336" s="1" t="s">
        <v>147</v>
      </c>
      <c r="F336" s="1">
        <v>3</v>
      </c>
    </row>
    <row r="337" spans="1:6" x14ac:dyDescent="0.35">
      <c r="A337" s="1">
        <v>2036</v>
      </c>
      <c r="B337" s="1">
        <v>32.068804999427023</v>
      </c>
      <c r="C337" s="1">
        <v>40.836817490978341</v>
      </c>
      <c r="D337" s="1">
        <v>46.517238714851423</v>
      </c>
      <c r="E337" s="1" t="s">
        <v>147</v>
      </c>
      <c r="F337" s="1">
        <v>3</v>
      </c>
    </row>
    <row r="338" spans="1:6" x14ac:dyDescent="0.35">
      <c r="A338" s="1">
        <v>2037</v>
      </c>
      <c r="B338" s="1">
        <v>33.797888323436737</v>
      </c>
      <c r="C338" s="1">
        <v>41.498120499232073</v>
      </c>
      <c r="D338" s="1">
        <v>47.891553234328498</v>
      </c>
      <c r="E338" s="1" t="s">
        <v>147</v>
      </c>
      <c r="F338" s="1">
        <v>3</v>
      </c>
    </row>
    <row r="339" spans="1:6" x14ac:dyDescent="0.35">
      <c r="A339" s="1">
        <v>2038</v>
      </c>
      <c r="B339" s="1">
        <v>32.607627949248133</v>
      </c>
      <c r="C339" s="1">
        <v>40.732087707609352</v>
      </c>
      <c r="D339" s="1">
        <v>48.261834701589542</v>
      </c>
      <c r="E339" s="1" t="s">
        <v>147</v>
      </c>
      <c r="F339" s="1">
        <v>3</v>
      </c>
    </row>
    <row r="340" spans="1:6" x14ac:dyDescent="0.35">
      <c r="A340" s="1">
        <v>2039</v>
      </c>
      <c r="B340" s="1">
        <v>32.897612199596637</v>
      </c>
      <c r="C340" s="1">
        <v>42.177881843599351</v>
      </c>
      <c r="D340" s="1">
        <v>47.655951975091483</v>
      </c>
      <c r="E340" s="1" t="s">
        <v>147</v>
      </c>
      <c r="F340" s="1">
        <v>3</v>
      </c>
    </row>
    <row r="341" spans="1:6" x14ac:dyDescent="0.35">
      <c r="A341" s="1">
        <v>2040</v>
      </c>
      <c r="B341" s="1">
        <v>32.945336034107157</v>
      </c>
      <c r="C341" s="1">
        <v>43.092690085184238</v>
      </c>
      <c r="D341" s="1">
        <v>48.093489387326237</v>
      </c>
      <c r="E341" s="1" t="s">
        <v>147</v>
      </c>
      <c r="F341" s="1">
        <v>3</v>
      </c>
    </row>
    <row r="342" spans="1:6" x14ac:dyDescent="0.35">
      <c r="A342" s="1">
        <v>2041</v>
      </c>
      <c r="B342" s="1">
        <v>32.776465368424972</v>
      </c>
      <c r="C342" s="1">
        <v>41.601289465016322</v>
      </c>
      <c r="D342" s="1">
        <v>47.732711445553683</v>
      </c>
      <c r="E342" s="1" t="s">
        <v>147</v>
      </c>
      <c r="F342" s="1">
        <v>3</v>
      </c>
    </row>
    <row r="343" spans="1:6" x14ac:dyDescent="0.35">
      <c r="A343" s="1">
        <v>2042</v>
      </c>
      <c r="B343" s="1">
        <v>32.283618286011937</v>
      </c>
      <c r="C343" s="1">
        <v>41.724764675636337</v>
      </c>
      <c r="D343" s="1">
        <v>47.143748760419399</v>
      </c>
      <c r="E343" s="1" t="s">
        <v>147</v>
      </c>
      <c r="F343" s="1">
        <v>3</v>
      </c>
    </row>
    <row r="344" spans="1:6" x14ac:dyDescent="0.35">
      <c r="A344" s="1">
        <v>2043</v>
      </c>
      <c r="B344" s="1">
        <v>30.985039982869068</v>
      </c>
      <c r="C344" s="1">
        <v>39.269015671388502</v>
      </c>
      <c r="D344" s="1">
        <v>48.525565827271834</v>
      </c>
      <c r="E344" s="1" t="s">
        <v>147</v>
      </c>
      <c r="F344" s="1">
        <v>3</v>
      </c>
    </row>
    <row r="345" spans="1:6" x14ac:dyDescent="0.35">
      <c r="A345" s="1">
        <v>2044</v>
      </c>
      <c r="B345" s="1">
        <v>51.085694493250173</v>
      </c>
      <c r="C345" s="1">
        <v>64.7436614168749</v>
      </c>
      <c r="D345" s="1">
        <v>80.005132552182317</v>
      </c>
      <c r="E345" s="1" t="s">
        <v>147</v>
      </c>
      <c r="F345" s="1">
        <v>3</v>
      </c>
    </row>
    <row r="346" spans="1:6" x14ac:dyDescent="0.35">
      <c r="A346" s="1">
        <v>2045</v>
      </c>
      <c r="B346" s="1">
        <v>46.986638746295689</v>
      </c>
      <c r="C346" s="1">
        <v>60.949681303772991</v>
      </c>
      <c r="D346" s="1">
        <v>72.418510940388529</v>
      </c>
      <c r="E346" s="1" t="s">
        <v>147</v>
      </c>
      <c r="F346" s="1">
        <v>3</v>
      </c>
    </row>
    <row r="347" spans="1:6" x14ac:dyDescent="0.35">
      <c r="A347" s="1">
        <v>2046</v>
      </c>
      <c r="B347" s="1">
        <v>46.348091087457362</v>
      </c>
      <c r="C347" s="1">
        <v>62.399826161069299</v>
      </c>
      <c r="D347" s="1">
        <v>73.251029256240955</v>
      </c>
      <c r="E347" s="1" t="s">
        <v>147</v>
      </c>
      <c r="F347" s="1">
        <v>3</v>
      </c>
    </row>
    <row r="348" spans="1:6" x14ac:dyDescent="0.35">
      <c r="A348" s="1">
        <v>2047</v>
      </c>
      <c r="B348" s="1">
        <v>44.496251745536789</v>
      </c>
      <c r="C348" s="1">
        <v>59.588544558570668</v>
      </c>
      <c r="D348" s="1">
        <v>70.442502327769446</v>
      </c>
      <c r="E348" s="1" t="s">
        <v>147</v>
      </c>
      <c r="F348" s="1">
        <v>3</v>
      </c>
    </row>
    <row r="349" spans="1:6" x14ac:dyDescent="0.35">
      <c r="A349" s="1">
        <v>2048</v>
      </c>
      <c r="B349" s="1">
        <v>43.969607017016017</v>
      </c>
      <c r="C349" s="1">
        <v>60.636030877938254</v>
      </c>
      <c r="D349" s="1">
        <v>73.262891792104071</v>
      </c>
      <c r="E349" s="1" t="s">
        <v>147</v>
      </c>
      <c r="F349" s="1">
        <v>3</v>
      </c>
    </row>
    <row r="350" spans="1:6" x14ac:dyDescent="0.35">
      <c r="A350" s="1">
        <v>2049</v>
      </c>
      <c r="B350" s="1">
        <v>72.493626353279936</v>
      </c>
      <c r="C350" s="1">
        <v>81.458333339999996</v>
      </c>
      <c r="D350" s="1">
        <v>81.458333339999996</v>
      </c>
      <c r="E350" s="1" t="s">
        <v>147</v>
      </c>
      <c r="F350" s="1">
        <v>3</v>
      </c>
    </row>
    <row r="351" spans="1:6" x14ac:dyDescent="0.35">
      <c r="A351" s="1">
        <v>2050</v>
      </c>
      <c r="B351" s="1">
        <v>63.592120078600701</v>
      </c>
      <c r="C351" s="1">
        <v>76.612118779630023</v>
      </c>
      <c r="D351" s="1">
        <v>80.551098187326474</v>
      </c>
      <c r="E351" s="1" t="s">
        <v>147</v>
      </c>
      <c r="F351" s="1">
        <v>3</v>
      </c>
    </row>
    <row r="352" spans="1:6" x14ac:dyDescent="0.35">
      <c r="A352" s="1">
        <v>2026</v>
      </c>
      <c r="B352" s="1">
        <v>26.612747123287509</v>
      </c>
      <c r="C352" s="1">
        <v>27.737998910199501</v>
      </c>
      <c r="D352" s="1">
        <v>27.835285592683061</v>
      </c>
      <c r="E352" s="1" t="s">
        <v>148</v>
      </c>
      <c r="F352" s="1">
        <v>3</v>
      </c>
    </row>
    <row r="353" spans="1:6" x14ac:dyDescent="0.35">
      <c r="A353" s="1">
        <v>2027</v>
      </c>
      <c r="B353" s="1">
        <v>35.163265372693452</v>
      </c>
      <c r="C353" s="1">
        <v>45.190795839351878</v>
      </c>
      <c r="D353" s="1">
        <v>45.892627432669393</v>
      </c>
      <c r="E353" s="1" t="s">
        <v>148</v>
      </c>
      <c r="F353" s="1">
        <v>3</v>
      </c>
    </row>
    <row r="354" spans="1:6" x14ac:dyDescent="0.35">
      <c r="A354" s="1">
        <v>2028</v>
      </c>
      <c r="B354" s="1">
        <v>33.828355392422409</v>
      </c>
      <c r="C354" s="1">
        <v>41.76644279109879</v>
      </c>
      <c r="D354" s="1">
        <v>42.932600148509422</v>
      </c>
      <c r="E354" s="1" t="s">
        <v>148</v>
      </c>
      <c r="F354" s="1">
        <v>3</v>
      </c>
    </row>
    <row r="355" spans="1:6" x14ac:dyDescent="0.35">
      <c r="A355" s="1">
        <v>2029</v>
      </c>
      <c r="B355" s="1">
        <v>33.859150130325332</v>
      </c>
      <c r="C355" s="1">
        <v>41.43651800025556</v>
      </c>
      <c r="D355" s="1">
        <v>45.485832783442611</v>
      </c>
      <c r="E355" s="1" t="s">
        <v>148</v>
      </c>
      <c r="F355" s="1">
        <v>3</v>
      </c>
    </row>
    <row r="356" spans="1:6" x14ac:dyDescent="0.35">
      <c r="A356" s="1">
        <v>2030</v>
      </c>
      <c r="B356" s="1">
        <v>32.562761859649441</v>
      </c>
      <c r="C356" s="1">
        <v>40.360847114536668</v>
      </c>
      <c r="D356" s="1">
        <v>45.544117074144687</v>
      </c>
      <c r="E356" s="1" t="s">
        <v>148</v>
      </c>
      <c r="F356" s="1">
        <v>3</v>
      </c>
    </row>
    <row r="357" spans="1:6" x14ac:dyDescent="0.35">
      <c r="A357" s="1">
        <v>2031</v>
      </c>
      <c r="B357" s="1">
        <v>34.665385400589813</v>
      </c>
      <c r="C357" s="1">
        <v>39.552010888306583</v>
      </c>
      <c r="D357" s="1">
        <v>45.121139979091282</v>
      </c>
      <c r="E357" s="1" t="s">
        <v>148</v>
      </c>
      <c r="F357" s="1">
        <v>3</v>
      </c>
    </row>
    <row r="358" spans="1:6" x14ac:dyDescent="0.35">
      <c r="A358" s="1">
        <v>2032</v>
      </c>
      <c r="B358" s="1">
        <v>34.207825349513932</v>
      </c>
      <c r="C358" s="1">
        <v>40.907481371017347</v>
      </c>
      <c r="D358" s="1">
        <v>45.78435914373366</v>
      </c>
      <c r="E358" s="1" t="s">
        <v>148</v>
      </c>
      <c r="F358" s="1">
        <v>3</v>
      </c>
    </row>
    <row r="359" spans="1:6" x14ac:dyDescent="0.35">
      <c r="A359" s="1">
        <v>2033</v>
      </c>
      <c r="B359" s="1">
        <v>34.632905085657271</v>
      </c>
      <c r="C359" s="1">
        <v>41.971092074974692</v>
      </c>
      <c r="D359" s="1">
        <v>46.836921534260469</v>
      </c>
      <c r="E359" s="1" t="s">
        <v>148</v>
      </c>
      <c r="F359" s="1">
        <v>3</v>
      </c>
    </row>
    <row r="360" spans="1:6" x14ac:dyDescent="0.35">
      <c r="A360" s="1">
        <v>2034</v>
      </c>
      <c r="B360" s="1">
        <v>33.249572103182921</v>
      </c>
      <c r="C360" s="1">
        <v>40.826252610531057</v>
      </c>
      <c r="D360" s="1">
        <v>47.693320550529499</v>
      </c>
      <c r="E360" s="1" t="s">
        <v>148</v>
      </c>
      <c r="F360" s="1">
        <v>3</v>
      </c>
    </row>
    <row r="361" spans="1:6" x14ac:dyDescent="0.35">
      <c r="A361" s="1">
        <v>2035</v>
      </c>
      <c r="B361" s="1">
        <v>54.81927676819528</v>
      </c>
      <c r="C361" s="1">
        <v>65.745285458633418</v>
      </c>
      <c r="D361" s="1">
        <v>77.568499739100957</v>
      </c>
      <c r="E361" s="1" t="s">
        <v>148</v>
      </c>
      <c r="F361" s="1">
        <v>3</v>
      </c>
    </row>
    <row r="362" spans="1:6" x14ac:dyDescent="0.35">
      <c r="A362" s="1">
        <v>2036</v>
      </c>
      <c r="B362" s="1">
        <v>50.434913784506293</v>
      </c>
      <c r="C362" s="1">
        <v>60.630543700526417</v>
      </c>
      <c r="D362" s="1">
        <v>72.379679268544152</v>
      </c>
      <c r="E362" s="1" t="s">
        <v>148</v>
      </c>
      <c r="F362" s="1">
        <v>3</v>
      </c>
    </row>
    <row r="363" spans="1:6" x14ac:dyDescent="0.35">
      <c r="A363" s="1">
        <v>2037</v>
      </c>
      <c r="B363" s="1">
        <v>49.625003628554808</v>
      </c>
      <c r="C363" s="1">
        <v>58.752978224545508</v>
      </c>
      <c r="D363" s="1">
        <v>73.337993330253582</v>
      </c>
      <c r="E363" s="1" t="s">
        <v>148</v>
      </c>
      <c r="F363" s="1">
        <v>3</v>
      </c>
    </row>
    <row r="364" spans="1:6" x14ac:dyDescent="0.35">
      <c r="A364" s="1">
        <v>2038</v>
      </c>
      <c r="B364" s="1">
        <v>74.644618927051908</v>
      </c>
      <c r="C364" s="1">
        <v>81.458333339999996</v>
      </c>
      <c r="D364" s="1">
        <v>81.458333339999996</v>
      </c>
      <c r="E364" s="1" t="s">
        <v>148</v>
      </c>
      <c r="F364" s="1">
        <v>3</v>
      </c>
    </row>
    <row r="365" spans="1:6" x14ac:dyDescent="0.35">
      <c r="A365" s="1">
        <v>2039</v>
      </c>
      <c r="B365" s="1">
        <v>65.483468457505566</v>
      </c>
      <c r="C365" s="1">
        <v>70.641497034865907</v>
      </c>
      <c r="D365" s="1">
        <v>78.620638204034236</v>
      </c>
      <c r="E365" s="1" t="s">
        <v>148</v>
      </c>
      <c r="F365" s="1">
        <v>3</v>
      </c>
    </row>
    <row r="366" spans="1:6" x14ac:dyDescent="0.35">
      <c r="A366" s="1">
        <v>2040</v>
      </c>
      <c r="B366" s="1">
        <v>66.967214211951799</v>
      </c>
      <c r="C366" s="1">
        <v>72.584018188155426</v>
      </c>
      <c r="D366" s="1">
        <v>77.723090214745739</v>
      </c>
      <c r="E366" s="1" t="s">
        <v>148</v>
      </c>
      <c r="F366" s="1">
        <v>3</v>
      </c>
    </row>
    <row r="367" spans="1:6" x14ac:dyDescent="0.35">
      <c r="A367" s="1">
        <v>2041</v>
      </c>
      <c r="B367" s="1">
        <v>67.933698839785933</v>
      </c>
      <c r="C367" s="1">
        <v>74.08247356073872</v>
      </c>
      <c r="D367" s="1">
        <v>81.458333339999996</v>
      </c>
      <c r="E367" s="1" t="s">
        <v>148</v>
      </c>
      <c r="F367" s="1">
        <v>3</v>
      </c>
    </row>
    <row r="368" spans="1:6" x14ac:dyDescent="0.35">
      <c r="A368" s="1">
        <v>2042</v>
      </c>
      <c r="B368" s="1">
        <v>68.499053111697521</v>
      </c>
      <c r="C368" s="1">
        <v>77.788358599742281</v>
      </c>
      <c r="D368" s="1">
        <v>81.458333339999996</v>
      </c>
      <c r="E368" s="1" t="s">
        <v>148</v>
      </c>
      <c r="F368" s="1">
        <v>3</v>
      </c>
    </row>
    <row r="369" spans="1:6" x14ac:dyDescent="0.35">
      <c r="A369" s="1">
        <v>2043</v>
      </c>
      <c r="B369" s="1">
        <v>64.83479312957077</v>
      </c>
      <c r="C369" s="1">
        <v>76.086918469638832</v>
      </c>
      <c r="D369" s="1">
        <v>81.458333339999996</v>
      </c>
      <c r="E369" s="1" t="s">
        <v>148</v>
      </c>
      <c r="F369" s="1">
        <v>3</v>
      </c>
    </row>
    <row r="370" spans="1:6" x14ac:dyDescent="0.35">
      <c r="A370" s="1">
        <v>2044</v>
      </c>
      <c r="B370" s="1">
        <v>68.387925399743366</v>
      </c>
      <c r="C370" s="1">
        <v>72.589478128030365</v>
      </c>
      <c r="D370" s="1">
        <v>80.410408569946284</v>
      </c>
      <c r="E370" s="1" t="s">
        <v>148</v>
      </c>
      <c r="F370" s="1">
        <v>3</v>
      </c>
    </row>
    <row r="371" spans="1:6" x14ac:dyDescent="0.35">
      <c r="A371" s="1">
        <v>2045</v>
      </c>
      <c r="B371" s="1">
        <v>67.968844051969128</v>
      </c>
      <c r="C371" s="1">
        <v>73.865739310984424</v>
      </c>
      <c r="D371" s="1">
        <v>81.458333339999996</v>
      </c>
      <c r="E371" s="1" t="s">
        <v>148</v>
      </c>
      <c r="F371" s="1">
        <v>3</v>
      </c>
    </row>
    <row r="372" spans="1:6" x14ac:dyDescent="0.35">
      <c r="A372" s="1">
        <v>2046</v>
      </c>
      <c r="B372" s="1">
        <v>66.015919537964535</v>
      </c>
      <c r="C372" s="1">
        <v>73.427966025000259</v>
      </c>
      <c r="D372" s="1">
        <v>81.458333339999996</v>
      </c>
      <c r="E372" s="1" t="s">
        <v>148</v>
      </c>
      <c r="F372" s="1">
        <v>3</v>
      </c>
    </row>
    <row r="373" spans="1:6" x14ac:dyDescent="0.35">
      <c r="A373" s="1">
        <v>2047</v>
      </c>
      <c r="B373" s="1">
        <v>67.57199864464458</v>
      </c>
      <c r="C373" s="1">
        <v>73.165840793362676</v>
      </c>
      <c r="D373" s="1">
        <v>80.924422325429987</v>
      </c>
      <c r="E373" s="1" t="s">
        <v>148</v>
      </c>
      <c r="F373" s="1">
        <v>3</v>
      </c>
    </row>
    <row r="374" spans="1:6" x14ac:dyDescent="0.35">
      <c r="A374" s="1">
        <v>2048</v>
      </c>
      <c r="B374" s="1">
        <v>65.964638823839948</v>
      </c>
      <c r="C374" s="1">
        <v>74.84815002693621</v>
      </c>
      <c r="D374" s="1">
        <v>81.458333339999996</v>
      </c>
      <c r="E374" s="1" t="s">
        <v>148</v>
      </c>
      <c r="F374" s="1">
        <v>3</v>
      </c>
    </row>
    <row r="375" spans="1:6" x14ac:dyDescent="0.35">
      <c r="A375" s="1">
        <v>2049</v>
      </c>
      <c r="B375" s="1">
        <v>64.677150174704082</v>
      </c>
      <c r="C375" s="1">
        <v>73.95897775067084</v>
      </c>
      <c r="D375" s="1">
        <v>81.458333339999996</v>
      </c>
      <c r="E375" s="1" t="s">
        <v>148</v>
      </c>
      <c r="F375" s="1">
        <v>3</v>
      </c>
    </row>
    <row r="376" spans="1:6" x14ac:dyDescent="0.35">
      <c r="A376" s="1">
        <v>2050</v>
      </c>
      <c r="B376" s="1">
        <v>62.079770649338577</v>
      </c>
      <c r="C376" s="1">
        <v>73.713144387297248</v>
      </c>
      <c r="D376" s="1">
        <v>81.458333339999996</v>
      </c>
      <c r="E376" s="1" t="s">
        <v>148</v>
      </c>
      <c r="F376" s="1">
        <v>3</v>
      </c>
    </row>
    <row r="377" spans="1:6" x14ac:dyDescent="0.35">
      <c r="A377" s="1">
        <v>2026</v>
      </c>
      <c r="B377" s="1">
        <v>37.595842097249196</v>
      </c>
      <c r="C377" s="1">
        <v>44.767362284479809</v>
      </c>
      <c r="D377" s="1">
        <v>44.767362284479809</v>
      </c>
      <c r="E377" s="1" t="s">
        <v>149</v>
      </c>
      <c r="F377" s="1">
        <v>4</v>
      </c>
    </row>
    <row r="378" spans="1:6" x14ac:dyDescent="0.35">
      <c r="A378" s="1">
        <v>2027</v>
      </c>
      <c r="B378" s="1">
        <v>34.755200313251969</v>
      </c>
      <c r="C378" s="1">
        <v>42.065307942308458</v>
      </c>
      <c r="D378" s="1">
        <v>43.604206165501012</v>
      </c>
      <c r="E378" s="1" t="s">
        <v>149</v>
      </c>
      <c r="F378" s="1">
        <v>4</v>
      </c>
    </row>
    <row r="379" spans="1:6" x14ac:dyDescent="0.35">
      <c r="A379" s="1">
        <v>2028</v>
      </c>
      <c r="B379" s="1">
        <v>34.718781029783933</v>
      </c>
      <c r="C379" s="1">
        <v>39.884053208581037</v>
      </c>
      <c r="D379" s="1">
        <v>45.303780232816443</v>
      </c>
      <c r="E379" s="1" t="s">
        <v>149</v>
      </c>
      <c r="F379" s="1">
        <v>4</v>
      </c>
    </row>
    <row r="380" spans="1:6" x14ac:dyDescent="0.35">
      <c r="A380" s="1">
        <v>2029</v>
      </c>
      <c r="B380" s="1">
        <v>34.407255816420303</v>
      </c>
      <c r="C380" s="1">
        <v>40.522857831398802</v>
      </c>
      <c r="D380" s="1">
        <v>43.781326210488288</v>
      </c>
      <c r="E380" s="1" t="s">
        <v>149</v>
      </c>
      <c r="F380" s="1">
        <v>4</v>
      </c>
    </row>
    <row r="381" spans="1:6" x14ac:dyDescent="0.35">
      <c r="A381" s="1">
        <v>2030</v>
      </c>
      <c r="B381" s="1">
        <v>48.426879502249172</v>
      </c>
      <c r="C381" s="1">
        <v>63.902761872075132</v>
      </c>
      <c r="D381" s="1">
        <v>72.183203782693084</v>
      </c>
      <c r="E381" s="1" t="s">
        <v>149</v>
      </c>
      <c r="F381" s="1">
        <v>4</v>
      </c>
    </row>
    <row r="382" spans="1:6" x14ac:dyDescent="0.35">
      <c r="A382" s="1">
        <v>2031</v>
      </c>
      <c r="B382" s="1">
        <v>47.776948220996431</v>
      </c>
      <c r="C382" s="1">
        <v>62.819603779165313</v>
      </c>
      <c r="D382" s="1">
        <v>72.19583155351431</v>
      </c>
      <c r="E382" s="1" t="s">
        <v>149</v>
      </c>
      <c r="F382" s="1">
        <v>4</v>
      </c>
    </row>
    <row r="383" spans="1:6" x14ac:dyDescent="0.35">
      <c r="A383" s="1">
        <v>2032</v>
      </c>
      <c r="B383" s="1">
        <v>47.543982650533962</v>
      </c>
      <c r="C383" s="1">
        <v>61.279148562206323</v>
      </c>
      <c r="D383" s="1">
        <v>71.509434212944484</v>
      </c>
      <c r="E383" s="1" t="s">
        <v>149</v>
      </c>
      <c r="F383" s="1">
        <v>4</v>
      </c>
    </row>
    <row r="384" spans="1:6" x14ac:dyDescent="0.35">
      <c r="A384" s="1">
        <v>2033</v>
      </c>
      <c r="B384" s="1">
        <v>46.739557377603248</v>
      </c>
      <c r="C384" s="1">
        <v>58.897351887626037</v>
      </c>
      <c r="D384" s="1">
        <v>70.253856387121914</v>
      </c>
      <c r="E384" s="1" t="s">
        <v>149</v>
      </c>
      <c r="F384" s="1">
        <v>4</v>
      </c>
    </row>
    <row r="385" spans="1:6" x14ac:dyDescent="0.35">
      <c r="A385" s="1">
        <v>2034</v>
      </c>
      <c r="B385" s="1">
        <v>45.896205760342951</v>
      </c>
      <c r="C385" s="1">
        <v>61.272161310049192</v>
      </c>
      <c r="D385" s="1">
        <v>70.960299472939994</v>
      </c>
      <c r="E385" s="1" t="s">
        <v>149</v>
      </c>
      <c r="F385" s="1">
        <v>4</v>
      </c>
    </row>
    <row r="386" spans="1:6" x14ac:dyDescent="0.35">
      <c r="A386" s="1">
        <v>2035</v>
      </c>
      <c r="B386" s="1">
        <v>45.058336588975138</v>
      </c>
      <c r="C386" s="1">
        <v>62.925480043462393</v>
      </c>
      <c r="D386" s="1">
        <v>72.741133957545841</v>
      </c>
      <c r="E386" s="1" t="s">
        <v>149</v>
      </c>
      <c r="F386" s="1">
        <v>4</v>
      </c>
    </row>
    <row r="387" spans="1:6" x14ac:dyDescent="0.35">
      <c r="A387" s="1">
        <v>2036</v>
      </c>
      <c r="B387" s="1">
        <v>70.18390631828818</v>
      </c>
      <c r="C387" s="1">
        <v>81.458333339999996</v>
      </c>
      <c r="D387" s="1">
        <v>81.458333339999996</v>
      </c>
      <c r="E387" s="1" t="s">
        <v>149</v>
      </c>
      <c r="F387" s="1">
        <v>4</v>
      </c>
    </row>
    <row r="388" spans="1:6" x14ac:dyDescent="0.35">
      <c r="A388" s="1">
        <v>2037</v>
      </c>
      <c r="B388" s="1">
        <v>65.526477095241844</v>
      </c>
      <c r="C388" s="1">
        <v>75.320530251424159</v>
      </c>
      <c r="D388" s="1">
        <v>78.630415687682301</v>
      </c>
      <c r="E388" s="1" t="s">
        <v>149</v>
      </c>
      <c r="F388" s="1">
        <v>4</v>
      </c>
    </row>
    <row r="389" spans="1:6" x14ac:dyDescent="0.35">
      <c r="A389" s="1">
        <v>2038</v>
      </c>
      <c r="B389" s="1">
        <v>65.457574921383824</v>
      </c>
      <c r="C389" s="1">
        <v>72.784691811358627</v>
      </c>
      <c r="D389" s="1">
        <v>80.308751549479965</v>
      </c>
      <c r="E389" s="1" t="s">
        <v>149</v>
      </c>
      <c r="F389" s="1">
        <v>4</v>
      </c>
    </row>
    <row r="390" spans="1:6" x14ac:dyDescent="0.35">
      <c r="A390" s="1">
        <v>2039</v>
      </c>
      <c r="B390" s="1">
        <v>64.539663091051921</v>
      </c>
      <c r="C390" s="1">
        <v>76.153072062903007</v>
      </c>
      <c r="D390" s="1">
        <v>78.719443197090214</v>
      </c>
      <c r="E390" s="1" t="s">
        <v>149</v>
      </c>
      <c r="F390" s="1">
        <v>4</v>
      </c>
    </row>
    <row r="391" spans="1:6" x14ac:dyDescent="0.35">
      <c r="A391" s="1">
        <v>2040</v>
      </c>
      <c r="B391" s="1">
        <v>67.969023957969682</v>
      </c>
      <c r="C391" s="1">
        <v>74.104634432485867</v>
      </c>
      <c r="D391" s="1">
        <v>81.458333339999996</v>
      </c>
      <c r="E391" s="1" t="s">
        <v>149</v>
      </c>
      <c r="F391" s="1">
        <v>4</v>
      </c>
    </row>
    <row r="392" spans="1:6" x14ac:dyDescent="0.35">
      <c r="A392" s="1">
        <v>2041</v>
      </c>
      <c r="B392" s="1">
        <v>71.235021808177805</v>
      </c>
      <c r="C392" s="1">
        <v>74.040404759608464</v>
      </c>
      <c r="D392" s="1">
        <v>81.458333339999996</v>
      </c>
      <c r="E392" s="1" t="s">
        <v>149</v>
      </c>
      <c r="F392" s="1">
        <v>4</v>
      </c>
    </row>
    <row r="393" spans="1:6" x14ac:dyDescent="0.35">
      <c r="A393" s="1">
        <v>2042</v>
      </c>
      <c r="B393" s="1">
        <v>70.569583182112225</v>
      </c>
      <c r="C393" s="1">
        <v>75.45455610059588</v>
      </c>
      <c r="D393" s="1">
        <v>80.761116564293516</v>
      </c>
      <c r="E393" s="1" t="s">
        <v>149</v>
      </c>
      <c r="F393" s="1">
        <v>4</v>
      </c>
    </row>
    <row r="394" spans="1:6" x14ac:dyDescent="0.35">
      <c r="A394" s="1">
        <v>2043</v>
      </c>
      <c r="B394" s="1">
        <v>67.590750421226204</v>
      </c>
      <c r="C394" s="1">
        <v>76.515585098571435</v>
      </c>
      <c r="D394" s="1">
        <v>76.290495194371971</v>
      </c>
      <c r="E394" s="1" t="s">
        <v>149</v>
      </c>
      <c r="F394" s="1">
        <v>4</v>
      </c>
    </row>
    <row r="395" spans="1:6" x14ac:dyDescent="0.35">
      <c r="A395" s="1">
        <v>2044</v>
      </c>
      <c r="B395" s="1">
        <v>81.458333339999996</v>
      </c>
      <c r="C395" s="1">
        <v>81.458333339999996</v>
      </c>
      <c r="D395" s="1">
        <v>81.458333339999996</v>
      </c>
      <c r="E395" s="1" t="s">
        <v>149</v>
      </c>
      <c r="F395" s="1">
        <v>4</v>
      </c>
    </row>
    <row r="396" spans="1:6" x14ac:dyDescent="0.35">
      <c r="A396" s="1">
        <v>2045</v>
      </c>
      <c r="B396" s="1">
        <v>74.786168391701068</v>
      </c>
      <c r="C396" s="1">
        <v>77.575810780099317</v>
      </c>
      <c r="D396" s="1">
        <v>80.874287407531526</v>
      </c>
      <c r="E396" s="1" t="s">
        <v>149</v>
      </c>
      <c r="F396" s="1">
        <v>4</v>
      </c>
    </row>
    <row r="397" spans="1:6" x14ac:dyDescent="0.35">
      <c r="A397" s="1">
        <v>2046</v>
      </c>
      <c r="B397" s="1">
        <v>72.805940215050214</v>
      </c>
      <c r="C397" s="1">
        <v>74.192494332426705</v>
      </c>
      <c r="D397" s="1">
        <v>81.458333339999996</v>
      </c>
      <c r="E397" s="1" t="s">
        <v>149</v>
      </c>
      <c r="F397" s="1">
        <v>4</v>
      </c>
    </row>
    <row r="398" spans="1:6" x14ac:dyDescent="0.35">
      <c r="A398" s="1">
        <v>2047</v>
      </c>
      <c r="B398" s="1">
        <v>71.330386131150078</v>
      </c>
      <c r="C398" s="1">
        <v>75.43315201498686</v>
      </c>
      <c r="D398" s="1">
        <v>81.458333339999996</v>
      </c>
      <c r="E398" s="1" t="s">
        <v>149</v>
      </c>
      <c r="F398" s="1">
        <v>4</v>
      </c>
    </row>
    <row r="399" spans="1:6" x14ac:dyDescent="0.35">
      <c r="A399" s="1">
        <v>2048</v>
      </c>
      <c r="B399" s="1">
        <v>69.33220322613117</v>
      </c>
      <c r="C399" s="1">
        <v>73.324926901676363</v>
      </c>
      <c r="D399" s="1">
        <v>80.536916414327777</v>
      </c>
      <c r="E399" s="1" t="s">
        <v>149</v>
      </c>
      <c r="F399" s="1">
        <v>4</v>
      </c>
    </row>
    <row r="400" spans="1:6" x14ac:dyDescent="0.35">
      <c r="A400" s="1">
        <v>2049</v>
      </c>
      <c r="B400" s="1">
        <v>67.341956080124291</v>
      </c>
      <c r="C400" s="1">
        <v>73.217852714756816</v>
      </c>
      <c r="D400" s="1">
        <v>81.172013115796517</v>
      </c>
      <c r="E400" s="1" t="s">
        <v>149</v>
      </c>
      <c r="F400" s="1">
        <v>4</v>
      </c>
    </row>
    <row r="401" spans="1:6" x14ac:dyDescent="0.35">
      <c r="A401" s="1">
        <v>2050</v>
      </c>
      <c r="B401" s="1">
        <v>67.133265077888922</v>
      </c>
      <c r="C401" s="1">
        <v>73.466660497842867</v>
      </c>
      <c r="D401" s="1">
        <v>81.458333339999996</v>
      </c>
      <c r="E401" s="1" t="s">
        <v>149</v>
      </c>
      <c r="F401" s="1">
        <v>4</v>
      </c>
    </row>
    <row r="402" spans="1:6" x14ac:dyDescent="0.35">
      <c r="A402" s="1">
        <v>2026</v>
      </c>
      <c r="B402" s="1">
        <v>26.992835021001401</v>
      </c>
      <c r="C402" s="1">
        <v>26.836410272295009</v>
      </c>
      <c r="D402" s="1">
        <v>27.372289387633909</v>
      </c>
      <c r="E402" s="1" t="s">
        <v>150</v>
      </c>
      <c r="F402" s="1">
        <v>4</v>
      </c>
    </row>
    <row r="403" spans="1:6" x14ac:dyDescent="0.35">
      <c r="A403" s="1">
        <v>2027</v>
      </c>
      <c r="B403" s="1">
        <v>25.97220475676707</v>
      </c>
      <c r="C403" s="1">
        <v>26.66213515123362</v>
      </c>
      <c r="D403" s="1">
        <v>27.841241546193551</v>
      </c>
      <c r="E403" s="1" t="s">
        <v>150</v>
      </c>
      <c r="F403" s="1">
        <v>4</v>
      </c>
    </row>
    <row r="404" spans="1:6" x14ac:dyDescent="0.35">
      <c r="A404" s="1">
        <v>2028</v>
      </c>
      <c r="B404" s="1">
        <v>24.777057702834139</v>
      </c>
      <c r="C404" s="1">
        <v>26.620160162370411</v>
      </c>
      <c r="D404" s="1">
        <v>29.331912605878891</v>
      </c>
      <c r="E404" s="1" t="s">
        <v>150</v>
      </c>
      <c r="F404" s="1">
        <v>4</v>
      </c>
    </row>
    <row r="405" spans="1:6" x14ac:dyDescent="0.35">
      <c r="A405" s="1">
        <v>2029</v>
      </c>
      <c r="B405" s="1">
        <v>24.13216558931278</v>
      </c>
      <c r="C405" s="1">
        <v>27.317511150384981</v>
      </c>
      <c r="D405" s="1">
        <v>28.70294718863596</v>
      </c>
      <c r="E405" s="1" t="s">
        <v>150</v>
      </c>
      <c r="F405" s="1">
        <v>4</v>
      </c>
    </row>
    <row r="406" spans="1:6" x14ac:dyDescent="0.35">
      <c r="A406" s="1">
        <v>2030</v>
      </c>
      <c r="B406" s="1">
        <v>23.18126249973961</v>
      </c>
      <c r="C406" s="1">
        <v>26.813662144662551</v>
      </c>
      <c r="D406" s="1">
        <v>29.005266188491639</v>
      </c>
      <c r="E406" s="1" t="s">
        <v>150</v>
      </c>
      <c r="F406" s="1">
        <v>4</v>
      </c>
    </row>
    <row r="407" spans="1:6" x14ac:dyDescent="0.35">
      <c r="A407" s="1">
        <v>2031</v>
      </c>
      <c r="B407" s="1">
        <v>23.485158621730491</v>
      </c>
      <c r="C407" s="1">
        <v>26.625529443115109</v>
      </c>
      <c r="D407" s="1">
        <v>30.025743759481099</v>
      </c>
      <c r="E407" s="1" t="s">
        <v>150</v>
      </c>
      <c r="F407" s="1">
        <v>4</v>
      </c>
    </row>
    <row r="408" spans="1:6" x14ac:dyDescent="0.35">
      <c r="A408" s="1">
        <v>2032</v>
      </c>
      <c r="B408" s="1">
        <v>23.274548745061601</v>
      </c>
      <c r="C408" s="1">
        <v>26.74885567649487</v>
      </c>
      <c r="D408" s="1">
        <v>30.705327354722041</v>
      </c>
      <c r="E408" s="1" t="s">
        <v>150</v>
      </c>
      <c r="F408" s="1">
        <v>4</v>
      </c>
    </row>
    <row r="409" spans="1:6" x14ac:dyDescent="0.35">
      <c r="A409" s="1">
        <v>2033</v>
      </c>
      <c r="B409" s="1">
        <v>22.961099204576389</v>
      </c>
      <c r="C409" s="1">
        <v>26.15413450397196</v>
      </c>
      <c r="D409" s="1">
        <v>30.589852262924168</v>
      </c>
      <c r="E409" s="1" t="s">
        <v>150</v>
      </c>
      <c r="F409" s="1">
        <v>4</v>
      </c>
    </row>
    <row r="410" spans="1:6" x14ac:dyDescent="0.35">
      <c r="A410" s="1">
        <v>2034</v>
      </c>
      <c r="B410" s="1">
        <v>23.18513319579624</v>
      </c>
      <c r="C410" s="1">
        <v>25.80984140443519</v>
      </c>
      <c r="D410" s="1">
        <v>30.602218750435512</v>
      </c>
      <c r="E410" s="1" t="s">
        <v>150</v>
      </c>
      <c r="F410" s="1">
        <v>4</v>
      </c>
    </row>
    <row r="411" spans="1:6" x14ac:dyDescent="0.35">
      <c r="A411" s="1">
        <v>2035</v>
      </c>
      <c r="B411" s="1">
        <v>33.844155527645171</v>
      </c>
      <c r="C411" s="1">
        <v>42.553234516889177</v>
      </c>
      <c r="D411" s="1">
        <v>50.454528984461327</v>
      </c>
      <c r="E411" s="1" t="s">
        <v>150</v>
      </c>
      <c r="F411" s="1">
        <v>4</v>
      </c>
    </row>
    <row r="412" spans="1:6" x14ac:dyDescent="0.35">
      <c r="A412" s="1">
        <v>2036</v>
      </c>
      <c r="B412" s="1">
        <v>31.409112735041909</v>
      </c>
      <c r="C412" s="1">
        <v>41.434474723976592</v>
      </c>
      <c r="D412" s="1">
        <v>47.897211326091337</v>
      </c>
      <c r="E412" s="1" t="s">
        <v>150</v>
      </c>
      <c r="F412" s="1">
        <v>4</v>
      </c>
    </row>
    <row r="413" spans="1:6" x14ac:dyDescent="0.35">
      <c r="A413" s="1">
        <v>2037</v>
      </c>
      <c r="B413" s="1">
        <v>30.610681790257509</v>
      </c>
      <c r="C413" s="1">
        <v>41.238734027331837</v>
      </c>
      <c r="D413" s="1">
        <v>46.364571299092198</v>
      </c>
      <c r="E413" s="1" t="s">
        <v>150</v>
      </c>
      <c r="F413" s="1">
        <v>4</v>
      </c>
    </row>
    <row r="414" spans="1:6" x14ac:dyDescent="0.35">
      <c r="A414" s="1">
        <v>2038</v>
      </c>
      <c r="B414" s="1">
        <v>50.46848217823063</v>
      </c>
      <c r="C414" s="1">
        <v>64.513353130688799</v>
      </c>
      <c r="D414" s="1">
        <v>76.442254907705987</v>
      </c>
      <c r="E414" s="1" t="s">
        <v>150</v>
      </c>
      <c r="F414" s="1">
        <v>4</v>
      </c>
    </row>
    <row r="415" spans="1:6" x14ac:dyDescent="0.35">
      <c r="A415" s="1">
        <v>2039</v>
      </c>
      <c r="B415" s="1">
        <v>46.635154355603078</v>
      </c>
      <c r="C415" s="1">
        <v>59.509794349739273</v>
      </c>
      <c r="D415" s="1">
        <v>69.890283290526511</v>
      </c>
      <c r="E415" s="1" t="s">
        <v>150</v>
      </c>
      <c r="F415" s="1">
        <v>4</v>
      </c>
    </row>
    <row r="416" spans="1:6" x14ac:dyDescent="0.35">
      <c r="A416" s="1">
        <v>2040</v>
      </c>
      <c r="B416" s="1">
        <v>48.517416876638357</v>
      </c>
      <c r="C416" s="1">
        <v>59.285095825213517</v>
      </c>
      <c r="D416" s="1">
        <v>72.23329247103743</v>
      </c>
      <c r="E416" s="1" t="s">
        <v>150</v>
      </c>
      <c r="F416" s="1">
        <v>4</v>
      </c>
    </row>
    <row r="417" spans="1:6" x14ac:dyDescent="0.35">
      <c r="A417" s="1">
        <v>2041</v>
      </c>
      <c r="B417" s="1">
        <v>47.24981740609131</v>
      </c>
      <c r="C417" s="1">
        <v>59.796629673119917</v>
      </c>
      <c r="D417" s="1">
        <v>71.197231556428747</v>
      </c>
      <c r="E417" s="1" t="s">
        <v>150</v>
      </c>
      <c r="F417" s="1">
        <v>4</v>
      </c>
    </row>
    <row r="418" spans="1:6" x14ac:dyDescent="0.35">
      <c r="A418" s="1">
        <v>2042</v>
      </c>
      <c r="B418" s="1">
        <v>48.016030298947697</v>
      </c>
      <c r="C418" s="1">
        <v>59.634094322133357</v>
      </c>
      <c r="D418" s="1">
        <v>71.798926817274236</v>
      </c>
      <c r="E418" s="1" t="s">
        <v>150</v>
      </c>
      <c r="F418" s="1">
        <v>4</v>
      </c>
    </row>
    <row r="419" spans="1:6" x14ac:dyDescent="0.35">
      <c r="A419" s="1">
        <v>2043</v>
      </c>
      <c r="B419" s="1">
        <v>47.858241198730347</v>
      </c>
      <c r="C419" s="1">
        <v>60.407517480844511</v>
      </c>
      <c r="D419" s="1">
        <v>72.511147424388298</v>
      </c>
      <c r="E419" s="1" t="s">
        <v>150</v>
      </c>
      <c r="F419" s="1">
        <v>4</v>
      </c>
    </row>
    <row r="420" spans="1:6" x14ac:dyDescent="0.35">
      <c r="A420" s="1">
        <v>2044</v>
      </c>
      <c r="B420" s="1">
        <v>47.740155980520562</v>
      </c>
      <c r="C420" s="1">
        <v>61.861122427966301</v>
      </c>
      <c r="D420" s="1">
        <v>76.435520240614778</v>
      </c>
      <c r="E420" s="1" t="s">
        <v>150</v>
      </c>
      <c r="F420" s="1">
        <v>4</v>
      </c>
    </row>
    <row r="421" spans="1:6" x14ac:dyDescent="0.35">
      <c r="A421" s="1">
        <v>2045</v>
      </c>
      <c r="B421" s="1">
        <v>74.992750776731825</v>
      </c>
      <c r="C421" s="1">
        <v>81.458333339999996</v>
      </c>
      <c r="D421" s="1">
        <v>81.458333339999996</v>
      </c>
      <c r="E421" s="1" t="s">
        <v>150</v>
      </c>
      <c r="F421" s="1">
        <v>4</v>
      </c>
    </row>
    <row r="422" spans="1:6" x14ac:dyDescent="0.35">
      <c r="A422" s="1">
        <v>2046</v>
      </c>
      <c r="B422" s="1">
        <v>68.862466637990934</v>
      </c>
      <c r="C422" s="1">
        <v>75.630365953418817</v>
      </c>
      <c r="D422" s="1">
        <v>80.312801255747047</v>
      </c>
      <c r="E422" s="1" t="s">
        <v>150</v>
      </c>
      <c r="F422" s="1">
        <v>4</v>
      </c>
    </row>
    <row r="423" spans="1:6" x14ac:dyDescent="0.35">
      <c r="A423" s="1">
        <v>2047</v>
      </c>
      <c r="B423" s="1">
        <v>67.530507637504854</v>
      </c>
      <c r="C423" s="1">
        <v>77.1551932753909</v>
      </c>
      <c r="D423" s="1">
        <v>77.835787248626431</v>
      </c>
      <c r="E423" s="1" t="s">
        <v>150</v>
      </c>
      <c r="F423" s="1">
        <v>4</v>
      </c>
    </row>
    <row r="424" spans="1:6" x14ac:dyDescent="0.35">
      <c r="A424" s="1">
        <v>2048</v>
      </c>
      <c r="B424" s="1">
        <v>81.458333339999996</v>
      </c>
      <c r="C424" s="1">
        <v>81.458333339999996</v>
      </c>
      <c r="D424" s="1">
        <v>81.458333339999996</v>
      </c>
      <c r="E424" s="1" t="s">
        <v>150</v>
      </c>
      <c r="F424" s="1">
        <v>4</v>
      </c>
    </row>
    <row r="425" spans="1:6" x14ac:dyDescent="0.35">
      <c r="A425" s="1">
        <v>2049</v>
      </c>
      <c r="B425" s="1">
        <v>71.501932793145059</v>
      </c>
      <c r="C425" s="1">
        <v>78.150726441005318</v>
      </c>
      <c r="D425" s="1">
        <v>79.565195075179432</v>
      </c>
      <c r="E425" s="1" t="s">
        <v>150</v>
      </c>
      <c r="F425" s="1">
        <v>4</v>
      </c>
    </row>
    <row r="426" spans="1:6" x14ac:dyDescent="0.35">
      <c r="A426" s="1">
        <v>2050</v>
      </c>
      <c r="B426" s="1">
        <v>73.040877164709144</v>
      </c>
      <c r="C426" s="1">
        <v>78.190218278653688</v>
      </c>
      <c r="D426" s="1">
        <v>80.681362148697403</v>
      </c>
      <c r="E426" s="1" t="s">
        <v>150</v>
      </c>
      <c r="F426" s="1">
        <v>4</v>
      </c>
    </row>
    <row r="427" spans="1:6" x14ac:dyDescent="0.35">
      <c r="A427" s="1">
        <v>2026</v>
      </c>
      <c r="B427" s="1">
        <v>24.627990047608691</v>
      </c>
      <c r="C427" s="1">
        <v>28.02579580733568</v>
      </c>
      <c r="D427" s="1">
        <v>27.75275731192129</v>
      </c>
      <c r="E427" s="1" t="s">
        <v>151</v>
      </c>
      <c r="F427" s="1">
        <v>4</v>
      </c>
    </row>
    <row r="428" spans="1:6" x14ac:dyDescent="0.35">
      <c r="A428" s="1">
        <v>2027</v>
      </c>
      <c r="B428" s="1">
        <v>25.153893392279642</v>
      </c>
      <c r="C428" s="1">
        <v>26.90272560780538</v>
      </c>
      <c r="D428" s="1">
        <v>28.905794068507099</v>
      </c>
      <c r="E428" s="1" t="s">
        <v>151</v>
      </c>
      <c r="F428" s="1">
        <v>4</v>
      </c>
    </row>
    <row r="429" spans="1:6" x14ac:dyDescent="0.35">
      <c r="A429" s="1">
        <v>2028</v>
      </c>
      <c r="B429" s="1">
        <v>25.19724944546115</v>
      </c>
      <c r="C429" s="1">
        <v>26.625389025754689</v>
      </c>
      <c r="D429" s="1">
        <v>27.881993741228449</v>
      </c>
      <c r="E429" s="1" t="s">
        <v>151</v>
      </c>
      <c r="F429" s="1">
        <v>4</v>
      </c>
    </row>
    <row r="430" spans="1:6" x14ac:dyDescent="0.35">
      <c r="A430" s="1">
        <v>2029</v>
      </c>
      <c r="B430" s="1">
        <v>24.739228036282171</v>
      </c>
      <c r="C430" s="1">
        <v>25.955431678125152</v>
      </c>
      <c r="D430" s="1">
        <v>28.354970642388182</v>
      </c>
      <c r="E430" s="1" t="s">
        <v>151</v>
      </c>
      <c r="F430" s="1">
        <v>4</v>
      </c>
    </row>
    <row r="431" spans="1:6" x14ac:dyDescent="0.35">
      <c r="A431" s="1">
        <v>2030</v>
      </c>
      <c r="B431" s="1">
        <v>24.887743909994182</v>
      </c>
      <c r="C431" s="1">
        <v>27.179949786720719</v>
      </c>
      <c r="D431" s="1">
        <v>30.57361632097836</v>
      </c>
      <c r="E431" s="1" t="s">
        <v>151</v>
      </c>
      <c r="F431" s="1">
        <v>4</v>
      </c>
    </row>
    <row r="432" spans="1:6" x14ac:dyDescent="0.35">
      <c r="A432" s="1">
        <v>2031</v>
      </c>
      <c r="B432" s="1">
        <v>36.943758535262141</v>
      </c>
      <c r="C432" s="1">
        <v>43.137981049184667</v>
      </c>
      <c r="D432" s="1">
        <v>50.407371550621619</v>
      </c>
      <c r="E432" s="1" t="s">
        <v>151</v>
      </c>
      <c r="F432" s="1">
        <v>4</v>
      </c>
    </row>
    <row r="433" spans="1:6" x14ac:dyDescent="0.35">
      <c r="A433" s="1">
        <v>2032</v>
      </c>
      <c r="B433" s="1">
        <v>35.626172006267687</v>
      </c>
      <c r="C433" s="1">
        <v>40.055202785954947</v>
      </c>
      <c r="D433" s="1">
        <v>46.416288317301429</v>
      </c>
      <c r="E433" s="1" t="s">
        <v>151</v>
      </c>
      <c r="F433" s="1">
        <v>4</v>
      </c>
    </row>
    <row r="434" spans="1:6" x14ac:dyDescent="0.35">
      <c r="A434" s="1">
        <v>2033</v>
      </c>
      <c r="B434" s="1">
        <v>35.102352396240043</v>
      </c>
      <c r="C434" s="1">
        <v>40.749784288112721</v>
      </c>
      <c r="D434" s="1">
        <v>46.351856400477452</v>
      </c>
      <c r="E434" s="1" t="s">
        <v>151</v>
      </c>
      <c r="F434" s="1">
        <v>4</v>
      </c>
    </row>
    <row r="435" spans="1:6" x14ac:dyDescent="0.35">
      <c r="A435" s="1">
        <v>2034</v>
      </c>
      <c r="B435" s="1">
        <v>35.696845607035833</v>
      </c>
      <c r="C435" s="1">
        <v>43.210147816638077</v>
      </c>
      <c r="D435" s="1">
        <v>45.863408208318518</v>
      </c>
      <c r="E435" s="1" t="s">
        <v>151</v>
      </c>
      <c r="F435" s="1">
        <v>4</v>
      </c>
    </row>
    <row r="436" spans="1:6" x14ac:dyDescent="0.35">
      <c r="A436" s="1">
        <v>2035</v>
      </c>
      <c r="B436" s="1">
        <v>35.684703987734643</v>
      </c>
      <c r="C436" s="1">
        <v>41.355644403199129</v>
      </c>
      <c r="D436" s="1">
        <v>46.618702136880067</v>
      </c>
      <c r="E436" s="1" t="s">
        <v>151</v>
      </c>
      <c r="F436" s="1">
        <v>4</v>
      </c>
    </row>
    <row r="437" spans="1:6" x14ac:dyDescent="0.35">
      <c r="A437" s="1">
        <v>2036</v>
      </c>
      <c r="B437" s="1">
        <v>34.537717161351509</v>
      </c>
      <c r="C437" s="1">
        <v>40.680539320288247</v>
      </c>
      <c r="D437" s="1">
        <v>48.283443209766702</v>
      </c>
      <c r="E437" s="1" t="s">
        <v>151</v>
      </c>
      <c r="F437" s="1">
        <v>4</v>
      </c>
    </row>
    <row r="438" spans="1:6" x14ac:dyDescent="0.35">
      <c r="A438" s="1">
        <v>2037</v>
      </c>
      <c r="B438" s="1">
        <v>33.753925127401907</v>
      </c>
      <c r="C438" s="1">
        <v>40.375693723387762</v>
      </c>
      <c r="D438" s="1">
        <v>47.412215073678112</v>
      </c>
      <c r="E438" s="1" t="s">
        <v>151</v>
      </c>
      <c r="F438" s="1">
        <v>4</v>
      </c>
    </row>
    <row r="439" spans="1:6" x14ac:dyDescent="0.35">
      <c r="A439" s="1">
        <v>2038</v>
      </c>
      <c r="B439" s="1">
        <v>33.025961742017827</v>
      </c>
      <c r="C439" s="1">
        <v>38.631952602777872</v>
      </c>
      <c r="D439" s="1">
        <v>48.665255363788248</v>
      </c>
      <c r="E439" s="1" t="s">
        <v>151</v>
      </c>
      <c r="F439" s="1">
        <v>4</v>
      </c>
    </row>
    <row r="440" spans="1:6" x14ac:dyDescent="0.35">
      <c r="A440" s="1">
        <v>2039</v>
      </c>
      <c r="B440" s="1">
        <v>32.352032912592158</v>
      </c>
      <c r="C440" s="1">
        <v>40.229064506429111</v>
      </c>
      <c r="D440" s="1">
        <v>47.228306245542854</v>
      </c>
      <c r="E440" s="1" t="s">
        <v>151</v>
      </c>
      <c r="F440" s="1">
        <v>4</v>
      </c>
    </row>
    <row r="441" spans="1:6" x14ac:dyDescent="0.35">
      <c r="A441" s="1">
        <v>2040</v>
      </c>
      <c r="B441" s="1">
        <v>31.290812449841201</v>
      </c>
      <c r="C441" s="1">
        <v>38.234006163423373</v>
      </c>
      <c r="D441" s="1">
        <v>46.962247904458387</v>
      </c>
      <c r="E441" s="1" t="s">
        <v>151</v>
      </c>
      <c r="F441" s="1">
        <v>4</v>
      </c>
    </row>
    <row r="442" spans="1:6" x14ac:dyDescent="0.35">
      <c r="A442" s="1">
        <v>2041</v>
      </c>
      <c r="B442" s="1">
        <v>51.589828063541567</v>
      </c>
      <c r="C442" s="1">
        <v>63.037219225715909</v>
      </c>
      <c r="D442" s="1">
        <v>76.396252544564916</v>
      </c>
      <c r="E442" s="1" t="s">
        <v>151</v>
      </c>
      <c r="F442" s="1">
        <v>4</v>
      </c>
    </row>
    <row r="443" spans="1:6" x14ac:dyDescent="0.35">
      <c r="A443" s="1">
        <v>2042</v>
      </c>
      <c r="B443" s="1">
        <v>45.830403069781539</v>
      </c>
      <c r="C443" s="1">
        <v>58.705303126587047</v>
      </c>
      <c r="D443" s="1">
        <v>72.763343571534122</v>
      </c>
      <c r="E443" s="1" t="s">
        <v>151</v>
      </c>
      <c r="F443" s="1">
        <v>4</v>
      </c>
    </row>
    <row r="444" spans="1:6" x14ac:dyDescent="0.35">
      <c r="A444" s="1">
        <v>2043</v>
      </c>
      <c r="B444" s="1">
        <v>44.306386326325487</v>
      </c>
      <c r="C444" s="1">
        <v>58.659183246513578</v>
      </c>
      <c r="D444" s="1">
        <v>73.32587866653023</v>
      </c>
      <c r="E444" s="1" t="s">
        <v>151</v>
      </c>
      <c r="F444" s="1">
        <v>4</v>
      </c>
    </row>
    <row r="445" spans="1:6" x14ac:dyDescent="0.35">
      <c r="A445" s="1">
        <v>2044</v>
      </c>
      <c r="B445" s="1">
        <v>45.61720617382921</v>
      </c>
      <c r="C445" s="1">
        <v>60.085967657036853</v>
      </c>
      <c r="D445" s="1">
        <v>73.555431383913117</v>
      </c>
      <c r="E445" s="1" t="s">
        <v>151</v>
      </c>
      <c r="F445" s="1">
        <v>4</v>
      </c>
    </row>
    <row r="446" spans="1:6" x14ac:dyDescent="0.35">
      <c r="A446" s="1">
        <v>2045</v>
      </c>
      <c r="B446" s="1">
        <v>46.057785360462113</v>
      </c>
      <c r="C446" s="1">
        <v>60.970781351966629</v>
      </c>
      <c r="D446" s="1">
        <v>73.083151605605977</v>
      </c>
      <c r="E446" s="1" t="s">
        <v>151</v>
      </c>
      <c r="F446" s="1">
        <v>4</v>
      </c>
    </row>
    <row r="447" spans="1:6" x14ac:dyDescent="0.35">
      <c r="A447" s="1">
        <v>2046</v>
      </c>
      <c r="B447" s="1">
        <v>45.515276297625192</v>
      </c>
      <c r="C447" s="1">
        <v>61.893166998579417</v>
      </c>
      <c r="D447" s="1">
        <v>73.489465186241048</v>
      </c>
      <c r="E447" s="1" t="s">
        <v>151</v>
      </c>
      <c r="F447" s="1">
        <v>4</v>
      </c>
    </row>
    <row r="448" spans="1:6" x14ac:dyDescent="0.35">
      <c r="A448" s="1">
        <v>2047</v>
      </c>
      <c r="B448" s="1">
        <v>75.042004173688028</v>
      </c>
      <c r="C448" s="1">
        <v>81.458333339999996</v>
      </c>
      <c r="D448" s="1">
        <v>81.458333339999996</v>
      </c>
      <c r="E448" s="1" t="s">
        <v>151</v>
      </c>
      <c r="F448" s="1">
        <v>4</v>
      </c>
    </row>
    <row r="449" spans="1:6" x14ac:dyDescent="0.35">
      <c r="A449" s="1">
        <v>2048</v>
      </c>
      <c r="B449" s="1">
        <v>66.079527991101742</v>
      </c>
      <c r="C449" s="1">
        <v>76.620495491185011</v>
      </c>
      <c r="D449" s="1">
        <v>79.55431438893801</v>
      </c>
      <c r="E449" s="1" t="s">
        <v>151</v>
      </c>
      <c r="F449" s="1">
        <v>4</v>
      </c>
    </row>
    <row r="450" spans="1:6" x14ac:dyDescent="0.35">
      <c r="A450" s="1">
        <v>2049</v>
      </c>
      <c r="B450" s="1">
        <v>81.458333339999996</v>
      </c>
      <c r="C450" s="1">
        <v>81.458333339999996</v>
      </c>
      <c r="D450" s="1">
        <v>81.458333339999996</v>
      </c>
      <c r="E450" s="1" t="s">
        <v>151</v>
      </c>
      <c r="F450" s="1">
        <v>4</v>
      </c>
    </row>
    <row r="451" spans="1:6" x14ac:dyDescent="0.35">
      <c r="A451" s="1">
        <v>2050</v>
      </c>
      <c r="B451" s="1">
        <v>75.132068514182052</v>
      </c>
      <c r="C451" s="1">
        <v>76.384932623710256</v>
      </c>
      <c r="D451" s="1">
        <v>77.195656766732483</v>
      </c>
      <c r="E451" s="1" t="s">
        <v>151</v>
      </c>
      <c r="F451" s="1">
        <v>4</v>
      </c>
    </row>
    <row r="452" spans="1:6" x14ac:dyDescent="0.35">
      <c r="A452" s="1">
        <v>2026</v>
      </c>
      <c r="B452" s="1">
        <v>26.543956484514791</v>
      </c>
      <c r="C452" s="1">
        <v>28.381391066797441</v>
      </c>
      <c r="D452" s="1">
        <v>28.398958397296639</v>
      </c>
      <c r="E452" s="1" t="s">
        <v>152</v>
      </c>
      <c r="F452" s="1">
        <v>4</v>
      </c>
    </row>
    <row r="453" spans="1:6" x14ac:dyDescent="0.35">
      <c r="A453" s="1">
        <v>2027</v>
      </c>
      <c r="B453" s="1">
        <v>26.105308078180229</v>
      </c>
      <c r="C453" s="1">
        <v>28.433369577859668</v>
      </c>
      <c r="D453" s="1">
        <v>27.497600326755819</v>
      </c>
      <c r="E453" s="1" t="s">
        <v>152</v>
      </c>
      <c r="F453" s="1">
        <v>4</v>
      </c>
    </row>
    <row r="454" spans="1:6" x14ac:dyDescent="0.35">
      <c r="A454" s="1">
        <v>2028</v>
      </c>
      <c r="B454" s="1">
        <v>25.414515087816241</v>
      </c>
      <c r="C454" s="1">
        <v>26.958985458941839</v>
      </c>
      <c r="D454" s="1">
        <v>27.280505239611319</v>
      </c>
      <c r="E454" s="1" t="s">
        <v>152</v>
      </c>
      <c r="F454" s="1">
        <v>4</v>
      </c>
    </row>
    <row r="455" spans="1:6" x14ac:dyDescent="0.35">
      <c r="A455" s="1">
        <v>2029</v>
      </c>
      <c r="B455" s="1">
        <v>37.922570013445423</v>
      </c>
      <c r="C455" s="1">
        <v>44.447852762652872</v>
      </c>
      <c r="D455" s="1">
        <v>44.977949263993487</v>
      </c>
      <c r="E455" s="1" t="s">
        <v>152</v>
      </c>
      <c r="F455" s="1">
        <v>4</v>
      </c>
    </row>
    <row r="456" spans="1:6" x14ac:dyDescent="0.35">
      <c r="A456" s="1">
        <v>2030</v>
      </c>
      <c r="B456" s="1">
        <v>34.413406562621077</v>
      </c>
      <c r="C456" s="1">
        <v>40.503069194996471</v>
      </c>
      <c r="D456" s="1">
        <v>42.928481395415261</v>
      </c>
      <c r="E456" s="1" t="s">
        <v>152</v>
      </c>
      <c r="F456" s="1">
        <v>4</v>
      </c>
    </row>
    <row r="457" spans="1:6" x14ac:dyDescent="0.35">
      <c r="A457" s="1">
        <v>2031</v>
      </c>
      <c r="B457" s="1">
        <v>34.478682848296899</v>
      </c>
      <c r="C457" s="1">
        <v>41.744275834407652</v>
      </c>
      <c r="D457" s="1">
        <v>43.33933323897989</v>
      </c>
      <c r="E457" s="1" t="s">
        <v>152</v>
      </c>
      <c r="F457" s="1">
        <v>4</v>
      </c>
    </row>
    <row r="458" spans="1:6" x14ac:dyDescent="0.35">
      <c r="A458" s="1">
        <v>2032</v>
      </c>
      <c r="B458" s="1">
        <v>34.129514970865003</v>
      </c>
      <c r="C458" s="1">
        <v>40.720627425013902</v>
      </c>
      <c r="D458" s="1">
        <v>44.600744889283668</v>
      </c>
      <c r="E458" s="1" t="s">
        <v>152</v>
      </c>
      <c r="F458" s="1">
        <v>4</v>
      </c>
    </row>
    <row r="459" spans="1:6" x14ac:dyDescent="0.35">
      <c r="A459" s="1">
        <v>2033</v>
      </c>
      <c r="B459" s="1">
        <v>32.826553749593508</v>
      </c>
      <c r="C459" s="1">
        <v>39.137898923339883</v>
      </c>
      <c r="D459" s="1">
        <v>43.284812320861228</v>
      </c>
      <c r="E459" s="1" t="s">
        <v>152</v>
      </c>
      <c r="F459" s="1">
        <v>4</v>
      </c>
    </row>
    <row r="460" spans="1:6" x14ac:dyDescent="0.35">
      <c r="A460" s="1">
        <v>2034</v>
      </c>
      <c r="B460" s="1">
        <v>54.121837410735857</v>
      </c>
      <c r="C460" s="1">
        <v>64.527486445422099</v>
      </c>
      <c r="D460" s="1">
        <v>71.364590771666897</v>
      </c>
      <c r="E460" s="1" t="s">
        <v>152</v>
      </c>
      <c r="F460" s="1">
        <v>4</v>
      </c>
    </row>
    <row r="461" spans="1:6" x14ac:dyDescent="0.35">
      <c r="A461" s="1">
        <v>2035</v>
      </c>
      <c r="B461" s="1">
        <v>51.075794846786103</v>
      </c>
      <c r="C461" s="1">
        <v>63.075187058157169</v>
      </c>
      <c r="D461" s="1">
        <v>70.397438364323577</v>
      </c>
      <c r="E461" s="1" t="s">
        <v>152</v>
      </c>
      <c r="F461" s="1">
        <v>4</v>
      </c>
    </row>
    <row r="462" spans="1:6" x14ac:dyDescent="0.35">
      <c r="A462" s="1">
        <v>2036</v>
      </c>
      <c r="B462" s="1">
        <v>49.891500750808788</v>
      </c>
      <c r="C462" s="1">
        <v>64.061827214085071</v>
      </c>
      <c r="D462" s="1">
        <v>71.638784050203142</v>
      </c>
      <c r="E462" s="1" t="s">
        <v>152</v>
      </c>
      <c r="F462" s="1">
        <v>4</v>
      </c>
    </row>
    <row r="463" spans="1:6" x14ac:dyDescent="0.35">
      <c r="A463" s="1">
        <v>2037</v>
      </c>
      <c r="B463" s="1">
        <v>48.336744174989782</v>
      </c>
      <c r="C463" s="1">
        <v>63.53433716163353</v>
      </c>
      <c r="D463" s="1">
        <v>71.394599602426908</v>
      </c>
      <c r="E463" s="1" t="s">
        <v>152</v>
      </c>
      <c r="F463" s="1">
        <v>4</v>
      </c>
    </row>
    <row r="464" spans="1:6" x14ac:dyDescent="0.35">
      <c r="A464" s="1">
        <v>2038</v>
      </c>
      <c r="B464" s="1">
        <v>46.155379354961518</v>
      </c>
      <c r="C464" s="1">
        <v>61.39530795006597</v>
      </c>
      <c r="D464" s="1">
        <v>72.465218689376684</v>
      </c>
      <c r="E464" s="1" t="s">
        <v>152</v>
      </c>
      <c r="F464" s="1">
        <v>4</v>
      </c>
    </row>
    <row r="465" spans="1:6" x14ac:dyDescent="0.35">
      <c r="A465" s="1">
        <v>2039</v>
      </c>
      <c r="B465" s="1">
        <v>76.097355699758623</v>
      </c>
      <c r="C465" s="1">
        <v>81.458333339999996</v>
      </c>
      <c r="D465" s="1">
        <v>81.458333339999996</v>
      </c>
      <c r="E465" s="1" t="s">
        <v>152</v>
      </c>
      <c r="F465" s="1">
        <v>4</v>
      </c>
    </row>
    <row r="466" spans="1:6" x14ac:dyDescent="0.35">
      <c r="A466" s="1">
        <v>2040</v>
      </c>
      <c r="B466" s="1">
        <v>72.708856798413976</v>
      </c>
      <c r="C466" s="1">
        <v>73.075476963198383</v>
      </c>
      <c r="D466" s="1">
        <v>78.224403100240124</v>
      </c>
      <c r="E466" s="1" t="s">
        <v>152</v>
      </c>
      <c r="F466" s="1">
        <v>4</v>
      </c>
    </row>
    <row r="467" spans="1:6" x14ac:dyDescent="0.35">
      <c r="A467" s="1">
        <v>2041</v>
      </c>
      <c r="B467" s="1">
        <v>71.605577267126577</v>
      </c>
      <c r="C467" s="1">
        <v>73.012139305349436</v>
      </c>
      <c r="D467" s="1">
        <v>81.458333339999996</v>
      </c>
      <c r="E467" s="1" t="s">
        <v>152</v>
      </c>
      <c r="F467" s="1">
        <v>4</v>
      </c>
    </row>
    <row r="468" spans="1:6" x14ac:dyDescent="0.35">
      <c r="A468" s="1">
        <v>2042</v>
      </c>
      <c r="B468" s="1">
        <v>70.369177134599894</v>
      </c>
      <c r="C468" s="1">
        <v>74.406651059333612</v>
      </c>
      <c r="D468" s="1">
        <v>81.458333339999996</v>
      </c>
      <c r="E468" s="1" t="s">
        <v>152</v>
      </c>
      <c r="F468" s="1">
        <v>4</v>
      </c>
    </row>
    <row r="469" spans="1:6" x14ac:dyDescent="0.35">
      <c r="A469" s="1">
        <v>2043</v>
      </c>
      <c r="B469" s="1">
        <v>69.474960048744464</v>
      </c>
      <c r="C469" s="1">
        <v>75.45294459674372</v>
      </c>
      <c r="D469" s="1">
        <v>78.680555058749391</v>
      </c>
      <c r="E469" s="1" t="s">
        <v>152</v>
      </c>
      <c r="F469" s="1">
        <v>4</v>
      </c>
    </row>
    <row r="470" spans="1:6" x14ac:dyDescent="0.35">
      <c r="A470" s="1">
        <v>2044</v>
      </c>
      <c r="B470" s="1">
        <v>68.164495303425937</v>
      </c>
      <c r="C470" s="1">
        <v>73.907002957859476</v>
      </c>
      <c r="D470" s="1">
        <v>81.458333339999996</v>
      </c>
      <c r="E470" s="1" t="s">
        <v>152</v>
      </c>
      <c r="F470" s="1">
        <v>4</v>
      </c>
    </row>
    <row r="471" spans="1:6" x14ac:dyDescent="0.35">
      <c r="A471" s="1">
        <v>2045</v>
      </c>
      <c r="B471" s="1">
        <v>69.629735731294005</v>
      </c>
      <c r="C471" s="1">
        <v>74.668873366046043</v>
      </c>
      <c r="D471" s="1">
        <v>81.458333339999996</v>
      </c>
      <c r="E471" s="1" t="s">
        <v>152</v>
      </c>
      <c r="F471" s="1">
        <v>4</v>
      </c>
    </row>
    <row r="472" spans="1:6" x14ac:dyDescent="0.35">
      <c r="A472" s="1">
        <v>2046</v>
      </c>
      <c r="B472" s="1">
        <v>81.458333339999996</v>
      </c>
      <c r="C472" s="1">
        <v>81.458333339999996</v>
      </c>
      <c r="D472" s="1">
        <v>81.458333339999996</v>
      </c>
      <c r="E472" s="1" t="s">
        <v>152</v>
      </c>
      <c r="F472" s="1">
        <v>4</v>
      </c>
    </row>
    <row r="473" spans="1:6" x14ac:dyDescent="0.35">
      <c r="A473" s="1">
        <v>2047</v>
      </c>
      <c r="B473" s="1">
        <v>76.004907972087281</v>
      </c>
      <c r="C473" s="1">
        <v>78.361635005476359</v>
      </c>
      <c r="D473" s="1">
        <v>80.91546073074143</v>
      </c>
      <c r="E473" s="1" t="s">
        <v>152</v>
      </c>
      <c r="F473" s="1">
        <v>4</v>
      </c>
    </row>
    <row r="474" spans="1:6" x14ac:dyDescent="0.35">
      <c r="A474" s="1">
        <v>2048</v>
      </c>
      <c r="B474" s="1">
        <v>73.738715529647507</v>
      </c>
      <c r="C474" s="1">
        <v>76.171563897141993</v>
      </c>
      <c r="D474" s="1">
        <v>78.503682616806401</v>
      </c>
      <c r="E474" s="1" t="s">
        <v>152</v>
      </c>
      <c r="F474" s="1">
        <v>4</v>
      </c>
    </row>
    <row r="475" spans="1:6" x14ac:dyDescent="0.35">
      <c r="A475" s="1">
        <v>2049</v>
      </c>
      <c r="B475" s="1">
        <v>74.273736914370787</v>
      </c>
      <c r="C475" s="1">
        <v>76.06033285177574</v>
      </c>
      <c r="D475" s="1">
        <v>81.458333339999996</v>
      </c>
      <c r="E475" s="1" t="s">
        <v>152</v>
      </c>
      <c r="F475" s="1">
        <v>4</v>
      </c>
    </row>
    <row r="476" spans="1:6" x14ac:dyDescent="0.35">
      <c r="A476" s="1">
        <v>2050</v>
      </c>
      <c r="B476" s="1">
        <v>69.985397706874366</v>
      </c>
      <c r="C476" s="1">
        <v>76.318799907226861</v>
      </c>
      <c r="D476" s="1">
        <v>80.550958465975697</v>
      </c>
      <c r="E476" s="1" t="s">
        <v>152</v>
      </c>
      <c r="F476" s="1">
        <v>4</v>
      </c>
    </row>
    <row r="477" spans="1:6" x14ac:dyDescent="0.35">
      <c r="A477" s="1">
        <v>2026</v>
      </c>
      <c r="B477" s="1">
        <v>25.39276477266618</v>
      </c>
      <c r="C477" s="1">
        <v>26.161035973613611</v>
      </c>
      <c r="D477" s="1">
        <v>27.75458628445223</v>
      </c>
      <c r="E477" s="1" t="s">
        <v>153</v>
      </c>
      <c r="F477" s="1">
        <v>4</v>
      </c>
    </row>
    <row r="478" spans="1:6" x14ac:dyDescent="0.35">
      <c r="A478" s="1">
        <v>2027</v>
      </c>
      <c r="B478" s="1">
        <v>37.766264401794857</v>
      </c>
      <c r="C478" s="1">
        <v>43.132256473247992</v>
      </c>
      <c r="D478" s="1">
        <v>45.759576766658427</v>
      </c>
      <c r="E478" s="1" t="s">
        <v>153</v>
      </c>
      <c r="F478" s="1">
        <v>4</v>
      </c>
    </row>
    <row r="479" spans="1:6" x14ac:dyDescent="0.35">
      <c r="A479" s="1">
        <v>2028</v>
      </c>
      <c r="B479" s="1">
        <v>36.329484804759893</v>
      </c>
      <c r="C479" s="1">
        <v>39.894699819852939</v>
      </c>
      <c r="D479" s="1">
        <v>41.697570293299989</v>
      </c>
      <c r="E479" s="1" t="s">
        <v>153</v>
      </c>
      <c r="F479" s="1">
        <v>4</v>
      </c>
    </row>
    <row r="480" spans="1:6" x14ac:dyDescent="0.35">
      <c r="A480" s="1">
        <v>2029</v>
      </c>
      <c r="B480" s="1">
        <v>34.92407091718983</v>
      </c>
      <c r="C480" s="1">
        <v>39.479561938962497</v>
      </c>
      <c r="D480" s="1">
        <v>42.226032073896022</v>
      </c>
      <c r="E480" s="1" t="s">
        <v>153</v>
      </c>
      <c r="F480" s="1">
        <v>4</v>
      </c>
    </row>
    <row r="481" spans="1:6" x14ac:dyDescent="0.35">
      <c r="A481" s="1">
        <v>2030</v>
      </c>
      <c r="B481" s="1">
        <v>34.348235996580797</v>
      </c>
      <c r="C481" s="1">
        <v>41.65029700885777</v>
      </c>
      <c r="D481" s="1">
        <v>43.430179851681181</v>
      </c>
      <c r="E481" s="1" t="s">
        <v>153</v>
      </c>
      <c r="F481" s="1">
        <v>4</v>
      </c>
    </row>
    <row r="482" spans="1:6" x14ac:dyDescent="0.35">
      <c r="A482" s="1">
        <v>2031</v>
      </c>
      <c r="B482" s="1">
        <v>35.717071947863701</v>
      </c>
      <c r="C482" s="1">
        <v>41.201995464527798</v>
      </c>
      <c r="D482" s="1">
        <v>45.138527086566619</v>
      </c>
      <c r="E482" s="1" t="s">
        <v>153</v>
      </c>
      <c r="F482" s="1">
        <v>4</v>
      </c>
    </row>
    <row r="483" spans="1:6" x14ac:dyDescent="0.35">
      <c r="A483" s="1">
        <v>2032</v>
      </c>
      <c r="B483" s="1">
        <v>53.479796867347403</v>
      </c>
      <c r="C483" s="1">
        <v>67.930606317657194</v>
      </c>
      <c r="D483" s="1">
        <v>72.310410000385389</v>
      </c>
      <c r="E483" s="1" t="s">
        <v>153</v>
      </c>
      <c r="F483" s="1">
        <v>4</v>
      </c>
    </row>
    <row r="484" spans="1:6" x14ac:dyDescent="0.35">
      <c r="A484" s="1">
        <v>2033</v>
      </c>
      <c r="B484" s="1">
        <v>48.59640473966337</v>
      </c>
      <c r="C484" s="1">
        <v>58.659428977526169</v>
      </c>
      <c r="D484" s="1">
        <v>72.705161161737408</v>
      </c>
      <c r="E484" s="1" t="s">
        <v>153</v>
      </c>
      <c r="F484" s="1">
        <v>4</v>
      </c>
    </row>
    <row r="485" spans="1:6" x14ac:dyDescent="0.35">
      <c r="A485" s="1">
        <v>2034</v>
      </c>
      <c r="B485" s="1">
        <v>48.679132913261689</v>
      </c>
      <c r="C485" s="1">
        <v>60.199404061543397</v>
      </c>
      <c r="D485" s="1">
        <v>69.635398698241289</v>
      </c>
      <c r="E485" s="1" t="s">
        <v>153</v>
      </c>
      <c r="F485" s="1">
        <v>4</v>
      </c>
    </row>
    <row r="486" spans="1:6" x14ac:dyDescent="0.35">
      <c r="A486" s="1">
        <v>2035</v>
      </c>
      <c r="B486" s="1">
        <v>47.668115487920637</v>
      </c>
      <c r="C486" s="1">
        <v>58.581120262627749</v>
      </c>
      <c r="D486" s="1">
        <v>69.753747569136223</v>
      </c>
      <c r="E486" s="1" t="s">
        <v>153</v>
      </c>
      <c r="F486" s="1">
        <v>4</v>
      </c>
    </row>
    <row r="487" spans="1:6" x14ac:dyDescent="0.35">
      <c r="A487" s="1">
        <v>2036</v>
      </c>
      <c r="B487" s="1">
        <v>47.895568676567351</v>
      </c>
      <c r="C487" s="1">
        <v>61.363527481873142</v>
      </c>
      <c r="D487" s="1">
        <v>70.134576783434511</v>
      </c>
      <c r="E487" s="1" t="s">
        <v>153</v>
      </c>
      <c r="F487" s="1">
        <v>4</v>
      </c>
    </row>
    <row r="488" spans="1:6" x14ac:dyDescent="0.35">
      <c r="A488" s="1">
        <v>2037</v>
      </c>
      <c r="B488" s="1">
        <v>77.340965113540378</v>
      </c>
      <c r="C488" s="1">
        <v>81.458333339999996</v>
      </c>
      <c r="D488" s="1">
        <v>81.458333339999996</v>
      </c>
      <c r="E488" s="1" t="s">
        <v>153</v>
      </c>
      <c r="F488" s="1">
        <v>4</v>
      </c>
    </row>
    <row r="489" spans="1:6" x14ac:dyDescent="0.35">
      <c r="A489" s="1">
        <v>2038</v>
      </c>
      <c r="B489" s="1">
        <v>70.045639279866947</v>
      </c>
      <c r="C489" s="1">
        <v>74.750279797074327</v>
      </c>
      <c r="D489" s="1">
        <v>78.274889216553831</v>
      </c>
      <c r="E489" s="1" t="s">
        <v>153</v>
      </c>
      <c r="F489" s="1">
        <v>4</v>
      </c>
    </row>
    <row r="490" spans="1:6" x14ac:dyDescent="0.35">
      <c r="A490" s="1">
        <v>2039</v>
      </c>
      <c r="B490" s="1">
        <v>69.054246437485773</v>
      </c>
      <c r="C490" s="1">
        <v>73.313651437458262</v>
      </c>
      <c r="D490" s="1">
        <v>81.458333339999996</v>
      </c>
      <c r="E490" s="1" t="s">
        <v>153</v>
      </c>
      <c r="F490" s="1">
        <v>4</v>
      </c>
    </row>
    <row r="491" spans="1:6" x14ac:dyDescent="0.35">
      <c r="A491" s="1">
        <v>2040</v>
      </c>
      <c r="B491" s="1">
        <v>69.730460198899621</v>
      </c>
      <c r="C491" s="1">
        <v>73.669306771953146</v>
      </c>
      <c r="D491" s="1">
        <v>79.303676589479238</v>
      </c>
      <c r="E491" s="1" t="s">
        <v>153</v>
      </c>
      <c r="F491" s="1">
        <v>4</v>
      </c>
    </row>
    <row r="492" spans="1:6" x14ac:dyDescent="0.35">
      <c r="A492" s="1">
        <v>2041</v>
      </c>
      <c r="B492" s="1">
        <v>70.122424561281605</v>
      </c>
      <c r="C492" s="1">
        <v>74.937061334671739</v>
      </c>
      <c r="D492" s="1">
        <v>81.458333339999996</v>
      </c>
      <c r="E492" s="1" t="s">
        <v>153</v>
      </c>
      <c r="F492" s="1">
        <v>4</v>
      </c>
    </row>
    <row r="493" spans="1:6" x14ac:dyDescent="0.35">
      <c r="A493" s="1">
        <v>2042</v>
      </c>
      <c r="B493" s="1">
        <v>81.458333339999996</v>
      </c>
      <c r="C493" s="1">
        <v>81.458333339999996</v>
      </c>
      <c r="D493" s="1">
        <v>81.458333339999996</v>
      </c>
      <c r="E493" s="1" t="s">
        <v>153</v>
      </c>
      <c r="F493" s="1">
        <v>4</v>
      </c>
    </row>
    <row r="494" spans="1:6" x14ac:dyDescent="0.35">
      <c r="A494" s="1">
        <v>2043</v>
      </c>
      <c r="B494" s="1">
        <v>74.053445562861739</v>
      </c>
      <c r="C494" s="1">
        <v>78.169835488998217</v>
      </c>
      <c r="D494" s="1">
        <v>79.952855747047479</v>
      </c>
      <c r="E494" s="1" t="s">
        <v>153</v>
      </c>
      <c r="F494" s="1">
        <v>4</v>
      </c>
    </row>
    <row r="495" spans="1:6" x14ac:dyDescent="0.35">
      <c r="A495" s="1">
        <v>2044</v>
      </c>
      <c r="B495" s="1">
        <v>74.667498444296896</v>
      </c>
      <c r="C495" s="1">
        <v>76.752354589384922</v>
      </c>
      <c r="D495" s="1">
        <v>81.458333339999996</v>
      </c>
      <c r="E495" s="1" t="s">
        <v>153</v>
      </c>
      <c r="F495" s="1">
        <v>4</v>
      </c>
    </row>
    <row r="496" spans="1:6" x14ac:dyDescent="0.35">
      <c r="A496" s="1">
        <v>2045</v>
      </c>
      <c r="B496" s="1">
        <v>72.062130257143195</v>
      </c>
      <c r="C496" s="1">
        <v>79.212142285765822</v>
      </c>
      <c r="D496" s="1">
        <v>81.458333339999996</v>
      </c>
      <c r="E496" s="1" t="s">
        <v>153</v>
      </c>
      <c r="F496" s="1">
        <v>4</v>
      </c>
    </row>
    <row r="497" spans="1:6" x14ac:dyDescent="0.35">
      <c r="A497" s="1">
        <v>2046</v>
      </c>
      <c r="B497" s="1">
        <v>70.390051542785613</v>
      </c>
      <c r="C497" s="1">
        <v>76.61960854173239</v>
      </c>
      <c r="D497" s="1">
        <v>80.567949959298673</v>
      </c>
      <c r="E497" s="1" t="s">
        <v>153</v>
      </c>
      <c r="F497" s="1">
        <v>4</v>
      </c>
    </row>
    <row r="498" spans="1:6" x14ac:dyDescent="0.35">
      <c r="A498" s="1">
        <v>2047</v>
      </c>
      <c r="B498" s="1">
        <v>70.439846924478616</v>
      </c>
      <c r="C498" s="1">
        <v>77.305487242267432</v>
      </c>
      <c r="D498" s="1">
        <v>81.458333339999996</v>
      </c>
      <c r="E498" s="1" t="s">
        <v>153</v>
      </c>
      <c r="F498" s="1">
        <v>4</v>
      </c>
    </row>
    <row r="499" spans="1:6" x14ac:dyDescent="0.35">
      <c r="A499" s="1">
        <v>2048</v>
      </c>
      <c r="B499" s="1">
        <v>67.740001074783081</v>
      </c>
      <c r="C499" s="1">
        <v>76.37922851803674</v>
      </c>
      <c r="D499" s="1">
        <v>81.21152101276931</v>
      </c>
      <c r="E499" s="1" t="s">
        <v>153</v>
      </c>
      <c r="F499" s="1">
        <v>4</v>
      </c>
    </row>
    <row r="500" spans="1:6" x14ac:dyDescent="0.35">
      <c r="A500" s="1">
        <v>2049</v>
      </c>
      <c r="B500" s="1">
        <v>68.888304354405818</v>
      </c>
      <c r="C500" s="1">
        <v>75.444849059831597</v>
      </c>
      <c r="D500" s="1">
        <v>81.190238716887109</v>
      </c>
      <c r="E500" s="1" t="s">
        <v>153</v>
      </c>
      <c r="F500" s="1">
        <v>4</v>
      </c>
    </row>
    <row r="501" spans="1:6" x14ac:dyDescent="0.35">
      <c r="A501" s="1">
        <v>2050</v>
      </c>
      <c r="B501" s="1">
        <v>68.884632514158085</v>
      </c>
      <c r="C501" s="1">
        <v>74.496060601286402</v>
      </c>
      <c r="D501" s="1">
        <v>78.55529545881717</v>
      </c>
      <c r="E501" s="1" t="s">
        <v>153</v>
      </c>
      <c r="F501" s="1">
        <v>4</v>
      </c>
    </row>
    <row r="502" spans="1:6" x14ac:dyDescent="0.35">
      <c r="A502" s="1">
        <v>2026</v>
      </c>
      <c r="B502" s="1">
        <v>39.111931022054549</v>
      </c>
      <c r="C502" s="1">
        <v>44.767362284479809</v>
      </c>
      <c r="D502" s="1">
        <v>44.767362284479809</v>
      </c>
      <c r="E502" s="1" t="s">
        <v>154</v>
      </c>
      <c r="F502" s="1">
        <v>5</v>
      </c>
    </row>
    <row r="503" spans="1:6" x14ac:dyDescent="0.35">
      <c r="A503" s="1">
        <v>2027</v>
      </c>
      <c r="B503" s="1">
        <v>34.723662537752958</v>
      </c>
      <c r="C503" s="1">
        <v>39.917904366686727</v>
      </c>
      <c r="D503" s="1">
        <v>44.095568676669643</v>
      </c>
      <c r="E503" s="1" t="s">
        <v>154</v>
      </c>
      <c r="F503" s="1">
        <v>5</v>
      </c>
    </row>
    <row r="504" spans="1:6" x14ac:dyDescent="0.35">
      <c r="A504" s="1">
        <v>2028</v>
      </c>
      <c r="B504" s="1">
        <v>54.495032269881257</v>
      </c>
      <c r="C504" s="1">
        <v>65.813498011129951</v>
      </c>
      <c r="D504" s="1">
        <v>72.701302020843528</v>
      </c>
      <c r="E504" s="1" t="s">
        <v>154</v>
      </c>
      <c r="F504" s="1">
        <v>5</v>
      </c>
    </row>
    <row r="505" spans="1:6" x14ac:dyDescent="0.35">
      <c r="A505" s="1">
        <v>2029</v>
      </c>
      <c r="B505" s="1">
        <v>48.381756900747583</v>
      </c>
      <c r="C505" s="1">
        <v>61.927558396250006</v>
      </c>
      <c r="D505" s="1">
        <v>66.998985635397332</v>
      </c>
      <c r="E505" s="1" t="s">
        <v>154</v>
      </c>
      <c r="F505" s="1">
        <v>5</v>
      </c>
    </row>
    <row r="506" spans="1:6" x14ac:dyDescent="0.35">
      <c r="A506" s="1">
        <v>2030</v>
      </c>
      <c r="B506" s="1">
        <v>51.597042784626147</v>
      </c>
      <c r="C506" s="1">
        <v>62.387915185849678</v>
      </c>
      <c r="D506" s="1">
        <v>66.49389528304151</v>
      </c>
      <c r="E506" s="1" t="s">
        <v>154</v>
      </c>
      <c r="F506" s="1">
        <v>5</v>
      </c>
    </row>
    <row r="507" spans="1:6" x14ac:dyDescent="0.35">
      <c r="A507" s="1">
        <v>2031</v>
      </c>
      <c r="B507" s="1">
        <v>50.23757979340057</v>
      </c>
      <c r="C507" s="1">
        <v>61.564980909067252</v>
      </c>
      <c r="D507" s="1">
        <v>69.442139638970986</v>
      </c>
      <c r="E507" s="1" t="s">
        <v>154</v>
      </c>
      <c r="F507" s="1">
        <v>5</v>
      </c>
    </row>
    <row r="508" spans="1:6" x14ac:dyDescent="0.35">
      <c r="A508" s="1">
        <v>2032</v>
      </c>
      <c r="B508" s="1">
        <v>49.443309986048646</v>
      </c>
      <c r="C508" s="1">
        <v>59.194417216829628</v>
      </c>
      <c r="D508" s="1">
        <v>71.150182550977462</v>
      </c>
      <c r="E508" s="1" t="s">
        <v>154</v>
      </c>
      <c r="F508" s="1">
        <v>5</v>
      </c>
    </row>
    <row r="509" spans="1:6" x14ac:dyDescent="0.35">
      <c r="A509" s="1">
        <v>2033</v>
      </c>
      <c r="B509" s="1">
        <v>47.944009663245673</v>
      </c>
      <c r="C509" s="1">
        <v>59.133590026035328</v>
      </c>
      <c r="D509" s="1">
        <v>72.941002490479121</v>
      </c>
      <c r="E509" s="1" t="s">
        <v>154</v>
      </c>
      <c r="F509" s="1">
        <v>5</v>
      </c>
    </row>
    <row r="510" spans="1:6" x14ac:dyDescent="0.35">
      <c r="A510" s="1">
        <v>2034</v>
      </c>
      <c r="B510" s="1">
        <v>79.046308534445629</v>
      </c>
      <c r="C510" s="1">
        <v>81.458333339999996</v>
      </c>
      <c r="D510" s="1">
        <v>81.458333339999996</v>
      </c>
      <c r="E510" s="1" t="s">
        <v>154</v>
      </c>
      <c r="F510" s="1">
        <v>5</v>
      </c>
    </row>
    <row r="511" spans="1:6" x14ac:dyDescent="0.35">
      <c r="A511" s="1">
        <v>2035</v>
      </c>
      <c r="B511" s="1">
        <v>74.135137745833859</v>
      </c>
      <c r="C511" s="1">
        <v>75.942241928528546</v>
      </c>
      <c r="D511" s="1">
        <v>78.467505956798604</v>
      </c>
      <c r="E511" s="1" t="s">
        <v>154</v>
      </c>
      <c r="F511" s="1">
        <v>5</v>
      </c>
    </row>
    <row r="512" spans="1:6" x14ac:dyDescent="0.35">
      <c r="A512" s="1">
        <v>2036</v>
      </c>
      <c r="B512" s="1">
        <v>71.053849338556375</v>
      </c>
      <c r="C512" s="1">
        <v>75.916376153257332</v>
      </c>
      <c r="D512" s="1">
        <v>81.458333339999996</v>
      </c>
      <c r="E512" s="1" t="s">
        <v>154</v>
      </c>
      <c r="F512" s="1">
        <v>5</v>
      </c>
    </row>
    <row r="513" spans="1:6" x14ac:dyDescent="0.35">
      <c r="A513" s="1">
        <v>2037</v>
      </c>
      <c r="B513" s="1">
        <v>70.125002165481561</v>
      </c>
      <c r="C513" s="1">
        <v>75.573590675320588</v>
      </c>
      <c r="D513" s="1">
        <v>81.458333339999996</v>
      </c>
      <c r="E513" s="1" t="s">
        <v>154</v>
      </c>
      <c r="F513" s="1">
        <v>5</v>
      </c>
    </row>
    <row r="514" spans="1:6" x14ac:dyDescent="0.35">
      <c r="A514" s="1">
        <v>2038</v>
      </c>
      <c r="B514" s="1">
        <v>69.795233603927429</v>
      </c>
      <c r="C514" s="1">
        <v>74.026587844266018</v>
      </c>
      <c r="D514" s="1">
        <v>81.458333339999996</v>
      </c>
      <c r="E514" s="1" t="s">
        <v>154</v>
      </c>
      <c r="F514" s="1">
        <v>5</v>
      </c>
    </row>
    <row r="515" spans="1:6" x14ac:dyDescent="0.35">
      <c r="A515" s="1">
        <v>2039</v>
      </c>
      <c r="B515" s="1">
        <v>68.384877732010722</v>
      </c>
      <c r="C515" s="1">
        <v>73.100193397669585</v>
      </c>
      <c r="D515" s="1">
        <v>81.298828068021677</v>
      </c>
      <c r="E515" s="1" t="s">
        <v>154</v>
      </c>
      <c r="F515" s="1">
        <v>5</v>
      </c>
    </row>
    <row r="516" spans="1:6" x14ac:dyDescent="0.35">
      <c r="A516" s="1">
        <v>2040</v>
      </c>
      <c r="B516" s="1">
        <v>67.17827442915177</v>
      </c>
      <c r="C516" s="1">
        <v>75.866277512270329</v>
      </c>
      <c r="D516" s="1">
        <v>79.406767739222801</v>
      </c>
      <c r="E516" s="1" t="s">
        <v>154</v>
      </c>
      <c r="F516" s="1">
        <v>5</v>
      </c>
    </row>
    <row r="517" spans="1:6" x14ac:dyDescent="0.35">
      <c r="A517" s="1">
        <v>2041</v>
      </c>
      <c r="B517" s="1">
        <v>81.458333339999996</v>
      </c>
      <c r="C517" s="1">
        <v>81.458333339999996</v>
      </c>
      <c r="D517" s="1">
        <v>81.458333339999996</v>
      </c>
      <c r="E517" s="1" t="s">
        <v>154</v>
      </c>
      <c r="F517" s="1">
        <v>5</v>
      </c>
    </row>
    <row r="518" spans="1:6" x14ac:dyDescent="0.35">
      <c r="A518" s="1">
        <v>2042</v>
      </c>
      <c r="B518" s="1">
        <v>72.911143238002154</v>
      </c>
      <c r="C518" s="1">
        <v>73.424276797636466</v>
      </c>
      <c r="D518" s="1">
        <v>79.28903896372664</v>
      </c>
      <c r="E518" s="1" t="s">
        <v>154</v>
      </c>
      <c r="F518" s="1">
        <v>5</v>
      </c>
    </row>
    <row r="519" spans="1:6" x14ac:dyDescent="0.35">
      <c r="A519" s="1">
        <v>2043</v>
      </c>
      <c r="B519" s="1">
        <v>81.458333339999996</v>
      </c>
      <c r="C519" s="1">
        <v>81.458333339999996</v>
      </c>
      <c r="D519" s="1">
        <v>81.458333339999996</v>
      </c>
      <c r="E519" s="1" t="s">
        <v>154</v>
      </c>
      <c r="F519" s="1">
        <v>5</v>
      </c>
    </row>
    <row r="520" spans="1:6" x14ac:dyDescent="0.35">
      <c r="A520" s="1">
        <v>2044</v>
      </c>
      <c r="B520" s="1">
        <v>69.311025125710117</v>
      </c>
      <c r="C520" s="1">
        <v>76.325198960475745</v>
      </c>
      <c r="D520" s="1">
        <v>81.458333339999996</v>
      </c>
      <c r="E520" s="1" t="s">
        <v>154</v>
      </c>
      <c r="F520" s="1">
        <v>5</v>
      </c>
    </row>
    <row r="521" spans="1:6" x14ac:dyDescent="0.35">
      <c r="A521" s="1">
        <v>2045</v>
      </c>
      <c r="B521" s="1">
        <v>70.486052757146325</v>
      </c>
      <c r="C521" s="1">
        <v>79.912716531294308</v>
      </c>
      <c r="D521" s="1">
        <v>81.458333339999996</v>
      </c>
      <c r="E521" s="1" t="s">
        <v>154</v>
      </c>
      <c r="F521" s="1">
        <v>5</v>
      </c>
    </row>
    <row r="522" spans="1:6" x14ac:dyDescent="0.35">
      <c r="A522" s="1">
        <v>2046</v>
      </c>
      <c r="B522" s="1">
        <v>72.191582413903873</v>
      </c>
      <c r="C522" s="1">
        <v>77.029269817591768</v>
      </c>
      <c r="D522" s="1">
        <v>81.107872744447391</v>
      </c>
      <c r="E522" s="1" t="s">
        <v>154</v>
      </c>
      <c r="F522" s="1">
        <v>5</v>
      </c>
    </row>
    <row r="523" spans="1:6" x14ac:dyDescent="0.35">
      <c r="A523" s="1">
        <v>2047</v>
      </c>
      <c r="B523" s="1">
        <v>72.613035934205513</v>
      </c>
      <c r="C523" s="1">
        <v>79.43110795446556</v>
      </c>
      <c r="D523" s="1">
        <v>80.679912034515013</v>
      </c>
      <c r="E523" s="1" t="s">
        <v>154</v>
      </c>
      <c r="F523" s="1">
        <v>5</v>
      </c>
    </row>
    <row r="524" spans="1:6" x14ac:dyDescent="0.35">
      <c r="A524" s="1">
        <v>2048</v>
      </c>
      <c r="B524" s="1">
        <v>72.358651341994928</v>
      </c>
      <c r="C524" s="1">
        <v>77.969897585025038</v>
      </c>
      <c r="D524" s="1">
        <v>80.583277519080738</v>
      </c>
      <c r="E524" s="1" t="s">
        <v>154</v>
      </c>
      <c r="F524" s="1">
        <v>5</v>
      </c>
    </row>
    <row r="525" spans="1:6" x14ac:dyDescent="0.35">
      <c r="A525" s="1">
        <v>2049</v>
      </c>
      <c r="B525" s="1">
        <v>70.811399608505084</v>
      </c>
      <c r="C525" s="1">
        <v>76.082628300360852</v>
      </c>
      <c r="D525" s="1">
        <v>76.941472499303359</v>
      </c>
      <c r="E525" s="1" t="s">
        <v>154</v>
      </c>
      <c r="F525" s="1">
        <v>5</v>
      </c>
    </row>
    <row r="526" spans="1:6" x14ac:dyDescent="0.35">
      <c r="A526" s="1">
        <v>2050</v>
      </c>
      <c r="B526" s="1">
        <v>67.791693691303735</v>
      </c>
      <c r="C526" s="1">
        <v>73.746886389532563</v>
      </c>
      <c r="D526" s="1">
        <v>75.697914697875859</v>
      </c>
      <c r="E526" s="1" t="s">
        <v>154</v>
      </c>
      <c r="F526" s="1">
        <v>5</v>
      </c>
    </row>
    <row r="527" spans="1:6" x14ac:dyDescent="0.35">
      <c r="A527" s="1">
        <v>2026</v>
      </c>
      <c r="B527" s="1">
        <v>26.543956484514791</v>
      </c>
      <c r="C527" s="1">
        <v>28.381391066797441</v>
      </c>
      <c r="D527" s="1">
        <v>25.996213843251859</v>
      </c>
      <c r="E527" s="1" t="s">
        <v>155</v>
      </c>
      <c r="F527" s="1">
        <v>5</v>
      </c>
    </row>
    <row r="528" spans="1:6" x14ac:dyDescent="0.35">
      <c r="A528" s="1">
        <v>2027</v>
      </c>
      <c r="B528" s="1">
        <v>26.105308078180229</v>
      </c>
      <c r="C528" s="1">
        <v>28.433369577859668</v>
      </c>
      <c r="D528" s="1">
        <v>27.530087569426339</v>
      </c>
      <c r="E528" s="1" t="s">
        <v>155</v>
      </c>
      <c r="F528" s="1">
        <v>5</v>
      </c>
    </row>
    <row r="529" spans="1:6" x14ac:dyDescent="0.35">
      <c r="A529" s="1">
        <v>2028</v>
      </c>
      <c r="B529" s="1">
        <v>25.414515087816241</v>
      </c>
      <c r="C529" s="1">
        <v>26.958985458941839</v>
      </c>
      <c r="D529" s="1">
        <v>28.124353529113801</v>
      </c>
      <c r="E529" s="1" t="s">
        <v>155</v>
      </c>
      <c r="F529" s="1">
        <v>5</v>
      </c>
    </row>
    <row r="530" spans="1:6" x14ac:dyDescent="0.35">
      <c r="A530" s="1">
        <v>2029</v>
      </c>
      <c r="B530" s="1">
        <v>37.922570013445423</v>
      </c>
      <c r="C530" s="1">
        <v>44.447852762652872</v>
      </c>
      <c r="D530" s="1">
        <v>46.369219888140137</v>
      </c>
      <c r="E530" s="1" t="s">
        <v>155</v>
      </c>
      <c r="F530" s="1">
        <v>5</v>
      </c>
    </row>
    <row r="531" spans="1:6" x14ac:dyDescent="0.35">
      <c r="A531" s="1">
        <v>2030</v>
      </c>
      <c r="B531" s="1">
        <v>34.413406562621077</v>
      </c>
      <c r="C531" s="1">
        <v>40.503069194996471</v>
      </c>
      <c r="D531" s="1">
        <v>44.200531211660618</v>
      </c>
      <c r="E531" s="1" t="s">
        <v>155</v>
      </c>
      <c r="F531" s="1">
        <v>5</v>
      </c>
    </row>
    <row r="532" spans="1:6" x14ac:dyDescent="0.35">
      <c r="A532" s="1">
        <v>2031</v>
      </c>
      <c r="B532" s="1">
        <v>56.738115397044751</v>
      </c>
      <c r="C532" s="1">
        <v>66.778271710429806</v>
      </c>
      <c r="D532" s="1">
        <v>72.874355984909784</v>
      </c>
      <c r="E532" s="1" t="s">
        <v>155</v>
      </c>
      <c r="F532" s="1">
        <v>5</v>
      </c>
    </row>
    <row r="533" spans="1:6" x14ac:dyDescent="0.35">
      <c r="A533" s="1">
        <v>2032</v>
      </c>
      <c r="B533" s="1">
        <v>52.303559431507011</v>
      </c>
      <c r="C533" s="1">
        <v>60.139375544280988</v>
      </c>
      <c r="D533" s="1">
        <v>67.55826695032242</v>
      </c>
      <c r="E533" s="1" t="s">
        <v>155</v>
      </c>
      <c r="F533" s="1">
        <v>5</v>
      </c>
    </row>
    <row r="534" spans="1:6" x14ac:dyDescent="0.35">
      <c r="A534" s="1">
        <v>2033</v>
      </c>
      <c r="B534" s="1">
        <v>50.306768392082667</v>
      </c>
      <c r="C534" s="1">
        <v>57.801879543707543</v>
      </c>
      <c r="D534" s="1">
        <v>68.532503947067752</v>
      </c>
      <c r="E534" s="1" t="s">
        <v>155</v>
      </c>
      <c r="F534" s="1">
        <v>5</v>
      </c>
    </row>
    <row r="535" spans="1:6" x14ac:dyDescent="0.35">
      <c r="A535" s="1">
        <v>2034</v>
      </c>
      <c r="B535" s="1">
        <v>50.814844249051717</v>
      </c>
      <c r="C535" s="1">
        <v>60.132518252830963</v>
      </c>
      <c r="D535" s="1">
        <v>67.124557570321812</v>
      </c>
      <c r="E535" s="1" t="s">
        <v>155</v>
      </c>
      <c r="F535" s="1">
        <v>5</v>
      </c>
    </row>
    <row r="536" spans="1:6" x14ac:dyDescent="0.35">
      <c r="A536" s="1">
        <v>2035</v>
      </c>
      <c r="B536" s="1">
        <v>51.046463822804512</v>
      </c>
      <c r="C536" s="1">
        <v>61.755085774346007</v>
      </c>
      <c r="D536" s="1">
        <v>68.738547413316951</v>
      </c>
      <c r="E536" s="1" t="s">
        <v>155</v>
      </c>
      <c r="F536" s="1">
        <v>5</v>
      </c>
    </row>
    <row r="537" spans="1:6" x14ac:dyDescent="0.35">
      <c r="A537" s="1">
        <v>2036</v>
      </c>
      <c r="B537" s="1">
        <v>78.003084637352288</v>
      </c>
      <c r="C537" s="1">
        <v>81.458333339999996</v>
      </c>
      <c r="D537" s="1">
        <v>81.458333339999996</v>
      </c>
      <c r="E537" s="1" t="s">
        <v>155</v>
      </c>
      <c r="F537" s="1">
        <v>5</v>
      </c>
    </row>
    <row r="538" spans="1:6" x14ac:dyDescent="0.35">
      <c r="A538" s="1">
        <v>2037</v>
      </c>
      <c r="B538" s="1">
        <v>69.488104154707528</v>
      </c>
      <c r="C538" s="1">
        <v>75.320530251424159</v>
      </c>
      <c r="D538" s="1">
        <v>81.222599636280947</v>
      </c>
      <c r="E538" s="1" t="s">
        <v>155</v>
      </c>
      <c r="F538" s="1">
        <v>5</v>
      </c>
    </row>
    <row r="539" spans="1:6" x14ac:dyDescent="0.35">
      <c r="A539" s="1">
        <v>2038</v>
      </c>
      <c r="B539" s="1">
        <v>66.352210159348871</v>
      </c>
      <c r="C539" s="1">
        <v>72.784691811358627</v>
      </c>
      <c r="D539" s="1">
        <v>81.458333339999996</v>
      </c>
      <c r="E539" s="1" t="s">
        <v>155</v>
      </c>
      <c r="F539" s="1">
        <v>5</v>
      </c>
    </row>
    <row r="540" spans="1:6" x14ac:dyDescent="0.35">
      <c r="A540" s="1">
        <v>2039</v>
      </c>
      <c r="B540" s="1">
        <v>67.985745403749377</v>
      </c>
      <c r="C540" s="1">
        <v>76.153072062903007</v>
      </c>
      <c r="D540" s="1">
        <v>81.458333339999996</v>
      </c>
      <c r="E540" s="1" t="s">
        <v>155</v>
      </c>
      <c r="F540" s="1">
        <v>5</v>
      </c>
    </row>
    <row r="541" spans="1:6" x14ac:dyDescent="0.35">
      <c r="A541" s="1">
        <v>2040</v>
      </c>
      <c r="B541" s="1">
        <v>68.82842049303602</v>
      </c>
      <c r="C541" s="1">
        <v>74.104634432485867</v>
      </c>
      <c r="D541" s="1">
        <v>81.458333339999996</v>
      </c>
      <c r="E541" s="1" t="s">
        <v>155</v>
      </c>
      <c r="F541" s="1">
        <v>5</v>
      </c>
    </row>
    <row r="542" spans="1:6" x14ac:dyDescent="0.35">
      <c r="A542" s="1">
        <v>2041</v>
      </c>
      <c r="B542" s="1">
        <v>67.784022453449936</v>
      </c>
      <c r="C542" s="1">
        <v>74.040404759608464</v>
      </c>
      <c r="D542" s="1">
        <v>80.174178020558131</v>
      </c>
      <c r="E542" s="1" t="s">
        <v>155</v>
      </c>
      <c r="F542" s="1">
        <v>5</v>
      </c>
    </row>
    <row r="543" spans="1:6" x14ac:dyDescent="0.35">
      <c r="A543" s="1">
        <v>2042</v>
      </c>
      <c r="B543" s="1">
        <v>66.613608394332886</v>
      </c>
      <c r="C543" s="1">
        <v>75.45455610059588</v>
      </c>
      <c r="D543" s="1">
        <v>81.458333339999996</v>
      </c>
      <c r="E543" s="1" t="s">
        <v>155</v>
      </c>
      <c r="F543" s="1">
        <v>5</v>
      </c>
    </row>
    <row r="544" spans="1:6" x14ac:dyDescent="0.35">
      <c r="A544" s="1">
        <v>2043</v>
      </c>
      <c r="B544" s="1">
        <v>65.767115239201104</v>
      </c>
      <c r="C544" s="1">
        <v>76.515585098571435</v>
      </c>
      <c r="D544" s="1">
        <v>78.915257725069935</v>
      </c>
      <c r="E544" s="1" t="s">
        <v>155</v>
      </c>
      <c r="F544" s="1">
        <v>5</v>
      </c>
    </row>
    <row r="545" spans="1:6" x14ac:dyDescent="0.35">
      <c r="A545" s="1">
        <v>2044</v>
      </c>
      <c r="B545" s="1">
        <v>64.52658935963521</v>
      </c>
      <c r="C545" s="1">
        <v>74.947871211994013</v>
      </c>
      <c r="D545" s="1">
        <v>76.898556185341633</v>
      </c>
      <c r="E545" s="1" t="s">
        <v>155</v>
      </c>
      <c r="F545" s="1">
        <v>5</v>
      </c>
    </row>
    <row r="546" spans="1:6" x14ac:dyDescent="0.35">
      <c r="A546" s="1">
        <v>2045</v>
      </c>
      <c r="B546" s="1">
        <v>65.913630618890707</v>
      </c>
      <c r="C546" s="1">
        <v>75.720471411538753</v>
      </c>
      <c r="D546" s="1">
        <v>77.448720472411637</v>
      </c>
      <c r="E546" s="1" t="s">
        <v>155</v>
      </c>
      <c r="F546" s="1">
        <v>5</v>
      </c>
    </row>
    <row r="547" spans="1:6" x14ac:dyDescent="0.35">
      <c r="A547" s="1">
        <v>2046</v>
      </c>
      <c r="B547" s="1">
        <v>81.458333339999996</v>
      </c>
      <c r="C547" s="1">
        <v>81.458333339999996</v>
      </c>
      <c r="D547" s="1">
        <v>81.458333339999996</v>
      </c>
      <c r="E547" s="1" t="s">
        <v>155</v>
      </c>
      <c r="F547" s="1">
        <v>5</v>
      </c>
    </row>
    <row r="548" spans="1:6" x14ac:dyDescent="0.35">
      <c r="A548" s="1">
        <v>2047</v>
      </c>
      <c r="B548" s="1">
        <v>76.004907972087281</v>
      </c>
      <c r="C548" s="1">
        <v>78.361635005476359</v>
      </c>
      <c r="D548" s="1">
        <v>80.880631654099844</v>
      </c>
      <c r="E548" s="1" t="s">
        <v>155</v>
      </c>
      <c r="F548" s="1">
        <v>5</v>
      </c>
    </row>
    <row r="549" spans="1:6" x14ac:dyDescent="0.35">
      <c r="A549" s="1">
        <v>2048</v>
      </c>
      <c r="B549" s="1">
        <v>81.458333339999996</v>
      </c>
      <c r="C549" s="1">
        <v>81.458333339999996</v>
      </c>
      <c r="D549" s="1">
        <v>81.458333339999996</v>
      </c>
      <c r="E549" s="1" t="s">
        <v>155</v>
      </c>
      <c r="F549" s="1">
        <v>5</v>
      </c>
    </row>
    <row r="550" spans="1:6" x14ac:dyDescent="0.35">
      <c r="A550" s="1">
        <v>2049</v>
      </c>
      <c r="B550" s="1">
        <v>77.202798510121639</v>
      </c>
      <c r="C550" s="1">
        <v>76.141537586235884</v>
      </c>
      <c r="D550" s="1">
        <v>79.378837923910538</v>
      </c>
      <c r="E550" s="1" t="s">
        <v>155</v>
      </c>
      <c r="F550" s="1">
        <v>5</v>
      </c>
    </row>
    <row r="551" spans="1:6" x14ac:dyDescent="0.35">
      <c r="A551" s="1">
        <v>2050</v>
      </c>
      <c r="B551" s="1">
        <v>72.745344212903646</v>
      </c>
      <c r="C551" s="1">
        <v>76.400280590369022</v>
      </c>
      <c r="D551" s="1">
        <v>78.591792593079632</v>
      </c>
      <c r="E551" s="1" t="s">
        <v>155</v>
      </c>
      <c r="F551" s="1">
        <v>5</v>
      </c>
    </row>
    <row r="552" spans="1:6" x14ac:dyDescent="0.35">
      <c r="A552" s="1">
        <v>2026</v>
      </c>
      <c r="B552" s="1">
        <v>27.55817188184341</v>
      </c>
      <c r="C552" s="1">
        <v>26.419522355700082</v>
      </c>
      <c r="D552" s="1">
        <v>27.835285592683061</v>
      </c>
      <c r="E552" s="1" t="s">
        <v>156</v>
      </c>
      <c r="F552" s="1">
        <v>5</v>
      </c>
    </row>
    <row r="553" spans="1:6" x14ac:dyDescent="0.35">
      <c r="A553" s="1">
        <v>2027</v>
      </c>
      <c r="B553" s="1">
        <v>27.022768230574481</v>
      </c>
      <c r="C553" s="1">
        <v>25.635835020383411</v>
      </c>
      <c r="D553" s="1">
        <v>27.61318697927614</v>
      </c>
      <c r="E553" s="1" t="s">
        <v>156</v>
      </c>
      <c r="F553" s="1">
        <v>5</v>
      </c>
    </row>
    <row r="554" spans="1:6" x14ac:dyDescent="0.35">
      <c r="A554" s="1">
        <v>2028</v>
      </c>
      <c r="B554" s="1">
        <v>25.853098288771989</v>
      </c>
      <c r="C554" s="1">
        <v>25.889701548106991</v>
      </c>
      <c r="D554" s="1">
        <v>27.587144600016611</v>
      </c>
      <c r="E554" s="1" t="s">
        <v>156</v>
      </c>
      <c r="F554" s="1">
        <v>5</v>
      </c>
    </row>
    <row r="555" spans="1:6" x14ac:dyDescent="0.35">
      <c r="A555" s="1">
        <v>2029</v>
      </c>
      <c r="B555" s="1">
        <v>26.118452260086389</v>
      </c>
      <c r="C555" s="1">
        <v>26.27084675253322</v>
      </c>
      <c r="D555" s="1">
        <v>29.227771947387481</v>
      </c>
      <c r="E555" s="1" t="s">
        <v>156</v>
      </c>
      <c r="F555" s="1">
        <v>5</v>
      </c>
    </row>
    <row r="556" spans="1:6" x14ac:dyDescent="0.35">
      <c r="A556" s="1">
        <v>2030</v>
      </c>
      <c r="B556" s="1">
        <v>38.912461428535792</v>
      </c>
      <c r="C556" s="1">
        <v>43.31330384020491</v>
      </c>
      <c r="D556" s="1">
        <v>48.18844930483025</v>
      </c>
      <c r="E556" s="1" t="s">
        <v>156</v>
      </c>
      <c r="F556" s="1">
        <v>5</v>
      </c>
    </row>
    <row r="557" spans="1:6" x14ac:dyDescent="0.35">
      <c r="A557" s="1">
        <v>2031</v>
      </c>
      <c r="B557" s="1">
        <v>35.714210180463112</v>
      </c>
      <c r="C557" s="1">
        <v>41.971318681170303</v>
      </c>
      <c r="D557" s="1">
        <v>44.482165508279181</v>
      </c>
      <c r="E557" s="1" t="s">
        <v>156</v>
      </c>
      <c r="F557" s="1">
        <v>5</v>
      </c>
    </row>
    <row r="558" spans="1:6" x14ac:dyDescent="0.35">
      <c r="A558" s="1">
        <v>2032</v>
      </c>
      <c r="B558" s="1">
        <v>35.347249564325921</v>
      </c>
      <c r="C558" s="1">
        <v>41.050116408364246</v>
      </c>
      <c r="D558" s="1">
        <v>45.135992620438927</v>
      </c>
      <c r="E558" s="1" t="s">
        <v>156</v>
      </c>
      <c r="F558" s="1">
        <v>5</v>
      </c>
    </row>
    <row r="559" spans="1:6" x14ac:dyDescent="0.35">
      <c r="A559" s="1">
        <v>2033</v>
      </c>
      <c r="B559" s="1">
        <v>35.2241548354773</v>
      </c>
      <c r="C559" s="1">
        <v>41.174173358220493</v>
      </c>
      <c r="D559" s="1">
        <v>46.173649348192249</v>
      </c>
      <c r="E559" s="1" t="s">
        <v>156</v>
      </c>
      <c r="F559" s="1">
        <v>5</v>
      </c>
    </row>
    <row r="560" spans="1:6" x14ac:dyDescent="0.35">
      <c r="A560" s="1">
        <v>2034</v>
      </c>
      <c r="B560" s="1">
        <v>35.838037332639352</v>
      </c>
      <c r="C560" s="1">
        <v>40.667990752802673</v>
      </c>
      <c r="D560" s="1">
        <v>47.017920632128323</v>
      </c>
      <c r="E560" s="1" t="s">
        <v>156</v>
      </c>
      <c r="F560" s="1">
        <v>5</v>
      </c>
    </row>
    <row r="561" spans="1:6" x14ac:dyDescent="0.35">
      <c r="A561" s="1">
        <v>2035</v>
      </c>
      <c r="B561" s="1">
        <v>34.307376796527848</v>
      </c>
      <c r="C561" s="1">
        <v>41.220481394818023</v>
      </c>
      <c r="D561" s="1">
        <v>46.479064089140998</v>
      </c>
      <c r="E561" s="1" t="s">
        <v>156</v>
      </c>
      <c r="F561" s="1">
        <v>5</v>
      </c>
    </row>
    <row r="562" spans="1:6" x14ac:dyDescent="0.35">
      <c r="A562" s="1">
        <v>2036</v>
      </c>
      <c r="B562" s="1">
        <v>33.421675236339709</v>
      </c>
      <c r="C562" s="1">
        <v>41.920403610035628</v>
      </c>
      <c r="D562" s="1">
        <v>46.360570582033837</v>
      </c>
      <c r="E562" s="1" t="s">
        <v>156</v>
      </c>
      <c r="F562" s="1">
        <v>5</v>
      </c>
    </row>
    <row r="563" spans="1:6" x14ac:dyDescent="0.35">
      <c r="A563" s="1">
        <v>2037</v>
      </c>
      <c r="B563" s="1">
        <v>55.103026864585011</v>
      </c>
      <c r="C563" s="1">
        <v>64.13395710006111</v>
      </c>
      <c r="D563" s="1">
        <v>76.435658840393813</v>
      </c>
      <c r="E563" s="1" t="s">
        <v>156</v>
      </c>
      <c r="F563" s="1">
        <v>5</v>
      </c>
    </row>
    <row r="564" spans="1:6" x14ac:dyDescent="0.35">
      <c r="A564" s="1">
        <v>2038</v>
      </c>
      <c r="B564" s="1">
        <v>48.11789902077544</v>
      </c>
      <c r="C564" s="1">
        <v>61.081931100649747</v>
      </c>
      <c r="D564" s="1">
        <v>69.958596912920044</v>
      </c>
      <c r="E564" s="1" t="s">
        <v>156</v>
      </c>
      <c r="F564" s="1">
        <v>5</v>
      </c>
    </row>
    <row r="565" spans="1:6" x14ac:dyDescent="0.35">
      <c r="A565" s="1">
        <v>2039</v>
      </c>
      <c r="B565" s="1">
        <v>48.087189847456841</v>
      </c>
      <c r="C565" s="1">
        <v>61.711004290760187</v>
      </c>
      <c r="D565" s="1">
        <v>71.275972943123492</v>
      </c>
      <c r="E565" s="1" t="s">
        <v>156</v>
      </c>
      <c r="F565" s="1">
        <v>5</v>
      </c>
    </row>
    <row r="566" spans="1:6" x14ac:dyDescent="0.35">
      <c r="A566" s="1">
        <v>2040</v>
      </c>
      <c r="B566" s="1">
        <v>48.920269013557608</v>
      </c>
      <c r="C566" s="1">
        <v>62.252712279291309</v>
      </c>
      <c r="D566" s="1">
        <v>70.462273033518855</v>
      </c>
      <c r="E566" s="1" t="s">
        <v>156</v>
      </c>
      <c r="F566" s="1">
        <v>5</v>
      </c>
    </row>
    <row r="567" spans="1:6" x14ac:dyDescent="0.35">
      <c r="A567" s="1">
        <v>2041</v>
      </c>
      <c r="B567" s="1">
        <v>49.690757774972226</v>
      </c>
      <c r="C567" s="1">
        <v>59.032686114960988</v>
      </c>
      <c r="D567" s="1">
        <v>74.208049199435251</v>
      </c>
      <c r="E567" s="1" t="s">
        <v>156</v>
      </c>
      <c r="F567" s="1">
        <v>5</v>
      </c>
    </row>
    <row r="568" spans="1:6" x14ac:dyDescent="0.35">
      <c r="A568" s="1">
        <v>2042</v>
      </c>
      <c r="B568" s="1">
        <v>49.846007765954191</v>
      </c>
      <c r="C568" s="1">
        <v>58.70820796567056</v>
      </c>
      <c r="D568" s="1">
        <v>75.871330747051815</v>
      </c>
      <c r="E568" s="1" t="s">
        <v>156</v>
      </c>
      <c r="F568" s="1">
        <v>5</v>
      </c>
    </row>
    <row r="569" spans="1:6" x14ac:dyDescent="0.35">
      <c r="A569" s="1">
        <v>2043</v>
      </c>
      <c r="B569" s="1">
        <v>48.568334541877611</v>
      </c>
      <c r="C569" s="1">
        <v>58.126136020860891</v>
      </c>
      <c r="D569" s="1">
        <v>76.481686437928985</v>
      </c>
      <c r="E569" s="1" t="s">
        <v>156</v>
      </c>
      <c r="F569" s="1">
        <v>5</v>
      </c>
    </row>
    <row r="570" spans="1:6" x14ac:dyDescent="0.35">
      <c r="A570" s="1">
        <v>2044</v>
      </c>
      <c r="B570" s="1">
        <v>48.454199224052623</v>
      </c>
      <c r="C570" s="1">
        <v>59.434223991434607</v>
      </c>
      <c r="D570" s="1">
        <v>75.497783988817247</v>
      </c>
      <c r="E570" s="1" t="s">
        <v>156</v>
      </c>
      <c r="F570" s="1">
        <v>5</v>
      </c>
    </row>
    <row r="571" spans="1:6" x14ac:dyDescent="0.35">
      <c r="A571" s="1">
        <v>2045</v>
      </c>
      <c r="B571" s="1">
        <v>73.48217664092904</v>
      </c>
      <c r="C571" s="1">
        <v>81.458333339999996</v>
      </c>
      <c r="D571" s="1">
        <v>81.458333339999996</v>
      </c>
      <c r="E571" s="1" t="s">
        <v>156</v>
      </c>
      <c r="F571" s="1">
        <v>5</v>
      </c>
    </row>
    <row r="572" spans="1:6" x14ac:dyDescent="0.35">
      <c r="A572" s="1">
        <v>2046</v>
      </c>
      <c r="B572" s="1">
        <v>68.069415270329884</v>
      </c>
      <c r="C572" s="1">
        <v>75.962430117736943</v>
      </c>
      <c r="D572" s="1">
        <v>78.055666437769929</v>
      </c>
      <c r="E572" s="1" t="s">
        <v>156</v>
      </c>
      <c r="F572" s="1">
        <v>5</v>
      </c>
    </row>
    <row r="573" spans="1:6" x14ac:dyDescent="0.35">
      <c r="A573" s="1">
        <v>2047</v>
      </c>
      <c r="B573" s="1">
        <v>80.59790306801392</v>
      </c>
      <c r="C573" s="1">
        <v>81.458333339999996</v>
      </c>
      <c r="D573" s="1">
        <v>81.458333339999996</v>
      </c>
      <c r="E573" s="1" t="s">
        <v>156</v>
      </c>
      <c r="F573" s="1">
        <v>5</v>
      </c>
    </row>
    <row r="574" spans="1:6" x14ac:dyDescent="0.35">
      <c r="A574" s="1">
        <v>2048</v>
      </c>
      <c r="B574" s="1">
        <v>69.664752133668202</v>
      </c>
      <c r="C574" s="1">
        <v>77.41205884282661</v>
      </c>
      <c r="D574" s="1">
        <v>79.303317173548109</v>
      </c>
      <c r="E574" s="1" t="s">
        <v>156</v>
      </c>
      <c r="F574" s="1">
        <v>5</v>
      </c>
    </row>
    <row r="575" spans="1:6" x14ac:dyDescent="0.35">
      <c r="A575" s="1">
        <v>2049</v>
      </c>
      <c r="B575" s="1">
        <v>69.285872295994068</v>
      </c>
      <c r="C575" s="1">
        <v>78.67075437369661</v>
      </c>
      <c r="D575" s="1">
        <v>80.786462185633724</v>
      </c>
      <c r="E575" s="1" t="s">
        <v>156</v>
      </c>
      <c r="F575" s="1">
        <v>5</v>
      </c>
    </row>
    <row r="576" spans="1:6" x14ac:dyDescent="0.35">
      <c r="A576" s="1">
        <v>2050</v>
      </c>
      <c r="B576" s="1">
        <v>81.458333339999996</v>
      </c>
      <c r="C576" s="1">
        <v>81.458333339999996</v>
      </c>
      <c r="D576" s="1">
        <v>81.458333339999996</v>
      </c>
      <c r="E576" s="1" t="s">
        <v>156</v>
      </c>
      <c r="F576" s="1">
        <v>5</v>
      </c>
    </row>
    <row r="577" spans="1:6" x14ac:dyDescent="0.35">
      <c r="A577" s="1">
        <v>2026</v>
      </c>
      <c r="B577" s="1">
        <v>25.39276477266618</v>
      </c>
      <c r="C577" s="1">
        <v>26.690963675568359</v>
      </c>
      <c r="D577" s="1">
        <v>27.258667462238218</v>
      </c>
      <c r="E577" s="1" t="s">
        <v>157</v>
      </c>
      <c r="F577" s="1">
        <v>5</v>
      </c>
    </row>
    <row r="578" spans="1:6" x14ac:dyDescent="0.35">
      <c r="A578" s="1">
        <v>2027</v>
      </c>
      <c r="B578" s="1">
        <v>24.675870077254999</v>
      </c>
      <c r="C578" s="1">
        <v>26.714694980270991</v>
      </c>
      <c r="D578" s="1">
        <v>28.006661662182029</v>
      </c>
      <c r="E578" s="1" t="s">
        <v>157</v>
      </c>
      <c r="F578" s="1">
        <v>5</v>
      </c>
    </row>
    <row r="579" spans="1:6" x14ac:dyDescent="0.35">
      <c r="A579" s="1">
        <v>2028</v>
      </c>
      <c r="B579" s="1">
        <v>25.088040787855981</v>
      </c>
      <c r="C579" s="1">
        <v>27.169405599198122</v>
      </c>
      <c r="D579" s="1">
        <v>28.864616848218638</v>
      </c>
      <c r="E579" s="1" t="s">
        <v>157</v>
      </c>
      <c r="F579" s="1">
        <v>5</v>
      </c>
    </row>
    <row r="580" spans="1:6" x14ac:dyDescent="0.35">
      <c r="A580" s="1">
        <v>2029</v>
      </c>
      <c r="B580" s="1">
        <v>24.11750456570298</v>
      </c>
      <c r="C580" s="1">
        <v>26.646611349903001</v>
      </c>
      <c r="D580" s="1">
        <v>29.276150903095921</v>
      </c>
      <c r="E580" s="1" t="s">
        <v>157</v>
      </c>
      <c r="F580" s="1">
        <v>5</v>
      </c>
    </row>
    <row r="581" spans="1:6" x14ac:dyDescent="0.35">
      <c r="A581" s="1">
        <v>2030</v>
      </c>
      <c r="B581" s="1">
        <v>23.719850427392199</v>
      </c>
      <c r="C581" s="1">
        <v>25.979269792832081</v>
      </c>
      <c r="D581" s="1">
        <v>28.99104026049277</v>
      </c>
      <c r="E581" s="1" t="s">
        <v>157</v>
      </c>
      <c r="F581" s="1">
        <v>5</v>
      </c>
    </row>
    <row r="582" spans="1:6" x14ac:dyDescent="0.35">
      <c r="A582" s="1">
        <v>2031</v>
      </c>
      <c r="B582" s="1">
        <v>24.665127035696031</v>
      </c>
      <c r="C582" s="1">
        <v>26.06245739490209</v>
      </c>
      <c r="D582" s="1">
        <v>28.763502801309219</v>
      </c>
      <c r="E582" s="1" t="s">
        <v>157</v>
      </c>
      <c r="F582" s="1">
        <v>5</v>
      </c>
    </row>
    <row r="583" spans="1:6" x14ac:dyDescent="0.35">
      <c r="A583" s="1">
        <v>2032</v>
      </c>
      <c r="B583" s="1">
        <v>36.931526344091573</v>
      </c>
      <c r="C583" s="1">
        <v>42.969727873690928</v>
      </c>
      <c r="D583" s="1">
        <v>46.893726113416683</v>
      </c>
      <c r="E583" s="1" t="s">
        <v>157</v>
      </c>
      <c r="F583" s="1">
        <v>5</v>
      </c>
    </row>
    <row r="584" spans="1:6" x14ac:dyDescent="0.35">
      <c r="A584" s="1">
        <v>2033</v>
      </c>
      <c r="B584" s="1">
        <v>33.559203792840307</v>
      </c>
      <c r="C584" s="1">
        <v>39.362754345608927</v>
      </c>
      <c r="D584" s="1">
        <v>47.151658090922723</v>
      </c>
      <c r="E584" s="1" t="s">
        <v>157</v>
      </c>
      <c r="F584" s="1">
        <v>5</v>
      </c>
    </row>
    <row r="585" spans="1:6" x14ac:dyDescent="0.35">
      <c r="A585" s="1">
        <v>2034</v>
      </c>
      <c r="B585" s="1">
        <v>33.616333361417837</v>
      </c>
      <c r="C585" s="1">
        <v>38.981736003459133</v>
      </c>
      <c r="D585" s="1">
        <v>49.02599130394816</v>
      </c>
      <c r="E585" s="1" t="s">
        <v>157</v>
      </c>
      <c r="F585" s="1">
        <v>5</v>
      </c>
    </row>
    <row r="586" spans="1:6" x14ac:dyDescent="0.35">
      <c r="A586" s="1">
        <v>2035</v>
      </c>
      <c r="B586" s="1">
        <v>52.036400510092648</v>
      </c>
      <c r="C586" s="1">
        <v>64.270017317720075</v>
      </c>
      <c r="D586" s="1">
        <v>77.98914667789542</v>
      </c>
      <c r="E586" s="1" t="s">
        <v>157</v>
      </c>
      <c r="F586" s="1">
        <v>5</v>
      </c>
    </row>
    <row r="587" spans="1:6" x14ac:dyDescent="0.35">
      <c r="A587" s="1">
        <v>2036</v>
      </c>
      <c r="B587" s="1">
        <v>49.124352103416712</v>
      </c>
      <c r="C587" s="1">
        <v>58.550601557595229</v>
      </c>
      <c r="D587" s="1">
        <v>71.218685882051233</v>
      </c>
      <c r="E587" s="1" t="s">
        <v>157</v>
      </c>
      <c r="F587" s="1">
        <v>5</v>
      </c>
    </row>
    <row r="588" spans="1:6" x14ac:dyDescent="0.35">
      <c r="A588" s="1">
        <v>2037</v>
      </c>
      <c r="B588" s="1">
        <v>48.494776058279577</v>
      </c>
      <c r="C588" s="1">
        <v>58.911522337002381</v>
      </c>
      <c r="D588" s="1">
        <v>72.196356212679504</v>
      </c>
      <c r="E588" s="1" t="s">
        <v>157</v>
      </c>
      <c r="F588" s="1">
        <v>5</v>
      </c>
    </row>
    <row r="589" spans="1:6" x14ac:dyDescent="0.35">
      <c r="A589" s="1">
        <v>2038</v>
      </c>
      <c r="B589" s="1">
        <v>47.473293772630363</v>
      </c>
      <c r="C589" s="1">
        <v>60.512902539183841</v>
      </c>
      <c r="D589" s="1">
        <v>71.477017808505295</v>
      </c>
      <c r="E589" s="1" t="s">
        <v>157</v>
      </c>
      <c r="F589" s="1">
        <v>5</v>
      </c>
    </row>
    <row r="590" spans="1:6" x14ac:dyDescent="0.35">
      <c r="A590" s="1">
        <v>2039</v>
      </c>
      <c r="B590" s="1">
        <v>76.117866464532881</v>
      </c>
      <c r="C590" s="1">
        <v>81.458333339999996</v>
      </c>
      <c r="D590" s="1">
        <v>81.458333339999996</v>
      </c>
      <c r="E590" s="1" t="s">
        <v>157</v>
      </c>
      <c r="F590" s="1">
        <v>5</v>
      </c>
    </row>
    <row r="591" spans="1:6" x14ac:dyDescent="0.35">
      <c r="A591" s="1">
        <v>2040</v>
      </c>
      <c r="B591" s="1">
        <v>72.430927226894255</v>
      </c>
      <c r="C591" s="1">
        <v>77.225811104837007</v>
      </c>
      <c r="D591" s="1">
        <v>79.888496764518706</v>
      </c>
      <c r="E591" s="1" t="s">
        <v>157</v>
      </c>
      <c r="F591" s="1">
        <v>5</v>
      </c>
    </row>
    <row r="592" spans="1:6" x14ac:dyDescent="0.35">
      <c r="A592" s="1">
        <v>2041</v>
      </c>
      <c r="B592" s="1">
        <v>72.838071280242602</v>
      </c>
      <c r="C592" s="1">
        <v>75.496335966963045</v>
      </c>
      <c r="D592" s="1">
        <v>80.507309701935114</v>
      </c>
      <c r="E592" s="1" t="s">
        <v>157</v>
      </c>
      <c r="F592" s="1">
        <v>5</v>
      </c>
    </row>
    <row r="593" spans="1:6" x14ac:dyDescent="0.35">
      <c r="A593" s="1">
        <v>2042</v>
      </c>
      <c r="B593" s="1">
        <v>81.458333339999996</v>
      </c>
      <c r="C593" s="1">
        <v>81.458333339999996</v>
      </c>
      <c r="D593" s="1">
        <v>81.458333339999996</v>
      </c>
      <c r="E593" s="1" t="s">
        <v>157</v>
      </c>
      <c r="F593" s="1">
        <v>5</v>
      </c>
    </row>
    <row r="594" spans="1:6" x14ac:dyDescent="0.35">
      <c r="A594" s="1">
        <v>2043</v>
      </c>
      <c r="B594" s="1">
        <v>74.053445562861739</v>
      </c>
      <c r="C594" s="1">
        <v>75.558143884845265</v>
      </c>
      <c r="D594" s="1">
        <v>81.458333339999996</v>
      </c>
      <c r="E594" s="1" t="s">
        <v>157</v>
      </c>
      <c r="F594" s="1">
        <v>5</v>
      </c>
    </row>
    <row r="595" spans="1:6" x14ac:dyDescent="0.35">
      <c r="A595" s="1">
        <v>2044</v>
      </c>
      <c r="B595" s="1">
        <v>81.458333339999996</v>
      </c>
      <c r="C595" s="1">
        <v>81.458333339999996</v>
      </c>
      <c r="D595" s="1">
        <v>81.458333339999996</v>
      </c>
      <c r="E595" s="1" t="s">
        <v>157</v>
      </c>
      <c r="F595" s="1">
        <v>5</v>
      </c>
    </row>
    <row r="596" spans="1:6" x14ac:dyDescent="0.35">
      <c r="A596" s="1">
        <v>2045</v>
      </c>
      <c r="B596" s="1">
        <v>72.121693062899553</v>
      </c>
      <c r="C596" s="1">
        <v>78.588503840806439</v>
      </c>
      <c r="D596" s="1">
        <v>77.485518785010456</v>
      </c>
      <c r="E596" s="1" t="s">
        <v>157</v>
      </c>
      <c r="F596" s="1">
        <v>5</v>
      </c>
    </row>
    <row r="597" spans="1:6" x14ac:dyDescent="0.35">
      <c r="A597" s="1">
        <v>2046</v>
      </c>
      <c r="B597" s="1">
        <v>70.448232295314895</v>
      </c>
      <c r="C597" s="1">
        <v>74.910026302016846</v>
      </c>
      <c r="D597" s="1">
        <v>78.561445959462446</v>
      </c>
      <c r="E597" s="1" t="s">
        <v>157</v>
      </c>
      <c r="F597" s="1">
        <v>5</v>
      </c>
    </row>
    <row r="598" spans="1:6" x14ac:dyDescent="0.35">
      <c r="A598" s="1">
        <v>2047</v>
      </c>
      <c r="B598" s="1">
        <v>70.49806883527836</v>
      </c>
      <c r="C598" s="1">
        <v>74.66269915295166</v>
      </c>
      <c r="D598" s="1">
        <v>81.458333339999996</v>
      </c>
      <c r="E598" s="1" t="s">
        <v>157</v>
      </c>
      <c r="F598" s="1">
        <v>5</v>
      </c>
    </row>
    <row r="599" spans="1:6" x14ac:dyDescent="0.35">
      <c r="A599" s="1">
        <v>2048</v>
      </c>
      <c r="B599" s="1">
        <v>67.795991433540948</v>
      </c>
      <c r="C599" s="1">
        <v>73.331119920046447</v>
      </c>
      <c r="D599" s="1">
        <v>81.458333339999996</v>
      </c>
      <c r="E599" s="1" t="s">
        <v>157</v>
      </c>
      <c r="F599" s="1">
        <v>5</v>
      </c>
    </row>
    <row r="600" spans="1:6" x14ac:dyDescent="0.35">
      <c r="A600" s="1">
        <v>2049</v>
      </c>
      <c r="B600" s="1">
        <v>68.945243840880963</v>
      </c>
      <c r="C600" s="1">
        <v>75.872046544799858</v>
      </c>
      <c r="D600" s="1">
        <v>78.169023204189827</v>
      </c>
      <c r="E600" s="1" t="s">
        <v>157</v>
      </c>
      <c r="F600" s="1">
        <v>5</v>
      </c>
    </row>
    <row r="601" spans="1:6" x14ac:dyDescent="0.35">
      <c r="A601" s="1">
        <v>2050</v>
      </c>
      <c r="B601" s="1">
        <v>68.941568965681213</v>
      </c>
      <c r="C601" s="1">
        <v>76.137311658164208</v>
      </c>
      <c r="D601" s="1">
        <v>78.82917273236194</v>
      </c>
      <c r="E601" s="1" t="s">
        <v>157</v>
      </c>
      <c r="F601" s="1">
        <v>5</v>
      </c>
    </row>
    <row r="602" spans="1:6" x14ac:dyDescent="0.35">
      <c r="A602" s="1">
        <v>2026</v>
      </c>
      <c r="B602" s="1">
        <v>26.225087421792612</v>
      </c>
      <c r="C602" s="1">
        <v>27.451526287032969</v>
      </c>
      <c r="D602" s="1">
        <v>27.835285592683061</v>
      </c>
      <c r="E602" s="1" t="s">
        <v>158</v>
      </c>
      <c r="F602" s="1">
        <v>5</v>
      </c>
    </row>
    <row r="603" spans="1:6" x14ac:dyDescent="0.35">
      <c r="A603" s="1">
        <v>2027</v>
      </c>
      <c r="B603" s="1">
        <v>37.965841398978213</v>
      </c>
      <c r="C603" s="1">
        <v>45.259915302614957</v>
      </c>
      <c r="D603" s="1">
        <v>45.892627432669393</v>
      </c>
      <c r="E603" s="1" t="s">
        <v>158</v>
      </c>
      <c r="F603" s="1">
        <v>5</v>
      </c>
    </row>
    <row r="604" spans="1:6" x14ac:dyDescent="0.35">
      <c r="A604" s="1">
        <v>2028</v>
      </c>
      <c r="B604" s="1">
        <v>34.545678518201584</v>
      </c>
      <c r="C604" s="1">
        <v>40.626666239499912</v>
      </c>
      <c r="D604" s="1">
        <v>42.932600148509422</v>
      </c>
      <c r="E604" s="1" t="s">
        <v>158</v>
      </c>
      <c r="F604" s="1">
        <v>5</v>
      </c>
    </row>
    <row r="605" spans="1:6" x14ac:dyDescent="0.35">
      <c r="A605" s="1">
        <v>2029</v>
      </c>
      <c r="B605" s="1">
        <v>33.397895408850673</v>
      </c>
      <c r="C605" s="1">
        <v>39.591384073047763</v>
      </c>
      <c r="D605" s="1">
        <v>45.485832783442611</v>
      </c>
      <c r="E605" s="1" t="s">
        <v>158</v>
      </c>
      <c r="F605" s="1">
        <v>5</v>
      </c>
    </row>
    <row r="606" spans="1:6" x14ac:dyDescent="0.35">
      <c r="A606" s="1">
        <v>2030</v>
      </c>
      <c r="B606" s="1">
        <v>35.617405169102298</v>
      </c>
      <c r="C606" s="1">
        <v>39.783645366370372</v>
      </c>
      <c r="D606" s="1">
        <v>45.544117074144687</v>
      </c>
      <c r="E606" s="1" t="s">
        <v>158</v>
      </c>
      <c r="F606" s="1">
        <v>5</v>
      </c>
    </row>
    <row r="607" spans="1:6" x14ac:dyDescent="0.35">
      <c r="A607" s="1">
        <v>2031</v>
      </c>
      <c r="B607" s="1">
        <v>34.678968747988087</v>
      </c>
      <c r="C607" s="1">
        <v>40.978276901084577</v>
      </c>
      <c r="D607" s="1">
        <v>45.121139979091282</v>
      </c>
      <c r="E607" s="1" t="s">
        <v>158</v>
      </c>
      <c r="F607" s="1">
        <v>5</v>
      </c>
    </row>
    <row r="608" spans="1:6" x14ac:dyDescent="0.35">
      <c r="A608" s="1">
        <v>2032</v>
      </c>
      <c r="B608" s="1">
        <v>34.13068481512542</v>
      </c>
      <c r="C608" s="1">
        <v>40.142255415721323</v>
      </c>
      <c r="D608" s="1">
        <v>45.78435914373366</v>
      </c>
      <c r="E608" s="1" t="s">
        <v>158</v>
      </c>
      <c r="F608" s="1">
        <v>5</v>
      </c>
    </row>
    <row r="609" spans="1:6" x14ac:dyDescent="0.35">
      <c r="A609" s="1">
        <v>2033</v>
      </c>
      <c r="B609" s="1">
        <v>50.193746982274888</v>
      </c>
      <c r="C609" s="1">
        <v>66.183390357777157</v>
      </c>
      <c r="D609" s="1">
        <v>75.485646785647589</v>
      </c>
      <c r="E609" s="1" t="s">
        <v>158</v>
      </c>
      <c r="F609" s="1">
        <v>5</v>
      </c>
    </row>
    <row r="610" spans="1:6" x14ac:dyDescent="0.35">
      <c r="A610" s="1">
        <v>2034</v>
      </c>
      <c r="B610" s="1">
        <v>47.946044820770602</v>
      </c>
      <c r="C610" s="1">
        <v>62.660833923071849</v>
      </c>
      <c r="D610" s="1">
        <v>72.793830554771091</v>
      </c>
      <c r="E610" s="1" t="s">
        <v>158</v>
      </c>
      <c r="F610" s="1">
        <v>5</v>
      </c>
    </row>
    <row r="611" spans="1:6" x14ac:dyDescent="0.35">
      <c r="A611" s="1">
        <v>2035</v>
      </c>
      <c r="B611" s="1">
        <v>47.976940625519873</v>
      </c>
      <c r="C611" s="1">
        <v>63.175507840195912</v>
      </c>
      <c r="D611" s="1">
        <v>71.95956499482746</v>
      </c>
      <c r="E611" s="1" t="s">
        <v>158</v>
      </c>
      <c r="F611" s="1">
        <v>5</v>
      </c>
    </row>
    <row r="612" spans="1:6" x14ac:dyDescent="0.35">
      <c r="A612" s="1">
        <v>2036</v>
      </c>
      <c r="B612" s="1">
        <v>45.982868779685042</v>
      </c>
      <c r="C612" s="1">
        <v>61.73502502639451</v>
      </c>
      <c r="D612" s="1">
        <v>71.776111618705471</v>
      </c>
      <c r="E612" s="1" t="s">
        <v>158</v>
      </c>
      <c r="F612" s="1">
        <v>5</v>
      </c>
    </row>
    <row r="613" spans="1:6" x14ac:dyDescent="0.35">
      <c r="A613" s="1">
        <v>2037</v>
      </c>
      <c r="B613" s="1">
        <v>45.381760492470768</v>
      </c>
      <c r="C613" s="1">
        <v>62.155424741365543</v>
      </c>
      <c r="D613" s="1">
        <v>72.726434385456457</v>
      </c>
      <c r="E613" s="1" t="s">
        <v>158</v>
      </c>
      <c r="F613" s="1">
        <v>5</v>
      </c>
    </row>
    <row r="614" spans="1:6" x14ac:dyDescent="0.35">
      <c r="A614" s="1">
        <v>2038</v>
      </c>
      <c r="B614" s="1">
        <v>74.821873825755276</v>
      </c>
      <c r="C614" s="1">
        <v>81.458333339999996</v>
      </c>
      <c r="D614" s="1">
        <v>81.458333339999996</v>
      </c>
      <c r="E614" s="1" t="s">
        <v>158</v>
      </c>
      <c r="F614" s="1">
        <v>5</v>
      </c>
    </row>
    <row r="615" spans="1:6" x14ac:dyDescent="0.35">
      <c r="A615" s="1">
        <v>2039</v>
      </c>
      <c r="B615" s="1">
        <v>67.858642289248152</v>
      </c>
      <c r="C615" s="1">
        <v>73.347376911950818</v>
      </c>
      <c r="D615" s="1">
        <v>78.620638204034236</v>
      </c>
      <c r="E615" s="1" t="s">
        <v>158</v>
      </c>
      <c r="F615" s="1">
        <v>5</v>
      </c>
    </row>
    <row r="616" spans="1:6" x14ac:dyDescent="0.35">
      <c r="A616" s="1">
        <v>2040</v>
      </c>
      <c r="B616" s="1">
        <v>81.458333339999996</v>
      </c>
      <c r="C616" s="1">
        <v>81.458333339999996</v>
      </c>
      <c r="D616" s="1">
        <v>81.458333339999996</v>
      </c>
      <c r="E616" s="1" t="s">
        <v>158</v>
      </c>
      <c r="F616" s="1">
        <v>5</v>
      </c>
    </row>
    <row r="617" spans="1:6" x14ac:dyDescent="0.35">
      <c r="A617" s="1">
        <v>2041</v>
      </c>
      <c r="B617" s="1">
        <v>70.022048970049354</v>
      </c>
      <c r="C617" s="1">
        <v>76.502056722445076</v>
      </c>
      <c r="D617" s="1">
        <v>81.458333339999996</v>
      </c>
      <c r="E617" s="1" t="s">
        <v>158</v>
      </c>
      <c r="F617" s="1">
        <v>5</v>
      </c>
    </row>
    <row r="618" spans="1:6" x14ac:dyDescent="0.35">
      <c r="A618" s="1">
        <v>2042</v>
      </c>
      <c r="B618" s="1">
        <v>68.042280244117435</v>
      </c>
      <c r="C618" s="1">
        <v>77.321987612318594</v>
      </c>
      <c r="D618" s="1">
        <v>81.458333339999996</v>
      </c>
      <c r="E618" s="1" t="s">
        <v>158</v>
      </c>
      <c r="F618" s="1">
        <v>5</v>
      </c>
    </row>
    <row r="619" spans="1:6" x14ac:dyDescent="0.35">
      <c r="A619" s="1">
        <v>2043</v>
      </c>
      <c r="B619" s="1">
        <v>69.869995322731668</v>
      </c>
      <c r="C619" s="1">
        <v>77.156747289217009</v>
      </c>
      <c r="D619" s="1">
        <v>81.458333339999996</v>
      </c>
      <c r="E619" s="1" t="s">
        <v>158</v>
      </c>
      <c r="F619" s="1">
        <v>5</v>
      </c>
    </row>
    <row r="620" spans="1:6" x14ac:dyDescent="0.35">
      <c r="A620" s="1">
        <v>2044</v>
      </c>
      <c r="B620" s="1">
        <v>65.769869105357841</v>
      </c>
      <c r="C620" s="1">
        <v>75.026925916006448</v>
      </c>
      <c r="D620" s="1">
        <v>80.410408569946284</v>
      </c>
      <c r="E620" s="1" t="s">
        <v>158</v>
      </c>
      <c r="F620" s="1">
        <v>5</v>
      </c>
    </row>
    <row r="621" spans="1:6" x14ac:dyDescent="0.35">
      <c r="A621" s="1">
        <v>2045</v>
      </c>
      <c r="B621" s="1">
        <v>66.884863630032271</v>
      </c>
      <c r="C621" s="1">
        <v>72.180168083061133</v>
      </c>
      <c r="D621" s="1">
        <v>81.458333339999996</v>
      </c>
      <c r="E621" s="1" t="s">
        <v>158</v>
      </c>
      <c r="F621" s="1">
        <v>5</v>
      </c>
    </row>
    <row r="622" spans="1:6" x14ac:dyDescent="0.35">
      <c r="A622" s="1">
        <v>2046</v>
      </c>
      <c r="B622" s="1">
        <v>68.503256404872943</v>
      </c>
      <c r="C622" s="1">
        <v>73.947935743537982</v>
      </c>
      <c r="D622" s="1">
        <v>81.458333339999996</v>
      </c>
      <c r="E622" s="1" t="s">
        <v>158</v>
      </c>
      <c r="F622" s="1">
        <v>5</v>
      </c>
    </row>
    <row r="623" spans="1:6" x14ac:dyDescent="0.35">
      <c r="A623" s="1">
        <v>2047</v>
      </c>
      <c r="B623" s="1">
        <v>68.903177525848378</v>
      </c>
      <c r="C623" s="1">
        <v>74.736857512981771</v>
      </c>
      <c r="D623" s="1">
        <v>80.924422325429987</v>
      </c>
      <c r="E623" s="1" t="s">
        <v>158</v>
      </c>
      <c r="F623" s="1">
        <v>5</v>
      </c>
    </row>
    <row r="624" spans="1:6" x14ac:dyDescent="0.35">
      <c r="A624" s="1">
        <v>2048</v>
      </c>
      <c r="B624" s="1">
        <v>68.661789647054704</v>
      </c>
      <c r="C624" s="1">
        <v>75.942712775115154</v>
      </c>
      <c r="D624" s="1">
        <v>81.458333339999996</v>
      </c>
      <c r="E624" s="1" t="s">
        <v>158</v>
      </c>
      <c r="F624" s="1">
        <v>5</v>
      </c>
    </row>
    <row r="625" spans="1:6" x14ac:dyDescent="0.35">
      <c r="A625" s="1">
        <v>2049</v>
      </c>
      <c r="B625" s="1">
        <v>81.458333339999996</v>
      </c>
      <c r="C625" s="1">
        <v>81.458333339999996</v>
      </c>
      <c r="D625" s="1">
        <v>81.458333339999996</v>
      </c>
      <c r="E625" s="1" t="s">
        <v>158</v>
      </c>
      <c r="F625" s="1">
        <v>5</v>
      </c>
    </row>
    <row r="626" spans="1:6" x14ac:dyDescent="0.35">
      <c r="A626" s="1">
        <v>2050</v>
      </c>
      <c r="B626" s="1">
        <v>71.201311653194793</v>
      </c>
      <c r="C626" s="1">
        <v>75.766306672044777</v>
      </c>
      <c r="D626" s="1">
        <v>80.560744311329231</v>
      </c>
      <c r="E626" s="1" t="s">
        <v>158</v>
      </c>
      <c r="F626" s="1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72659-97DD-4714-AD1F-95E6C1E4BB2E}">
  <sheetPr>
    <tabColor rgb="FFE56B6F"/>
  </sheetPr>
  <dimension ref="A1:F626"/>
  <sheetViews>
    <sheetView workbookViewId="0">
      <selection activeCell="P20" sqref="P20"/>
    </sheetView>
  </sheetViews>
  <sheetFormatPr defaultRowHeight="14.5" x14ac:dyDescent="0.35"/>
  <cols>
    <col min="1" max="4" width="8.7265625" style="1"/>
    <col min="5" max="5" width="28.36328125" style="1" customWidth="1"/>
    <col min="6" max="6" width="15" style="1" customWidth="1"/>
  </cols>
  <sheetData>
    <row r="1" spans="1:6" x14ac:dyDescent="0.35">
      <c r="A1" s="15" t="s">
        <v>4</v>
      </c>
      <c r="B1" s="15" t="s">
        <v>129</v>
      </c>
      <c r="C1" s="15" t="s">
        <v>130</v>
      </c>
      <c r="D1" s="15" t="s">
        <v>131</v>
      </c>
      <c r="E1" s="15" t="s">
        <v>132</v>
      </c>
      <c r="F1" s="15" t="s">
        <v>133</v>
      </c>
    </row>
    <row r="2" spans="1:6" x14ac:dyDescent="0.35">
      <c r="A2" s="1">
        <v>2026</v>
      </c>
      <c r="B2" s="1">
        <v>36.887359279611033</v>
      </c>
      <c r="C2" s="1">
        <v>51.396595721590828</v>
      </c>
      <c r="D2" s="1">
        <v>51.396595721590828</v>
      </c>
      <c r="E2" s="1" t="s">
        <v>134</v>
      </c>
      <c r="F2" s="1">
        <v>1</v>
      </c>
    </row>
    <row r="3" spans="1:6" x14ac:dyDescent="0.35">
      <c r="A3" s="1">
        <v>2027</v>
      </c>
      <c r="B3" s="1">
        <v>33.960349443248212</v>
      </c>
      <c r="C3" s="1">
        <v>41.647432584220383</v>
      </c>
      <c r="D3" s="1">
        <v>49.996942861983477</v>
      </c>
      <c r="E3" s="1" t="s">
        <v>134</v>
      </c>
      <c r="F3" s="1">
        <v>1</v>
      </c>
    </row>
    <row r="4" spans="1:6" x14ac:dyDescent="0.35">
      <c r="A4" s="1">
        <v>2028</v>
      </c>
      <c r="B4" s="1">
        <v>33.591917950412878</v>
      </c>
      <c r="C4" s="1">
        <v>42.504700524850598</v>
      </c>
      <c r="D4" s="1">
        <v>51.443248358555223</v>
      </c>
      <c r="E4" s="1" t="s">
        <v>134</v>
      </c>
      <c r="F4" s="1">
        <v>1</v>
      </c>
    </row>
    <row r="5" spans="1:6" x14ac:dyDescent="0.35">
      <c r="A5" s="1">
        <v>2029</v>
      </c>
      <c r="B5" s="1">
        <v>33.127641892520032</v>
      </c>
      <c r="C5" s="1">
        <v>42.555589106266339</v>
      </c>
      <c r="D5" s="1">
        <v>51.374374292901066</v>
      </c>
      <c r="E5" s="1" t="s">
        <v>134</v>
      </c>
      <c r="F5" s="1">
        <v>1</v>
      </c>
    </row>
    <row r="6" spans="1:6" x14ac:dyDescent="0.35">
      <c r="A6" s="1">
        <v>2030</v>
      </c>
      <c r="B6" s="1">
        <v>34.087455947763928</v>
      </c>
      <c r="C6" s="1">
        <v>43.416143000431838</v>
      </c>
      <c r="D6" s="1">
        <v>51.391029211619077</v>
      </c>
      <c r="E6" s="1" t="s">
        <v>134</v>
      </c>
      <c r="F6" s="1">
        <v>1</v>
      </c>
    </row>
    <row r="7" spans="1:6" x14ac:dyDescent="0.35">
      <c r="A7" s="1">
        <v>2031</v>
      </c>
      <c r="B7" s="1">
        <v>33.523351367142737</v>
      </c>
      <c r="C7" s="1">
        <v>43.197970859762258</v>
      </c>
      <c r="D7" s="1">
        <v>53.321684370194447</v>
      </c>
      <c r="E7" s="1" t="s">
        <v>134</v>
      </c>
      <c r="F7" s="1">
        <v>1</v>
      </c>
    </row>
    <row r="8" spans="1:6" x14ac:dyDescent="0.35">
      <c r="A8" s="1">
        <v>2032</v>
      </c>
      <c r="B8" s="1">
        <v>34.130301667391912</v>
      </c>
      <c r="C8" s="1">
        <v>42.468465173563132</v>
      </c>
      <c r="D8" s="1">
        <v>53.825040576687577</v>
      </c>
      <c r="E8" s="1" t="s">
        <v>134</v>
      </c>
      <c r="F8" s="1">
        <v>1</v>
      </c>
    </row>
    <row r="9" spans="1:6" x14ac:dyDescent="0.35">
      <c r="A9" s="1">
        <v>2033</v>
      </c>
      <c r="B9" s="1">
        <v>33.148857684674127</v>
      </c>
      <c r="C9" s="1">
        <v>42.994238705186334</v>
      </c>
      <c r="D9" s="1">
        <v>52.481910962437468</v>
      </c>
      <c r="E9" s="1" t="s">
        <v>134</v>
      </c>
      <c r="F9" s="1">
        <v>1</v>
      </c>
    </row>
    <row r="10" spans="1:6" x14ac:dyDescent="0.35">
      <c r="A10" s="1">
        <v>2034</v>
      </c>
      <c r="B10" s="1">
        <v>32.374793962725143</v>
      </c>
      <c r="C10" s="1">
        <v>43.066031888829258</v>
      </c>
      <c r="D10" s="1">
        <v>50.463715234193451</v>
      </c>
      <c r="E10" s="1" t="s">
        <v>134</v>
      </c>
      <c r="F10" s="1">
        <v>1</v>
      </c>
    </row>
    <row r="11" spans="1:6" x14ac:dyDescent="0.35">
      <c r="A11" s="1">
        <v>2035</v>
      </c>
      <c r="B11" s="1">
        <v>32.095449623660933</v>
      </c>
      <c r="C11" s="1">
        <v>43.127842943698511</v>
      </c>
      <c r="D11" s="1">
        <v>50.145654261081503</v>
      </c>
      <c r="E11" s="1" t="s">
        <v>134</v>
      </c>
      <c r="F11" s="1">
        <v>1</v>
      </c>
    </row>
    <row r="12" spans="1:6" x14ac:dyDescent="0.35">
      <c r="A12" s="1">
        <v>2036</v>
      </c>
      <c r="B12" s="1">
        <v>32.723623239324091</v>
      </c>
      <c r="C12" s="1">
        <v>44.233061716834477</v>
      </c>
      <c r="D12" s="1">
        <v>50.846300169369492</v>
      </c>
      <c r="E12" s="1" t="s">
        <v>134</v>
      </c>
      <c r="F12" s="1">
        <v>1</v>
      </c>
    </row>
    <row r="13" spans="1:6" x14ac:dyDescent="0.35">
      <c r="A13" s="1">
        <v>2037</v>
      </c>
      <c r="B13" s="1">
        <v>32.944154788578047</v>
      </c>
      <c r="C13" s="1">
        <v>44.788974356144628</v>
      </c>
      <c r="D13" s="1">
        <v>51.966849205678898</v>
      </c>
      <c r="E13" s="1" t="s">
        <v>134</v>
      </c>
      <c r="F13" s="1">
        <v>1</v>
      </c>
    </row>
    <row r="14" spans="1:6" x14ac:dyDescent="0.35">
      <c r="A14" s="1">
        <v>2038</v>
      </c>
      <c r="B14" s="1">
        <v>32.842648510062403</v>
      </c>
      <c r="C14" s="1">
        <v>43.685128724477252</v>
      </c>
      <c r="D14" s="1">
        <v>53.870179518990398</v>
      </c>
      <c r="E14" s="1" t="s">
        <v>134</v>
      </c>
      <c r="F14" s="1">
        <v>1</v>
      </c>
    </row>
    <row r="15" spans="1:6" x14ac:dyDescent="0.35">
      <c r="A15" s="1">
        <v>2039</v>
      </c>
      <c r="B15" s="1">
        <v>33.601795981007783</v>
      </c>
      <c r="C15" s="1">
        <v>44.561126722704252</v>
      </c>
      <c r="D15" s="1">
        <v>52.844390060059958</v>
      </c>
      <c r="E15" s="1" t="s">
        <v>134</v>
      </c>
      <c r="F15" s="1">
        <v>1</v>
      </c>
    </row>
    <row r="16" spans="1:6" x14ac:dyDescent="0.35">
      <c r="A16" s="1">
        <v>2040</v>
      </c>
      <c r="B16" s="1">
        <v>32.220073543051043</v>
      </c>
      <c r="C16" s="1">
        <v>42.133985641091712</v>
      </c>
      <c r="D16" s="1">
        <v>51.268750095997262</v>
      </c>
      <c r="E16" s="1" t="s">
        <v>134</v>
      </c>
      <c r="F16" s="1">
        <v>1</v>
      </c>
    </row>
    <row r="17" spans="1:6" x14ac:dyDescent="0.35">
      <c r="A17" s="1">
        <v>2041</v>
      </c>
      <c r="B17" s="1">
        <v>32.798296647289398</v>
      </c>
      <c r="C17" s="1">
        <v>41.793454754385991</v>
      </c>
      <c r="D17" s="1">
        <v>52.779694140663217</v>
      </c>
      <c r="E17" s="1" t="s">
        <v>134</v>
      </c>
      <c r="F17" s="1">
        <v>1</v>
      </c>
    </row>
    <row r="18" spans="1:6" x14ac:dyDescent="0.35">
      <c r="A18" s="1">
        <v>2042</v>
      </c>
      <c r="B18" s="1">
        <v>32.017180867988067</v>
      </c>
      <c r="C18" s="1">
        <v>41.220208923446052</v>
      </c>
      <c r="D18" s="1">
        <v>53.080874582206761</v>
      </c>
      <c r="E18" s="1" t="s">
        <v>134</v>
      </c>
      <c r="F18" s="1">
        <v>1</v>
      </c>
    </row>
    <row r="19" spans="1:6" x14ac:dyDescent="0.35">
      <c r="A19" s="1">
        <v>2043</v>
      </c>
      <c r="B19" s="1">
        <v>32.620092984311761</v>
      </c>
      <c r="C19" s="1">
        <v>41.733945148074987</v>
      </c>
      <c r="D19" s="1">
        <v>51.513796662402157</v>
      </c>
      <c r="E19" s="1" t="s">
        <v>134</v>
      </c>
      <c r="F19" s="1">
        <v>1</v>
      </c>
    </row>
    <row r="20" spans="1:6" x14ac:dyDescent="0.35">
      <c r="A20" s="1">
        <v>2044</v>
      </c>
      <c r="B20" s="1">
        <v>31.113033682174201</v>
      </c>
      <c r="C20" s="1">
        <v>41.691484195135317</v>
      </c>
      <c r="D20" s="1">
        <v>52.901256292085577</v>
      </c>
      <c r="E20" s="1" t="s">
        <v>134</v>
      </c>
      <c r="F20" s="1">
        <v>1</v>
      </c>
    </row>
    <row r="21" spans="1:6" x14ac:dyDescent="0.35">
      <c r="A21" s="1">
        <v>2045</v>
      </c>
      <c r="B21" s="1">
        <v>30.478170781095351</v>
      </c>
      <c r="C21" s="1">
        <v>41.812984488852862</v>
      </c>
      <c r="D21" s="1">
        <v>55.751743455563187</v>
      </c>
      <c r="E21" s="1" t="s">
        <v>134</v>
      </c>
      <c r="F21" s="1">
        <v>1</v>
      </c>
    </row>
    <row r="22" spans="1:6" x14ac:dyDescent="0.35">
      <c r="A22" s="1">
        <v>2046</v>
      </c>
      <c r="B22" s="1">
        <v>29.768288570964689</v>
      </c>
      <c r="C22" s="1">
        <v>41.853948348756269</v>
      </c>
      <c r="D22" s="1">
        <v>54.882718681727347</v>
      </c>
      <c r="E22" s="1" t="s">
        <v>134</v>
      </c>
      <c r="F22" s="1">
        <v>1</v>
      </c>
    </row>
    <row r="23" spans="1:6" x14ac:dyDescent="0.35">
      <c r="A23" s="1">
        <v>2047</v>
      </c>
      <c r="B23" s="1">
        <v>31.657930610403529</v>
      </c>
      <c r="C23" s="1">
        <v>41.124320496734782</v>
      </c>
      <c r="D23" s="1">
        <v>54.167735926820001</v>
      </c>
      <c r="E23" s="1" t="s">
        <v>134</v>
      </c>
      <c r="F23" s="1">
        <v>1</v>
      </c>
    </row>
    <row r="24" spans="1:6" x14ac:dyDescent="0.35">
      <c r="A24" s="1">
        <v>2048</v>
      </c>
      <c r="B24" s="1">
        <v>32.495606931009647</v>
      </c>
      <c r="C24" s="1">
        <v>41.126498336601458</v>
      </c>
      <c r="D24" s="1">
        <v>53.432698010635967</v>
      </c>
      <c r="E24" s="1" t="s">
        <v>134</v>
      </c>
      <c r="F24" s="1">
        <v>1</v>
      </c>
    </row>
    <row r="25" spans="1:6" x14ac:dyDescent="0.35">
      <c r="A25" s="1">
        <v>2049</v>
      </c>
      <c r="B25" s="1">
        <v>32.916894762668527</v>
      </c>
      <c r="C25" s="1">
        <v>40.978041862759142</v>
      </c>
      <c r="D25" s="1">
        <v>53.191569789855237</v>
      </c>
      <c r="E25" s="1" t="s">
        <v>134</v>
      </c>
      <c r="F25" s="1">
        <v>1</v>
      </c>
    </row>
    <row r="26" spans="1:6" x14ac:dyDescent="0.35">
      <c r="A26" s="1">
        <v>2050</v>
      </c>
      <c r="B26" s="1">
        <v>32.46296434903811</v>
      </c>
      <c r="C26" s="1">
        <v>40.876361373795227</v>
      </c>
      <c r="D26" s="1">
        <v>54.38884159283532</v>
      </c>
      <c r="E26" s="1" t="s">
        <v>134</v>
      </c>
      <c r="F26" s="1">
        <v>1</v>
      </c>
    </row>
    <row r="27" spans="1:6" x14ac:dyDescent="0.35">
      <c r="A27" s="1">
        <v>2026</v>
      </c>
      <c r="B27" s="1">
        <v>31.189017709545091</v>
      </c>
      <c r="C27" s="1">
        <v>30.33177387232848</v>
      </c>
      <c r="D27" s="1">
        <v>31.087220577167621</v>
      </c>
      <c r="E27" s="1" t="s">
        <v>135</v>
      </c>
      <c r="F27" s="1">
        <v>1</v>
      </c>
    </row>
    <row r="28" spans="1:6" x14ac:dyDescent="0.35">
      <c r="A28" s="1">
        <v>2027</v>
      </c>
      <c r="B28" s="1">
        <v>31.096009990788112</v>
      </c>
      <c r="C28" s="1">
        <v>29.43203667339672</v>
      </c>
      <c r="D28" s="1">
        <v>32.304715119607643</v>
      </c>
      <c r="E28" s="1" t="s">
        <v>135</v>
      </c>
      <c r="F28" s="1">
        <v>1</v>
      </c>
    </row>
    <row r="29" spans="1:6" x14ac:dyDescent="0.35">
      <c r="A29" s="1">
        <v>2028</v>
      </c>
      <c r="B29" s="1">
        <v>29.873386294045609</v>
      </c>
      <c r="C29" s="1">
        <v>29.723496223989368</v>
      </c>
      <c r="D29" s="1">
        <v>32.667588380742657</v>
      </c>
      <c r="E29" s="1" t="s">
        <v>135</v>
      </c>
      <c r="F29" s="1">
        <v>1</v>
      </c>
    </row>
    <row r="30" spans="1:6" x14ac:dyDescent="0.35">
      <c r="A30" s="1">
        <v>2029</v>
      </c>
      <c r="B30" s="1">
        <v>29.366901339090461</v>
      </c>
      <c r="C30" s="1">
        <v>30.161082112088678</v>
      </c>
      <c r="D30" s="1">
        <v>33.312677954553287</v>
      </c>
      <c r="E30" s="1" t="s">
        <v>135</v>
      </c>
      <c r="F30" s="1">
        <v>1</v>
      </c>
    </row>
    <row r="31" spans="1:6" x14ac:dyDescent="0.35">
      <c r="A31" s="1">
        <v>2030</v>
      </c>
      <c r="B31" s="1">
        <v>27.702757009160329</v>
      </c>
      <c r="C31" s="1">
        <v>31.214573566572302</v>
      </c>
      <c r="D31" s="1">
        <v>32.681154018444012</v>
      </c>
      <c r="E31" s="1" t="s">
        <v>135</v>
      </c>
      <c r="F31" s="1">
        <v>1</v>
      </c>
    </row>
    <row r="32" spans="1:6" x14ac:dyDescent="0.35">
      <c r="A32" s="1">
        <v>2031</v>
      </c>
      <c r="B32" s="1">
        <v>40.054997692991783</v>
      </c>
      <c r="C32" s="1">
        <v>51.464131395041711</v>
      </c>
      <c r="D32" s="1">
        <v>53.88211378123561</v>
      </c>
      <c r="E32" s="1" t="s">
        <v>135</v>
      </c>
      <c r="F32" s="1">
        <v>1</v>
      </c>
    </row>
    <row r="33" spans="1:6" x14ac:dyDescent="0.35">
      <c r="A33" s="1">
        <v>2032</v>
      </c>
      <c r="B33" s="1">
        <v>31.22831660299375</v>
      </c>
      <c r="C33" s="1">
        <v>42.676450008154063</v>
      </c>
      <c r="D33" s="1">
        <v>50.149446976835392</v>
      </c>
      <c r="E33" s="1" t="s">
        <v>135</v>
      </c>
      <c r="F33" s="1">
        <v>1</v>
      </c>
    </row>
    <row r="34" spans="1:6" x14ac:dyDescent="0.35">
      <c r="A34" s="1">
        <v>2033</v>
      </c>
      <c r="B34" s="1">
        <v>30.880555770304859</v>
      </c>
      <c r="C34" s="1">
        <v>42.805421876736283</v>
      </c>
      <c r="D34" s="1">
        <v>52.028846089424739</v>
      </c>
      <c r="E34" s="1" t="s">
        <v>135</v>
      </c>
      <c r="F34" s="1">
        <v>1</v>
      </c>
    </row>
    <row r="35" spans="1:6" x14ac:dyDescent="0.35">
      <c r="A35" s="1">
        <v>2034</v>
      </c>
      <c r="B35" s="1">
        <v>30.89318278764943</v>
      </c>
      <c r="C35" s="1">
        <v>42.279185204464397</v>
      </c>
      <c r="D35" s="1">
        <v>53.17093235821693</v>
      </c>
      <c r="E35" s="1" t="s">
        <v>135</v>
      </c>
      <c r="F35" s="1">
        <v>1</v>
      </c>
    </row>
    <row r="36" spans="1:6" x14ac:dyDescent="0.35">
      <c r="A36" s="1">
        <v>2035</v>
      </c>
      <c r="B36" s="1">
        <v>31.733884863266589</v>
      </c>
      <c r="C36" s="1">
        <v>42.853564556507763</v>
      </c>
      <c r="D36" s="1">
        <v>51.87007397408383</v>
      </c>
      <c r="E36" s="1" t="s">
        <v>135</v>
      </c>
      <c r="F36" s="1">
        <v>1</v>
      </c>
    </row>
    <row r="37" spans="1:6" x14ac:dyDescent="0.35">
      <c r="A37" s="1">
        <v>2036</v>
      </c>
      <c r="B37" s="1">
        <v>32.337848153440319</v>
      </c>
      <c r="C37" s="1">
        <v>43.581216462051309</v>
      </c>
      <c r="D37" s="1">
        <v>51.646975412122181</v>
      </c>
      <c r="E37" s="1" t="s">
        <v>135</v>
      </c>
      <c r="F37" s="1">
        <v>1</v>
      </c>
    </row>
    <row r="38" spans="1:6" x14ac:dyDescent="0.35">
      <c r="A38" s="1">
        <v>2037</v>
      </c>
      <c r="B38" s="1">
        <v>32.386927879746253</v>
      </c>
      <c r="C38" s="1">
        <v>42.580388194851139</v>
      </c>
      <c r="D38" s="1">
        <v>53.830772203562063</v>
      </c>
      <c r="E38" s="1" t="s">
        <v>135</v>
      </c>
      <c r="F38" s="1">
        <v>1</v>
      </c>
    </row>
    <row r="39" spans="1:6" x14ac:dyDescent="0.35">
      <c r="A39" s="1">
        <v>2038</v>
      </c>
      <c r="B39" s="1">
        <v>33.613579020192837</v>
      </c>
      <c r="C39" s="1">
        <v>43.021437742439467</v>
      </c>
      <c r="D39" s="1">
        <v>55.908618955857257</v>
      </c>
      <c r="E39" s="1" t="s">
        <v>135</v>
      </c>
      <c r="F39" s="1">
        <v>1</v>
      </c>
    </row>
    <row r="40" spans="1:6" x14ac:dyDescent="0.35">
      <c r="A40" s="1">
        <v>2039</v>
      </c>
      <c r="B40" s="1">
        <v>32.636185117417973</v>
      </c>
      <c r="C40" s="1">
        <v>43.464508755357834</v>
      </c>
      <c r="D40" s="1">
        <v>54.949523342821053</v>
      </c>
      <c r="E40" s="1" t="s">
        <v>135</v>
      </c>
      <c r="F40" s="1">
        <v>1</v>
      </c>
    </row>
    <row r="41" spans="1:6" x14ac:dyDescent="0.35">
      <c r="A41" s="1">
        <v>2040</v>
      </c>
      <c r="B41" s="1">
        <v>32.455423846527218</v>
      </c>
      <c r="C41" s="1">
        <v>43.846046406234841</v>
      </c>
      <c r="D41" s="1">
        <v>55.200663284737892</v>
      </c>
      <c r="E41" s="1" t="s">
        <v>135</v>
      </c>
      <c r="F41" s="1">
        <v>1</v>
      </c>
    </row>
    <row r="42" spans="1:6" x14ac:dyDescent="0.35">
      <c r="A42" s="1">
        <v>2041</v>
      </c>
      <c r="B42" s="1">
        <v>32.385541189502881</v>
      </c>
      <c r="C42" s="1">
        <v>41.578106400711839</v>
      </c>
      <c r="D42" s="1">
        <v>55.598246370816213</v>
      </c>
      <c r="E42" s="1" t="s">
        <v>135</v>
      </c>
      <c r="F42" s="1">
        <v>1</v>
      </c>
    </row>
    <row r="43" spans="1:6" x14ac:dyDescent="0.35">
      <c r="A43" s="1">
        <v>2042</v>
      </c>
      <c r="B43" s="1">
        <v>33.883239527094482</v>
      </c>
      <c r="C43" s="1">
        <v>41.349568824264267</v>
      </c>
      <c r="D43" s="1">
        <v>56.230386608267693</v>
      </c>
      <c r="E43" s="1" t="s">
        <v>135</v>
      </c>
      <c r="F43" s="1">
        <v>1</v>
      </c>
    </row>
    <row r="44" spans="1:6" x14ac:dyDescent="0.35">
      <c r="A44" s="1">
        <v>2043</v>
      </c>
      <c r="B44" s="1">
        <v>33.038551779983912</v>
      </c>
      <c r="C44" s="1">
        <v>40.939601891588438</v>
      </c>
      <c r="D44" s="1">
        <v>55.327342220835718</v>
      </c>
      <c r="E44" s="1" t="s">
        <v>135</v>
      </c>
      <c r="F44" s="1">
        <v>1</v>
      </c>
    </row>
    <row r="45" spans="1:6" x14ac:dyDescent="0.35">
      <c r="A45" s="1">
        <v>2044</v>
      </c>
      <c r="B45" s="1">
        <v>33.280737476747838</v>
      </c>
      <c r="C45" s="1">
        <v>41.860918951701372</v>
      </c>
      <c r="D45" s="1">
        <v>54.382756678703721</v>
      </c>
      <c r="E45" s="1" t="s">
        <v>135</v>
      </c>
      <c r="F45" s="1">
        <v>1</v>
      </c>
    </row>
    <row r="46" spans="1:6" x14ac:dyDescent="0.35">
      <c r="A46" s="1">
        <v>2045</v>
      </c>
      <c r="B46" s="1">
        <v>32.305730731415267</v>
      </c>
      <c r="C46" s="1">
        <v>42.872900811291323</v>
      </c>
      <c r="D46" s="1">
        <v>55.309583145257882</v>
      </c>
      <c r="E46" s="1" t="s">
        <v>135</v>
      </c>
      <c r="F46" s="1">
        <v>1</v>
      </c>
    </row>
    <row r="47" spans="1:6" x14ac:dyDescent="0.35">
      <c r="A47" s="1">
        <v>2046</v>
      </c>
      <c r="B47" s="1">
        <v>31.941916069563369</v>
      </c>
      <c r="C47" s="1">
        <v>42.747039364933279</v>
      </c>
      <c r="D47" s="1">
        <v>55.880216886167247</v>
      </c>
      <c r="E47" s="1" t="s">
        <v>135</v>
      </c>
      <c r="F47" s="1">
        <v>1</v>
      </c>
    </row>
    <row r="48" spans="1:6" x14ac:dyDescent="0.35">
      <c r="A48" s="1">
        <v>2047</v>
      </c>
      <c r="B48" s="1">
        <v>32.1333539043112</v>
      </c>
      <c r="C48" s="1">
        <v>42.137771806270202</v>
      </c>
      <c r="D48" s="1">
        <v>55.387810751706873</v>
      </c>
      <c r="E48" s="1" t="s">
        <v>135</v>
      </c>
      <c r="F48" s="1">
        <v>1</v>
      </c>
    </row>
    <row r="49" spans="1:6" x14ac:dyDescent="0.35">
      <c r="A49" s="1">
        <v>2048</v>
      </c>
      <c r="B49" s="1">
        <v>31.747838484722649</v>
      </c>
      <c r="C49" s="1">
        <v>42.515704290194122</v>
      </c>
      <c r="D49" s="1">
        <v>58.329866523783089</v>
      </c>
      <c r="E49" s="1" t="s">
        <v>135</v>
      </c>
      <c r="F49" s="1">
        <v>1</v>
      </c>
    </row>
    <row r="50" spans="1:6" x14ac:dyDescent="0.35">
      <c r="A50" s="1">
        <v>2049</v>
      </c>
      <c r="B50" s="1">
        <v>30.814363313874409</v>
      </c>
      <c r="C50" s="1">
        <v>43.206996161018928</v>
      </c>
      <c r="D50" s="1">
        <v>56.200007373029742</v>
      </c>
      <c r="E50" s="1" t="s">
        <v>135</v>
      </c>
      <c r="F50" s="1">
        <v>1</v>
      </c>
    </row>
    <row r="51" spans="1:6" x14ac:dyDescent="0.35">
      <c r="A51" s="1">
        <v>2050</v>
      </c>
      <c r="B51" s="1">
        <v>30.044208637772861</v>
      </c>
      <c r="C51" s="1">
        <v>42.18048466991587</v>
      </c>
      <c r="D51" s="1">
        <v>53.822315681046433</v>
      </c>
      <c r="E51" s="1" t="s">
        <v>135</v>
      </c>
      <c r="F51" s="1">
        <v>1</v>
      </c>
    </row>
    <row r="52" spans="1:6" x14ac:dyDescent="0.35">
      <c r="A52" s="1">
        <v>2026</v>
      </c>
      <c r="B52" s="1">
        <v>29.152972135832911</v>
      </c>
      <c r="C52" s="1">
        <v>30.983570878225869</v>
      </c>
      <c r="D52" s="1">
        <v>31.516976359829268</v>
      </c>
      <c r="E52" s="1" t="s">
        <v>136</v>
      </c>
      <c r="F52" s="1">
        <v>1</v>
      </c>
    </row>
    <row r="53" spans="1:6" x14ac:dyDescent="0.35">
      <c r="A53" s="1">
        <v>2027</v>
      </c>
      <c r="B53" s="1">
        <v>28.329918353908951</v>
      </c>
      <c r="C53" s="1">
        <v>32.052171955900668</v>
      </c>
      <c r="D53" s="1">
        <v>31.730553422093369</v>
      </c>
      <c r="E53" s="1" t="s">
        <v>136</v>
      </c>
      <c r="F53" s="1">
        <v>1</v>
      </c>
    </row>
    <row r="54" spans="1:6" x14ac:dyDescent="0.35">
      <c r="A54" s="1">
        <v>2028</v>
      </c>
      <c r="B54" s="1">
        <v>28.803124062264551</v>
      </c>
      <c r="C54" s="1">
        <v>31.11915010081615</v>
      </c>
      <c r="D54" s="1">
        <v>32.180885421505771</v>
      </c>
      <c r="E54" s="1" t="s">
        <v>136</v>
      </c>
      <c r="F54" s="1">
        <v>1</v>
      </c>
    </row>
    <row r="55" spans="1:6" x14ac:dyDescent="0.35">
      <c r="A55" s="1">
        <v>2029</v>
      </c>
      <c r="B55" s="1">
        <v>27.688869049289359</v>
      </c>
      <c r="C55" s="1">
        <v>30.45318167109977</v>
      </c>
      <c r="D55" s="1">
        <v>32.893120548296572</v>
      </c>
      <c r="E55" s="1" t="s">
        <v>136</v>
      </c>
      <c r="F55" s="1">
        <v>1</v>
      </c>
    </row>
    <row r="56" spans="1:6" x14ac:dyDescent="0.35">
      <c r="A56" s="1">
        <v>2030</v>
      </c>
      <c r="B56" s="1">
        <v>27.232329553978019</v>
      </c>
      <c r="C56" s="1">
        <v>30.711156566202551</v>
      </c>
      <c r="D56" s="1">
        <v>32.777821488329749</v>
      </c>
      <c r="E56" s="1" t="s">
        <v>136</v>
      </c>
      <c r="F56" s="1">
        <v>1</v>
      </c>
    </row>
    <row r="57" spans="1:6" x14ac:dyDescent="0.35">
      <c r="A57" s="1">
        <v>2031</v>
      </c>
      <c r="B57" s="1">
        <v>28.317584462974789</v>
      </c>
      <c r="C57" s="1">
        <v>30.941657068711429</v>
      </c>
      <c r="D57" s="1">
        <v>34.308560686927827</v>
      </c>
      <c r="E57" s="1" t="s">
        <v>136</v>
      </c>
      <c r="F57" s="1">
        <v>1</v>
      </c>
    </row>
    <row r="58" spans="1:6" x14ac:dyDescent="0.35">
      <c r="A58" s="1">
        <v>2032</v>
      </c>
      <c r="B58" s="1">
        <v>27.553543078886829</v>
      </c>
      <c r="C58" s="1">
        <v>29.654733335607421</v>
      </c>
      <c r="D58" s="1">
        <v>35.795525616871309</v>
      </c>
      <c r="E58" s="1" t="s">
        <v>136</v>
      </c>
      <c r="F58" s="1">
        <v>1</v>
      </c>
    </row>
    <row r="59" spans="1:6" x14ac:dyDescent="0.35">
      <c r="A59" s="1">
        <v>2033</v>
      </c>
      <c r="B59" s="1">
        <v>27.029486306442099</v>
      </c>
      <c r="C59" s="1">
        <v>30.04181437108608</v>
      </c>
      <c r="D59" s="1">
        <v>34.171024462713568</v>
      </c>
      <c r="E59" s="1" t="s">
        <v>136</v>
      </c>
      <c r="F59" s="1">
        <v>1</v>
      </c>
    </row>
    <row r="60" spans="1:6" x14ac:dyDescent="0.35">
      <c r="A60" s="1">
        <v>2034</v>
      </c>
      <c r="B60" s="1">
        <v>27.07549999917126</v>
      </c>
      <c r="C60" s="1">
        <v>31.37304536898251</v>
      </c>
      <c r="D60" s="1">
        <v>33.389460523919418</v>
      </c>
      <c r="E60" s="1" t="s">
        <v>136</v>
      </c>
      <c r="F60" s="1">
        <v>1</v>
      </c>
    </row>
    <row r="61" spans="1:6" x14ac:dyDescent="0.35">
      <c r="A61" s="1">
        <v>2035</v>
      </c>
      <c r="B61" s="1">
        <v>26.513168653874711</v>
      </c>
      <c r="C61" s="1">
        <v>31.08433354733387</v>
      </c>
      <c r="D61" s="1">
        <v>33.950730936931073</v>
      </c>
      <c r="E61" s="1" t="s">
        <v>136</v>
      </c>
      <c r="F61" s="1">
        <v>1</v>
      </c>
    </row>
    <row r="62" spans="1:6" x14ac:dyDescent="0.35">
      <c r="A62" s="1">
        <v>2036</v>
      </c>
      <c r="B62" s="1">
        <v>26.63967889430954</v>
      </c>
      <c r="C62" s="1">
        <v>32.260591449733532</v>
      </c>
      <c r="D62" s="1">
        <v>33.739700509048198</v>
      </c>
      <c r="E62" s="1" t="s">
        <v>136</v>
      </c>
      <c r="F62" s="1">
        <v>1</v>
      </c>
    </row>
    <row r="63" spans="1:6" x14ac:dyDescent="0.35">
      <c r="A63" s="1">
        <v>2037</v>
      </c>
      <c r="B63" s="1">
        <v>26.298265665149898</v>
      </c>
      <c r="C63" s="1">
        <v>30.111586085732899</v>
      </c>
      <c r="D63" s="1">
        <v>33.576691462335297</v>
      </c>
      <c r="E63" s="1" t="s">
        <v>136</v>
      </c>
      <c r="F63" s="1">
        <v>1</v>
      </c>
    </row>
    <row r="64" spans="1:6" x14ac:dyDescent="0.35">
      <c r="A64" s="1">
        <v>2038</v>
      </c>
      <c r="B64" s="1">
        <v>37.167343881497082</v>
      </c>
      <c r="C64" s="1">
        <v>49.64561247406585</v>
      </c>
      <c r="D64" s="1">
        <v>55.358605413687599</v>
      </c>
      <c r="E64" s="1" t="s">
        <v>136</v>
      </c>
      <c r="F64" s="1">
        <v>1</v>
      </c>
    </row>
    <row r="65" spans="1:6" x14ac:dyDescent="0.35">
      <c r="A65" s="1">
        <v>2039</v>
      </c>
      <c r="B65" s="1">
        <v>31.667740022028461</v>
      </c>
      <c r="C65" s="1">
        <v>42.02436126493533</v>
      </c>
      <c r="D65" s="1">
        <v>51.367191201976951</v>
      </c>
      <c r="E65" s="1" t="s">
        <v>136</v>
      </c>
      <c r="F65" s="1">
        <v>1</v>
      </c>
    </row>
    <row r="66" spans="1:6" x14ac:dyDescent="0.35">
      <c r="A66" s="1">
        <v>2040</v>
      </c>
      <c r="B66" s="1">
        <v>31.97784639057971</v>
      </c>
      <c r="C66" s="1">
        <v>41.664710027650592</v>
      </c>
      <c r="D66" s="1">
        <v>53.80975193429245</v>
      </c>
      <c r="E66" s="1" t="s">
        <v>136</v>
      </c>
      <c r="F66" s="1">
        <v>1</v>
      </c>
    </row>
    <row r="67" spans="1:6" x14ac:dyDescent="0.35">
      <c r="A67" s="1">
        <v>2041</v>
      </c>
      <c r="B67" s="1">
        <v>32.157598196821631</v>
      </c>
      <c r="C67" s="1">
        <v>42.35140571825918</v>
      </c>
      <c r="D67" s="1">
        <v>53.589090116924858</v>
      </c>
      <c r="E67" s="1" t="s">
        <v>136</v>
      </c>
      <c r="F67" s="1">
        <v>1</v>
      </c>
    </row>
    <row r="68" spans="1:6" x14ac:dyDescent="0.35">
      <c r="A68" s="1">
        <v>2042</v>
      </c>
      <c r="B68" s="1">
        <v>34.623585331082573</v>
      </c>
      <c r="C68" s="1">
        <v>43.459437777707571</v>
      </c>
      <c r="D68" s="1">
        <v>53.043572715798661</v>
      </c>
      <c r="E68" s="1" t="s">
        <v>136</v>
      </c>
      <c r="F68" s="1">
        <v>1</v>
      </c>
    </row>
    <row r="69" spans="1:6" x14ac:dyDescent="0.35">
      <c r="A69" s="1">
        <v>2043</v>
      </c>
      <c r="B69" s="1">
        <v>33.974653551686629</v>
      </c>
      <c r="C69" s="1">
        <v>42.385527260556287</v>
      </c>
      <c r="D69" s="1">
        <v>51.595746300764013</v>
      </c>
      <c r="E69" s="1" t="s">
        <v>136</v>
      </c>
      <c r="F69" s="1">
        <v>1</v>
      </c>
    </row>
    <row r="70" spans="1:6" x14ac:dyDescent="0.35">
      <c r="A70" s="1">
        <v>2044</v>
      </c>
      <c r="B70" s="1">
        <v>34.256372163840403</v>
      </c>
      <c r="C70" s="1">
        <v>41.975195982328252</v>
      </c>
      <c r="D70" s="1">
        <v>52.97717471685344</v>
      </c>
      <c r="E70" s="1" t="s">
        <v>136</v>
      </c>
      <c r="F70" s="1">
        <v>1</v>
      </c>
    </row>
    <row r="71" spans="1:6" x14ac:dyDescent="0.35">
      <c r="A71" s="1">
        <v>2045</v>
      </c>
      <c r="B71" s="1">
        <v>33.061066788643593</v>
      </c>
      <c r="C71" s="1">
        <v>41.939432786331018</v>
      </c>
      <c r="D71" s="1">
        <v>53.287416318152417</v>
      </c>
      <c r="E71" s="1" t="s">
        <v>136</v>
      </c>
      <c r="F71" s="1">
        <v>1</v>
      </c>
    </row>
    <row r="72" spans="1:6" x14ac:dyDescent="0.35">
      <c r="A72" s="1">
        <v>2046</v>
      </c>
      <c r="B72" s="1">
        <v>32.293941172817583</v>
      </c>
      <c r="C72" s="1">
        <v>42.174382003481497</v>
      </c>
      <c r="D72" s="1">
        <v>53.154191547092957</v>
      </c>
      <c r="E72" s="1" t="s">
        <v>136</v>
      </c>
      <c r="F72" s="1">
        <v>1</v>
      </c>
    </row>
    <row r="73" spans="1:6" x14ac:dyDescent="0.35">
      <c r="A73" s="1">
        <v>2047</v>
      </c>
      <c r="B73" s="1">
        <v>32.316786576277678</v>
      </c>
      <c r="C73" s="1">
        <v>44.78463271134715</v>
      </c>
      <c r="D73" s="1">
        <v>53.694455388549841</v>
      </c>
      <c r="E73" s="1" t="s">
        <v>136</v>
      </c>
      <c r="F73" s="1">
        <v>1</v>
      </c>
    </row>
    <row r="74" spans="1:6" x14ac:dyDescent="0.35">
      <c r="A74" s="1">
        <v>2048</v>
      </c>
      <c r="B74" s="1">
        <v>31.078136211136989</v>
      </c>
      <c r="C74" s="1">
        <v>43.581655519438549</v>
      </c>
      <c r="D74" s="1">
        <v>54.739677144570003</v>
      </c>
      <c r="E74" s="1" t="s">
        <v>136</v>
      </c>
      <c r="F74" s="1">
        <v>1</v>
      </c>
    </row>
    <row r="75" spans="1:6" x14ac:dyDescent="0.35">
      <c r="A75" s="1">
        <v>2049</v>
      </c>
      <c r="B75" s="1">
        <v>31.60496120625934</v>
      </c>
      <c r="C75" s="1">
        <v>43.309108365006402</v>
      </c>
      <c r="D75" s="1">
        <v>55.03769721553779</v>
      </c>
      <c r="E75" s="1" t="s">
        <v>136</v>
      </c>
      <c r="F75" s="1">
        <v>1</v>
      </c>
    </row>
    <row r="76" spans="1:6" x14ac:dyDescent="0.35">
      <c r="A76" s="1">
        <v>2050</v>
      </c>
      <c r="B76" s="1">
        <v>31.60327661887295</v>
      </c>
      <c r="C76" s="1">
        <v>43.523994950683409</v>
      </c>
      <c r="D76" s="1">
        <v>54.656781208753792</v>
      </c>
      <c r="E76" s="1" t="s">
        <v>136</v>
      </c>
      <c r="F76" s="1">
        <v>1</v>
      </c>
    </row>
    <row r="77" spans="1:6" x14ac:dyDescent="0.35">
      <c r="A77" s="1">
        <v>2026</v>
      </c>
      <c r="B77" s="1">
        <v>29.629190424300511</v>
      </c>
      <c r="C77" s="1">
        <v>30.33177387232848</v>
      </c>
      <c r="D77" s="1">
        <v>31.86243671574892</v>
      </c>
      <c r="E77" s="1" t="s">
        <v>137</v>
      </c>
      <c r="F77" s="1">
        <v>1</v>
      </c>
    </row>
    <row r="78" spans="1:6" x14ac:dyDescent="0.35">
      <c r="A78" s="1">
        <v>2027</v>
      </c>
      <c r="B78" s="1">
        <v>29.627304882955439</v>
      </c>
      <c r="C78" s="1">
        <v>29.43203667339672</v>
      </c>
      <c r="D78" s="1">
        <v>33.186217278333473</v>
      </c>
      <c r="E78" s="1" t="s">
        <v>137</v>
      </c>
      <c r="F78" s="1">
        <v>1</v>
      </c>
    </row>
    <row r="79" spans="1:6" x14ac:dyDescent="0.35">
      <c r="A79" s="1">
        <v>2028</v>
      </c>
      <c r="B79" s="1">
        <v>29.25117205637649</v>
      </c>
      <c r="C79" s="1">
        <v>29.723496223989368</v>
      </c>
      <c r="D79" s="1">
        <v>32.010810713470569</v>
      </c>
      <c r="E79" s="1" t="s">
        <v>137</v>
      </c>
      <c r="F79" s="1">
        <v>1</v>
      </c>
    </row>
    <row r="80" spans="1:6" x14ac:dyDescent="0.35">
      <c r="A80" s="1">
        <v>2029</v>
      </c>
      <c r="B80" s="1">
        <v>29.02774013771522</v>
      </c>
      <c r="C80" s="1">
        <v>30.161082112088678</v>
      </c>
      <c r="D80" s="1">
        <v>32.553826905045149</v>
      </c>
      <c r="E80" s="1" t="s">
        <v>137</v>
      </c>
      <c r="F80" s="1">
        <v>1</v>
      </c>
    </row>
    <row r="81" spans="1:6" x14ac:dyDescent="0.35">
      <c r="A81" s="1">
        <v>2030</v>
      </c>
      <c r="B81" s="1">
        <v>28.76267570554538</v>
      </c>
      <c r="C81" s="1">
        <v>31.214573566572302</v>
      </c>
      <c r="D81" s="1">
        <v>35.10101372090736</v>
      </c>
      <c r="E81" s="1" t="s">
        <v>137</v>
      </c>
      <c r="F81" s="1">
        <v>1</v>
      </c>
    </row>
    <row r="82" spans="1:6" x14ac:dyDescent="0.35">
      <c r="A82" s="1">
        <v>2031</v>
      </c>
      <c r="B82" s="1">
        <v>28.797686518744829</v>
      </c>
      <c r="C82" s="1">
        <v>31.882020793550129</v>
      </c>
      <c r="D82" s="1">
        <v>35.172310481155947</v>
      </c>
      <c r="E82" s="1" t="s">
        <v>137</v>
      </c>
      <c r="F82" s="1">
        <v>1</v>
      </c>
    </row>
    <row r="83" spans="1:6" x14ac:dyDescent="0.35">
      <c r="A83" s="1">
        <v>2032</v>
      </c>
      <c r="B83" s="1">
        <v>28.73869354433355</v>
      </c>
      <c r="C83" s="1">
        <v>31.182262221755611</v>
      </c>
      <c r="D83" s="1">
        <v>34.791967059388952</v>
      </c>
      <c r="E83" s="1" t="s">
        <v>137</v>
      </c>
      <c r="F83" s="1">
        <v>1</v>
      </c>
    </row>
    <row r="84" spans="1:6" x14ac:dyDescent="0.35">
      <c r="A84" s="1">
        <v>2033</v>
      </c>
      <c r="B84" s="1">
        <v>27.720652107783231</v>
      </c>
      <c r="C84" s="1">
        <v>31.276497675374451</v>
      </c>
      <c r="D84" s="1">
        <v>34.743671230295753</v>
      </c>
      <c r="E84" s="1" t="s">
        <v>137</v>
      </c>
      <c r="F84" s="1">
        <v>1</v>
      </c>
    </row>
    <row r="85" spans="1:6" x14ac:dyDescent="0.35">
      <c r="A85" s="1">
        <v>2034</v>
      </c>
      <c r="B85" s="1">
        <v>27.56926865346567</v>
      </c>
      <c r="C85" s="1">
        <v>30.891994046268689</v>
      </c>
      <c r="D85" s="1">
        <v>34.377548172466568</v>
      </c>
      <c r="E85" s="1" t="s">
        <v>137</v>
      </c>
      <c r="F85" s="1">
        <v>1</v>
      </c>
    </row>
    <row r="86" spans="1:6" x14ac:dyDescent="0.35">
      <c r="A86" s="1">
        <v>2035</v>
      </c>
      <c r="B86" s="1">
        <v>26.851304801007419</v>
      </c>
      <c r="C86" s="1">
        <v>31.311673929828739</v>
      </c>
      <c r="D86" s="1">
        <v>34.943689120726653</v>
      </c>
      <c r="E86" s="1" t="s">
        <v>137</v>
      </c>
      <c r="F86" s="1">
        <v>1</v>
      </c>
    </row>
    <row r="87" spans="1:6" x14ac:dyDescent="0.35">
      <c r="A87" s="1">
        <v>2036</v>
      </c>
      <c r="B87" s="1">
        <v>26.65607241274185</v>
      </c>
      <c r="C87" s="1">
        <v>31.843344969019761</v>
      </c>
      <c r="D87" s="1">
        <v>36.191518679487253</v>
      </c>
      <c r="E87" s="1" t="s">
        <v>137</v>
      </c>
      <c r="F87" s="1">
        <v>1</v>
      </c>
    </row>
    <row r="88" spans="1:6" x14ac:dyDescent="0.35">
      <c r="A88" s="1">
        <v>2037</v>
      </c>
      <c r="B88" s="1">
        <v>27.200569340979591</v>
      </c>
      <c r="C88" s="1">
        <v>31.112073050647499</v>
      </c>
      <c r="D88" s="1">
        <v>35.538477652061793</v>
      </c>
      <c r="E88" s="1" t="s">
        <v>137</v>
      </c>
      <c r="F88" s="1">
        <v>1</v>
      </c>
    </row>
    <row r="89" spans="1:6" x14ac:dyDescent="0.35">
      <c r="A89" s="1">
        <v>2038</v>
      </c>
      <c r="B89" s="1">
        <v>27.483512910488411</v>
      </c>
      <c r="C89" s="1">
        <v>31.434333281830231</v>
      </c>
      <c r="D89" s="1">
        <v>36.477711228852307</v>
      </c>
      <c r="E89" s="1" t="s">
        <v>137</v>
      </c>
      <c r="F89" s="1">
        <v>1</v>
      </c>
    </row>
    <row r="90" spans="1:6" x14ac:dyDescent="0.35">
      <c r="A90" s="1">
        <v>2039</v>
      </c>
      <c r="B90" s="1">
        <v>26.97276758604492</v>
      </c>
      <c r="C90" s="1">
        <v>31.758070530477649</v>
      </c>
      <c r="D90" s="1">
        <v>35.400626261475097</v>
      </c>
      <c r="E90" s="1" t="s">
        <v>137</v>
      </c>
      <c r="F90" s="1">
        <v>1</v>
      </c>
    </row>
    <row r="91" spans="1:6" x14ac:dyDescent="0.35">
      <c r="A91" s="1">
        <v>2040</v>
      </c>
      <c r="B91" s="1">
        <v>26.806226700873079</v>
      </c>
      <c r="C91" s="1">
        <v>32.036847398629668</v>
      </c>
      <c r="D91" s="1">
        <v>35.201198574030393</v>
      </c>
      <c r="E91" s="1" t="s">
        <v>137</v>
      </c>
      <c r="F91" s="1">
        <v>1</v>
      </c>
    </row>
    <row r="92" spans="1:6" x14ac:dyDescent="0.35">
      <c r="A92" s="1">
        <v>2041</v>
      </c>
      <c r="B92" s="1">
        <v>26.114384102077551</v>
      </c>
      <c r="C92" s="1">
        <v>30.37973908849807</v>
      </c>
      <c r="D92" s="1">
        <v>34.799231510920443</v>
      </c>
      <c r="E92" s="1" t="s">
        <v>137</v>
      </c>
      <c r="F92" s="1">
        <v>1</v>
      </c>
    </row>
    <row r="93" spans="1:6" x14ac:dyDescent="0.35">
      <c r="A93" s="1">
        <v>2042</v>
      </c>
      <c r="B93" s="1">
        <v>35.806556067934999</v>
      </c>
      <c r="C93" s="1">
        <v>47.415133083883759</v>
      </c>
      <c r="D93" s="1">
        <v>57.37423319607268</v>
      </c>
      <c r="E93" s="1" t="s">
        <v>137</v>
      </c>
      <c r="F93" s="1">
        <v>1</v>
      </c>
    </row>
    <row r="94" spans="1:6" x14ac:dyDescent="0.35">
      <c r="A94" s="1">
        <v>2043</v>
      </c>
      <c r="B94" s="1">
        <v>33.363372602254323</v>
      </c>
      <c r="C94" s="1">
        <v>40.995398567454401</v>
      </c>
      <c r="D94" s="1">
        <v>52.690453731456458</v>
      </c>
      <c r="E94" s="1" t="s">
        <v>137</v>
      </c>
      <c r="F94" s="1">
        <v>1</v>
      </c>
    </row>
    <row r="95" spans="1:6" x14ac:dyDescent="0.35">
      <c r="A95" s="1">
        <v>2044</v>
      </c>
      <c r="B95" s="1">
        <v>32.704118332637947</v>
      </c>
      <c r="C95" s="1">
        <v>41.917971292669037</v>
      </c>
      <c r="D95" s="1">
        <v>52.855405547297629</v>
      </c>
      <c r="E95" s="1" t="s">
        <v>137</v>
      </c>
      <c r="F95" s="1">
        <v>1</v>
      </c>
    </row>
    <row r="96" spans="1:6" x14ac:dyDescent="0.35">
      <c r="A96" s="1">
        <v>2045</v>
      </c>
      <c r="B96" s="1">
        <v>32.835535560751637</v>
      </c>
      <c r="C96" s="1">
        <v>42.931332384620617</v>
      </c>
      <c r="D96" s="1">
        <v>52.516035105923649</v>
      </c>
      <c r="E96" s="1" t="s">
        <v>137</v>
      </c>
      <c r="F96" s="1">
        <v>1</v>
      </c>
    </row>
    <row r="97" spans="1:6" x14ac:dyDescent="0.35">
      <c r="A97" s="1">
        <v>2046</v>
      </c>
      <c r="B97" s="1">
        <v>33.619214728537727</v>
      </c>
      <c r="C97" s="1">
        <v>42.80529940141313</v>
      </c>
      <c r="D97" s="1">
        <v>52.80800360749835</v>
      </c>
      <c r="E97" s="1" t="s">
        <v>137</v>
      </c>
      <c r="F97" s="1">
        <v>1</v>
      </c>
    </row>
    <row r="98" spans="1:6" x14ac:dyDescent="0.35">
      <c r="A98" s="1">
        <v>2047</v>
      </c>
      <c r="B98" s="1">
        <v>33.613852341321007</v>
      </c>
      <c r="C98" s="1">
        <v>42.195201470618542</v>
      </c>
      <c r="D98" s="1">
        <v>53.970899530685863</v>
      </c>
      <c r="E98" s="1" t="s">
        <v>137</v>
      </c>
      <c r="F98" s="1">
        <v>1</v>
      </c>
    </row>
    <row r="99" spans="1:6" x14ac:dyDescent="0.35">
      <c r="A99" s="1">
        <v>2048</v>
      </c>
      <c r="B99" s="1">
        <v>33.06718073118229</v>
      </c>
      <c r="C99" s="1">
        <v>42.573649039578221</v>
      </c>
      <c r="D99" s="1">
        <v>55.396318063234418</v>
      </c>
      <c r="E99" s="1" t="s">
        <v>137</v>
      </c>
      <c r="F99" s="1">
        <v>1</v>
      </c>
    </row>
    <row r="100" spans="1:6" x14ac:dyDescent="0.35">
      <c r="A100" s="1">
        <v>2049</v>
      </c>
      <c r="B100" s="1">
        <v>33.621934306915222</v>
      </c>
      <c r="C100" s="1">
        <v>43.26588307365482</v>
      </c>
      <c r="D100" s="1">
        <v>53.246072330564971</v>
      </c>
      <c r="E100" s="1" t="s">
        <v>137</v>
      </c>
      <c r="F100" s="1">
        <v>1</v>
      </c>
    </row>
    <row r="101" spans="1:6" x14ac:dyDescent="0.35">
      <c r="A101" s="1">
        <v>2050</v>
      </c>
      <c r="B101" s="1">
        <v>34.098867584723521</v>
      </c>
      <c r="C101" s="1">
        <v>42.237972547722507</v>
      </c>
      <c r="D101" s="1">
        <v>53.62929141675319</v>
      </c>
      <c r="E101" s="1" t="s">
        <v>137</v>
      </c>
      <c r="F101" s="1">
        <v>1</v>
      </c>
    </row>
    <row r="102" spans="1:6" x14ac:dyDescent="0.35">
      <c r="A102" s="1">
        <v>2026</v>
      </c>
      <c r="B102" s="1">
        <v>29.923172429963241</v>
      </c>
      <c r="C102" s="1">
        <v>30.33177387232848</v>
      </c>
      <c r="D102" s="1">
        <v>31.86243671574892</v>
      </c>
      <c r="E102" s="1" t="s">
        <v>138</v>
      </c>
      <c r="F102" s="1">
        <v>1</v>
      </c>
    </row>
    <row r="103" spans="1:6" x14ac:dyDescent="0.35">
      <c r="A103" s="1">
        <v>2027</v>
      </c>
      <c r="B103" s="1">
        <v>29.868162137796151</v>
      </c>
      <c r="C103" s="1">
        <v>29.43203667339672</v>
      </c>
      <c r="D103" s="1">
        <v>33.186217278333473</v>
      </c>
      <c r="E103" s="1" t="s">
        <v>138</v>
      </c>
      <c r="F103" s="1">
        <v>1</v>
      </c>
    </row>
    <row r="104" spans="1:6" x14ac:dyDescent="0.35">
      <c r="A104" s="1">
        <v>2028</v>
      </c>
      <c r="B104" s="1">
        <v>28.198676380718911</v>
      </c>
      <c r="C104" s="1">
        <v>29.723496223989368</v>
      </c>
      <c r="D104" s="1">
        <v>32.010810713470569</v>
      </c>
      <c r="E104" s="1" t="s">
        <v>138</v>
      </c>
      <c r="F104" s="1">
        <v>1</v>
      </c>
    </row>
    <row r="105" spans="1:6" x14ac:dyDescent="0.35">
      <c r="A105" s="1">
        <v>2029</v>
      </c>
      <c r="B105" s="1">
        <v>29.222934076075241</v>
      </c>
      <c r="C105" s="1">
        <v>30.161082112088678</v>
      </c>
      <c r="D105" s="1">
        <v>32.553826905045149</v>
      </c>
      <c r="E105" s="1" t="s">
        <v>138</v>
      </c>
      <c r="F105" s="1">
        <v>1</v>
      </c>
    </row>
    <row r="106" spans="1:6" x14ac:dyDescent="0.35">
      <c r="A106" s="1">
        <v>2030</v>
      </c>
      <c r="B106" s="1">
        <v>28.705325391491261</v>
      </c>
      <c r="C106" s="1">
        <v>31.214573566572302</v>
      </c>
      <c r="D106" s="1">
        <v>35.10101372090736</v>
      </c>
      <c r="E106" s="1" t="s">
        <v>138</v>
      </c>
      <c r="F106" s="1">
        <v>1</v>
      </c>
    </row>
    <row r="107" spans="1:6" x14ac:dyDescent="0.35">
      <c r="A107" s="1">
        <v>2031</v>
      </c>
      <c r="B107" s="1">
        <v>27.375990338557781</v>
      </c>
      <c r="C107" s="1">
        <v>31.882020793550129</v>
      </c>
      <c r="D107" s="1">
        <v>35.172310481155947</v>
      </c>
      <c r="E107" s="1" t="s">
        <v>138</v>
      </c>
      <c r="F107" s="1">
        <v>1</v>
      </c>
    </row>
    <row r="108" spans="1:6" x14ac:dyDescent="0.35">
      <c r="A108" s="1">
        <v>2032</v>
      </c>
      <c r="B108" s="1">
        <v>28.988744008268831</v>
      </c>
      <c r="C108" s="1">
        <v>31.182262221755611</v>
      </c>
      <c r="D108" s="1">
        <v>34.791967059388952</v>
      </c>
      <c r="E108" s="1" t="s">
        <v>138</v>
      </c>
      <c r="F108" s="1">
        <v>1</v>
      </c>
    </row>
    <row r="109" spans="1:6" x14ac:dyDescent="0.35">
      <c r="A109" s="1">
        <v>2033</v>
      </c>
      <c r="B109" s="1">
        <v>29.67770114351363</v>
      </c>
      <c r="C109" s="1">
        <v>31.276497675374451</v>
      </c>
      <c r="D109" s="1">
        <v>34.743671230295753</v>
      </c>
      <c r="E109" s="1" t="s">
        <v>138</v>
      </c>
      <c r="F109" s="1">
        <v>1</v>
      </c>
    </row>
    <row r="110" spans="1:6" x14ac:dyDescent="0.35">
      <c r="A110" s="1">
        <v>2034</v>
      </c>
      <c r="B110" s="1">
        <v>29.3894746095221</v>
      </c>
      <c r="C110" s="1">
        <v>30.891994046268689</v>
      </c>
      <c r="D110" s="1">
        <v>34.377548172466568</v>
      </c>
      <c r="E110" s="1" t="s">
        <v>138</v>
      </c>
      <c r="F110" s="1">
        <v>1</v>
      </c>
    </row>
    <row r="111" spans="1:6" x14ac:dyDescent="0.35">
      <c r="A111" s="1">
        <v>2035</v>
      </c>
      <c r="B111" s="1">
        <v>29.185797423348049</v>
      </c>
      <c r="C111" s="1">
        <v>31.311673929828739</v>
      </c>
      <c r="D111" s="1">
        <v>34.943689120726653</v>
      </c>
      <c r="E111" s="1" t="s">
        <v>138</v>
      </c>
      <c r="F111" s="1">
        <v>1</v>
      </c>
    </row>
    <row r="112" spans="1:6" x14ac:dyDescent="0.35">
      <c r="A112" s="1">
        <v>2036</v>
      </c>
      <c r="B112" s="1">
        <v>28.075992202208241</v>
      </c>
      <c r="C112" s="1">
        <v>31.843344969019761</v>
      </c>
      <c r="D112" s="1">
        <v>36.191518679487253</v>
      </c>
      <c r="E112" s="1" t="s">
        <v>138</v>
      </c>
      <c r="F112" s="1">
        <v>1</v>
      </c>
    </row>
    <row r="113" spans="1:6" x14ac:dyDescent="0.35">
      <c r="A113" s="1">
        <v>2037</v>
      </c>
      <c r="B113" s="1">
        <v>27.053669076132628</v>
      </c>
      <c r="C113" s="1">
        <v>31.112073050647499</v>
      </c>
      <c r="D113" s="1">
        <v>35.538477652061793</v>
      </c>
      <c r="E113" s="1" t="s">
        <v>138</v>
      </c>
      <c r="F113" s="1">
        <v>1</v>
      </c>
    </row>
    <row r="114" spans="1:6" x14ac:dyDescent="0.35">
      <c r="A114" s="1">
        <v>2038</v>
      </c>
      <c r="B114" s="1">
        <v>27.756702585328711</v>
      </c>
      <c r="C114" s="1">
        <v>31.434333281830231</v>
      </c>
      <c r="D114" s="1">
        <v>36.477711228852307</v>
      </c>
      <c r="E114" s="1" t="s">
        <v>138</v>
      </c>
      <c r="F114" s="1">
        <v>1</v>
      </c>
    </row>
    <row r="115" spans="1:6" x14ac:dyDescent="0.35">
      <c r="A115" s="1">
        <v>2039</v>
      </c>
      <c r="B115" s="1">
        <v>28.304982160207551</v>
      </c>
      <c r="C115" s="1">
        <v>31.758070530477649</v>
      </c>
      <c r="D115" s="1">
        <v>35.400626261475097</v>
      </c>
      <c r="E115" s="1" t="s">
        <v>138</v>
      </c>
      <c r="F115" s="1">
        <v>1</v>
      </c>
    </row>
    <row r="116" spans="1:6" x14ac:dyDescent="0.35">
      <c r="A116" s="1">
        <v>2040</v>
      </c>
      <c r="B116" s="1">
        <v>26.819915337554391</v>
      </c>
      <c r="C116" s="1">
        <v>32.036847398629668</v>
      </c>
      <c r="D116" s="1">
        <v>35.201198574030393</v>
      </c>
      <c r="E116" s="1" t="s">
        <v>138</v>
      </c>
      <c r="F116" s="1">
        <v>1</v>
      </c>
    </row>
    <row r="117" spans="1:6" x14ac:dyDescent="0.35">
      <c r="A117" s="1">
        <v>2041</v>
      </c>
      <c r="B117" s="1">
        <v>27.495055026596841</v>
      </c>
      <c r="C117" s="1">
        <v>30.37973908849807</v>
      </c>
      <c r="D117" s="1">
        <v>34.799231510920443</v>
      </c>
      <c r="E117" s="1" t="s">
        <v>138</v>
      </c>
      <c r="F117" s="1">
        <v>1</v>
      </c>
    </row>
    <row r="118" spans="1:6" x14ac:dyDescent="0.35">
      <c r="A118" s="1">
        <v>2042</v>
      </c>
      <c r="B118" s="1">
        <v>26.23947844438884</v>
      </c>
      <c r="C118" s="1">
        <v>30.21275428458511</v>
      </c>
      <c r="D118" s="1">
        <v>35.160490173932992</v>
      </c>
      <c r="E118" s="1" t="s">
        <v>138</v>
      </c>
      <c r="F118" s="1">
        <v>1</v>
      </c>
    </row>
    <row r="119" spans="1:6" x14ac:dyDescent="0.35">
      <c r="A119" s="1">
        <v>2043</v>
      </c>
      <c r="B119" s="1">
        <v>26.072337617958521</v>
      </c>
      <c r="C119" s="1">
        <v>29.913205086034061</v>
      </c>
      <c r="D119" s="1">
        <v>35.43231673809656</v>
      </c>
      <c r="E119" s="1" t="s">
        <v>138</v>
      </c>
      <c r="F119" s="1">
        <v>1</v>
      </c>
    </row>
    <row r="120" spans="1:6" x14ac:dyDescent="0.35">
      <c r="A120" s="1">
        <v>2044</v>
      </c>
      <c r="B120" s="1">
        <v>26.29428591071494</v>
      </c>
      <c r="C120" s="1">
        <v>30.586380810639302</v>
      </c>
      <c r="D120" s="1">
        <v>35.543240531146367</v>
      </c>
      <c r="E120" s="1" t="s">
        <v>138</v>
      </c>
      <c r="F120" s="1">
        <v>1</v>
      </c>
    </row>
    <row r="121" spans="1:6" x14ac:dyDescent="0.35">
      <c r="A121" s="1">
        <v>2045</v>
      </c>
      <c r="B121" s="1">
        <v>26.498009183880331</v>
      </c>
      <c r="C121" s="1">
        <v>31.325802287902849</v>
      </c>
      <c r="D121" s="1">
        <v>35.315026877272828</v>
      </c>
      <c r="E121" s="1" t="s">
        <v>138</v>
      </c>
      <c r="F121" s="1">
        <v>1</v>
      </c>
    </row>
    <row r="122" spans="1:6" x14ac:dyDescent="0.35">
      <c r="A122" s="1">
        <v>2046</v>
      </c>
      <c r="B122" s="1">
        <v>25.964542345760449</v>
      </c>
      <c r="C122" s="1">
        <v>31.233839516322838</v>
      </c>
      <c r="D122" s="1">
        <v>35.511364537944097</v>
      </c>
      <c r="E122" s="1" t="s">
        <v>138</v>
      </c>
      <c r="F122" s="1">
        <v>1</v>
      </c>
    </row>
    <row r="123" spans="1:6" x14ac:dyDescent="0.35">
      <c r="A123" s="1">
        <v>2047</v>
      </c>
      <c r="B123" s="1">
        <v>36.333011692328263</v>
      </c>
      <c r="C123" s="1">
        <v>46.110500566754972</v>
      </c>
      <c r="D123" s="1">
        <v>58.548342065294683</v>
      </c>
      <c r="E123" s="1" t="s">
        <v>138</v>
      </c>
      <c r="F123" s="1">
        <v>1</v>
      </c>
    </row>
    <row r="124" spans="1:6" x14ac:dyDescent="0.35">
      <c r="A124" s="1">
        <v>2048</v>
      </c>
      <c r="B124" s="1">
        <v>29.793364653270679</v>
      </c>
      <c r="C124" s="1">
        <v>42.524135356090319</v>
      </c>
      <c r="D124" s="1">
        <v>57.248840812438267</v>
      </c>
      <c r="E124" s="1" t="s">
        <v>138</v>
      </c>
      <c r="F124" s="1">
        <v>1</v>
      </c>
    </row>
    <row r="125" spans="1:6" x14ac:dyDescent="0.35">
      <c r="A125" s="1">
        <v>2049</v>
      </c>
      <c r="B125" s="1">
        <v>30.049874378150719</v>
      </c>
      <c r="C125" s="1">
        <v>43.215564313373271</v>
      </c>
      <c r="D125" s="1">
        <v>55.026688150293801</v>
      </c>
      <c r="E125" s="1" t="s">
        <v>138</v>
      </c>
      <c r="F125" s="1">
        <v>1</v>
      </c>
    </row>
    <row r="126" spans="1:6" x14ac:dyDescent="0.35">
      <c r="A126" s="1">
        <v>2050</v>
      </c>
      <c r="B126" s="1">
        <v>30.743837943427049</v>
      </c>
      <c r="C126" s="1">
        <v>42.188849260170763</v>
      </c>
      <c r="D126" s="1">
        <v>55.422722566090798</v>
      </c>
      <c r="E126" s="1" t="s">
        <v>138</v>
      </c>
      <c r="F126" s="1">
        <v>1</v>
      </c>
    </row>
    <row r="127" spans="1:6" x14ac:dyDescent="0.35">
      <c r="A127" s="1">
        <v>2026</v>
      </c>
      <c r="B127" s="1">
        <v>31.909927289967431</v>
      </c>
      <c r="C127" s="1">
        <v>31.153265699520691</v>
      </c>
      <c r="D127" s="1">
        <v>30.757558188526382</v>
      </c>
      <c r="E127" s="1" t="s">
        <v>139</v>
      </c>
      <c r="F127" s="1">
        <v>2</v>
      </c>
    </row>
    <row r="128" spans="1:6" x14ac:dyDescent="0.35">
      <c r="A128" s="1">
        <v>2027</v>
      </c>
      <c r="B128" s="1">
        <v>31.295351938282629</v>
      </c>
      <c r="C128" s="1">
        <v>31.909876626298612</v>
      </c>
      <c r="D128" s="1">
        <v>31.646515367421951</v>
      </c>
      <c r="E128" s="1" t="s">
        <v>139</v>
      </c>
      <c r="F128" s="1">
        <v>2</v>
      </c>
    </row>
    <row r="129" spans="1:6" x14ac:dyDescent="0.35">
      <c r="A129" s="1">
        <v>2028</v>
      </c>
      <c r="B129" s="1">
        <v>31.849230956304108</v>
      </c>
      <c r="C129" s="1">
        <v>31.28292061426238</v>
      </c>
      <c r="D129" s="1">
        <v>32.080239400695874</v>
      </c>
      <c r="E129" s="1" t="s">
        <v>139</v>
      </c>
      <c r="F129" s="1">
        <v>2</v>
      </c>
    </row>
    <row r="130" spans="1:6" x14ac:dyDescent="0.35">
      <c r="A130" s="1">
        <v>2029</v>
      </c>
      <c r="B130" s="1">
        <v>36.581738299868647</v>
      </c>
      <c r="C130" s="1">
        <v>51.576816626357903</v>
      </c>
      <c r="D130" s="1">
        <v>52.891373069079613</v>
      </c>
      <c r="E130" s="1" t="s">
        <v>139</v>
      </c>
      <c r="F130" s="1">
        <v>2</v>
      </c>
    </row>
    <row r="131" spans="1:6" x14ac:dyDescent="0.35">
      <c r="A131" s="1">
        <v>2030</v>
      </c>
      <c r="B131" s="1">
        <v>33.137573681150407</v>
      </c>
      <c r="C131" s="1">
        <v>46.447755351519703</v>
      </c>
      <c r="D131" s="1">
        <v>54.166441632300149</v>
      </c>
      <c r="E131" s="1" t="s">
        <v>139</v>
      </c>
      <c r="F131" s="1">
        <v>2</v>
      </c>
    </row>
    <row r="132" spans="1:6" x14ac:dyDescent="0.35">
      <c r="A132" s="1">
        <v>2031</v>
      </c>
      <c r="B132" s="1">
        <v>35.418139665729328</v>
      </c>
      <c r="C132" s="1">
        <v>44.9290438517274</v>
      </c>
      <c r="D132" s="1">
        <v>52.6373217745574</v>
      </c>
      <c r="E132" s="1" t="s">
        <v>139</v>
      </c>
      <c r="F132" s="1">
        <v>2</v>
      </c>
    </row>
    <row r="133" spans="1:6" x14ac:dyDescent="0.35">
      <c r="A133" s="1">
        <v>2032</v>
      </c>
      <c r="B133" s="1">
        <v>33.870840865922077</v>
      </c>
      <c r="C133" s="1">
        <v>43.741042468729113</v>
      </c>
      <c r="D133" s="1">
        <v>51.818230278341147</v>
      </c>
      <c r="E133" s="1" t="s">
        <v>139</v>
      </c>
      <c r="F133" s="1">
        <v>2</v>
      </c>
    </row>
    <row r="134" spans="1:6" x14ac:dyDescent="0.35">
      <c r="A134" s="1">
        <v>2033</v>
      </c>
      <c r="B134" s="1">
        <v>33.241296816133627</v>
      </c>
      <c r="C134" s="1">
        <v>44.643080600758552</v>
      </c>
      <c r="D134" s="1">
        <v>51.40940237077124</v>
      </c>
      <c r="E134" s="1" t="s">
        <v>139</v>
      </c>
      <c r="F134" s="1">
        <v>2</v>
      </c>
    </row>
    <row r="135" spans="1:6" x14ac:dyDescent="0.35">
      <c r="A135" s="1">
        <v>2034</v>
      </c>
      <c r="B135" s="1">
        <v>31.07125252749071</v>
      </c>
      <c r="C135" s="1">
        <v>42.929495230770499</v>
      </c>
      <c r="D135" s="1">
        <v>50.785702800386801</v>
      </c>
      <c r="E135" s="1" t="s">
        <v>139</v>
      </c>
      <c r="F135" s="1">
        <v>2</v>
      </c>
    </row>
    <row r="136" spans="1:6" x14ac:dyDescent="0.35">
      <c r="A136" s="1">
        <v>2035</v>
      </c>
      <c r="B136" s="1">
        <v>31.95819731109599</v>
      </c>
      <c r="C136" s="1">
        <v>41.347760439896028</v>
      </c>
      <c r="D136" s="1">
        <v>52.342309585059489</v>
      </c>
      <c r="E136" s="1" t="s">
        <v>139</v>
      </c>
      <c r="F136" s="1">
        <v>2</v>
      </c>
    </row>
    <row r="137" spans="1:6" x14ac:dyDescent="0.35">
      <c r="A137" s="1">
        <v>2036</v>
      </c>
      <c r="B137" s="1">
        <v>31.499257597166729</v>
      </c>
      <c r="C137" s="1">
        <v>40.49838712919383</v>
      </c>
      <c r="D137" s="1">
        <v>53.537445023968253</v>
      </c>
      <c r="E137" s="1" t="s">
        <v>139</v>
      </c>
      <c r="F137" s="1">
        <v>2</v>
      </c>
    </row>
    <row r="138" spans="1:6" x14ac:dyDescent="0.35">
      <c r="A138" s="1">
        <v>2037</v>
      </c>
      <c r="B138" s="1">
        <v>51.933496011711398</v>
      </c>
      <c r="C138" s="1">
        <v>66.770552288950171</v>
      </c>
      <c r="D138" s="1">
        <v>81.051388885999998</v>
      </c>
      <c r="E138" s="1" t="s">
        <v>139</v>
      </c>
      <c r="F138" s="1">
        <v>2</v>
      </c>
    </row>
    <row r="139" spans="1:6" x14ac:dyDescent="0.35">
      <c r="A139" s="1">
        <v>2038</v>
      </c>
      <c r="B139" s="1">
        <v>41.101292037260691</v>
      </c>
      <c r="C139" s="1">
        <v>61.248623061826812</v>
      </c>
      <c r="D139" s="1">
        <v>74.410134395680117</v>
      </c>
      <c r="E139" s="1" t="s">
        <v>139</v>
      </c>
      <c r="F139" s="1">
        <v>2</v>
      </c>
    </row>
    <row r="140" spans="1:6" x14ac:dyDescent="0.35">
      <c r="A140" s="1">
        <v>2039</v>
      </c>
      <c r="B140" s="1">
        <v>41.917575220862673</v>
      </c>
      <c r="C140" s="1">
        <v>60.152720644154343</v>
      </c>
      <c r="D140" s="1">
        <v>72.788496403195239</v>
      </c>
      <c r="E140" s="1" t="s">
        <v>139</v>
      </c>
      <c r="F140" s="1">
        <v>2</v>
      </c>
    </row>
    <row r="141" spans="1:6" x14ac:dyDescent="0.35">
      <c r="A141" s="1">
        <v>2040</v>
      </c>
      <c r="B141" s="1">
        <v>40.324424196180338</v>
      </c>
      <c r="C141" s="1">
        <v>57.704849411426672</v>
      </c>
      <c r="D141" s="1">
        <v>75.741027089533546</v>
      </c>
      <c r="E141" s="1" t="s">
        <v>139</v>
      </c>
      <c r="F141" s="1">
        <v>2</v>
      </c>
    </row>
    <row r="142" spans="1:6" x14ac:dyDescent="0.35">
      <c r="A142" s="1">
        <v>2041</v>
      </c>
      <c r="B142" s="1">
        <v>40.261130492314102</v>
      </c>
      <c r="C142" s="1">
        <v>57.170030047192498</v>
      </c>
      <c r="D142" s="1">
        <v>74.08290932187775</v>
      </c>
      <c r="E142" s="1" t="s">
        <v>139</v>
      </c>
      <c r="F142" s="1">
        <v>2</v>
      </c>
    </row>
    <row r="143" spans="1:6" x14ac:dyDescent="0.35">
      <c r="A143" s="1">
        <v>2042</v>
      </c>
      <c r="B143" s="1">
        <v>42.376909824282933</v>
      </c>
      <c r="C143" s="1">
        <v>56.859836883574829</v>
      </c>
      <c r="D143" s="1">
        <v>76.327181395664681</v>
      </c>
      <c r="E143" s="1" t="s">
        <v>139</v>
      </c>
      <c r="F143" s="1">
        <v>2</v>
      </c>
    </row>
    <row r="144" spans="1:6" x14ac:dyDescent="0.35">
      <c r="A144" s="1">
        <v>2043</v>
      </c>
      <c r="B144" s="1">
        <v>41.02359713771996</v>
      </c>
      <c r="C144" s="1">
        <v>57.347967154890007</v>
      </c>
      <c r="D144" s="1">
        <v>74.907876475975741</v>
      </c>
      <c r="E144" s="1" t="s">
        <v>139</v>
      </c>
      <c r="F144" s="1">
        <v>2</v>
      </c>
    </row>
    <row r="145" spans="1:6" x14ac:dyDescent="0.35">
      <c r="A145" s="1">
        <v>2044</v>
      </c>
      <c r="B145" s="1">
        <v>40.531150348298148</v>
      </c>
      <c r="C145" s="1">
        <v>57.408147507283637</v>
      </c>
      <c r="D145" s="1">
        <v>73.256882444390399</v>
      </c>
      <c r="E145" s="1" t="s">
        <v>139</v>
      </c>
      <c r="F145" s="1">
        <v>2</v>
      </c>
    </row>
    <row r="146" spans="1:6" x14ac:dyDescent="0.35">
      <c r="A146" s="1">
        <v>2045</v>
      </c>
      <c r="B146" s="1">
        <v>41.338281849038033</v>
      </c>
      <c r="C146" s="1">
        <v>57.193861255144888</v>
      </c>
      <c r="D146" s="1">
        <v>75.317644455147502</v>
      </c>
      <c r="E146" s="1" t="s">
        <v>139</v>
      </c>
      <c r="F146" s="1">
        <v>2</v>
      </c>
    </row>
    <row r="147" spans="1:6" x14ac:dyDescent="0.35">
      <c r="A147" s="1">
        <v>2046</v>
      </c>
      <c r="B147" s="1">
        <v>41.343275463498351</v>
      </c>
      <c r="C147" s="1">
        <v>56.823477205226148</v>
      </c>
      <c r="D147" s="1">
        <v>75.725980343841769</v>
      </c>
      <c r="E147" s="1" t="s">
        <v>139</v>
      </c>
      <c r="F147" s="1">
        <v>2</v>
      </c>
    </row>
    <row r="148" spans="1:6" x14ac:dyDescent="0.35">
      <c r="A148" s="1">
        <v>2047</v>
      </c>
      <c r="B148" s="1">
        <v>39.891702298186601</v>
      </c>
      <c r="C148" s="1">
        <v>58.945162164042173</v>
      </c>
      <c r="D148" s="1">
        <v>75.162597959718241</v>
      </c>
      <c r="E148" s="1" t="s">
        <v>139</v>
      </c>
      <c r="F148" s="1">
        <v>2</v>
      </c>
    </row>
    <row r="149" spans="1:6" x14ac:dyDescent="0.35">
      <c r="A149" s="1">
        <v>2048</v>
      </c>
      <c r="B149" s="1">
        <v>40.287154193911483</v>
      </c>
      <c r="C149" s="1">
        <v>58.23181912913536</v>
      </c>
      <c r="D149" s="1">
        <v>76.122523471692617</v>
      </c>
      <c r="E149" s="1" t="s">
        <v>139</v>
      </c>
      <c r="F149" s="1">
        <v>2</v>
      </c>
    </row>
    <row r="150" spans="1:6" x14ac:dyDescent="0.35">
      <c r="A150" s="1">
        <v>2049</v>
      </c>
      <c r="B150" s="1">
        <v>40.851986796514232</v>
      </c>
      <c r="C150" s="1">
        <v>58.25010228525138</v>
      </c>
      <c r="D150" s="1">
        <v>75.333670326255245</v>
      </c>
      <c r="E150" s="1" t="s">
        <v>139</v>
      </c>
      <c r="F150" s="1">
        <v>2</v>
      </c>
    </row>
    <row r="151" spans="1:6" x14ac:dyDescent="0.35">
      <c r="A151" s="1">
        <v>2050</v>
      </c>
      <c r="B151" s="1">
        <v>40.345768267242867</v>
      </c>
      <c r="C151" s="1">
        <v>57.690755748473983</v>
      </c>
      <c r="D151" s="1">
        <v>73.064910690618873</v>
      </c>
      <c r="E151" s="1" t="s">
        <v>139</v>
      </c>
      <c r="F151" s="1">
        <v>2</v>
      </c>
    </row>
    <row r="152" spans="1:6" x14ac:dyDescent="0.35">
      <c r="A152" s="1">
        <v>2026</v>
      </c>
      <c r="B152" s="1">
        <v>30.474634436058299</v>
      </c>
      <c r="C152" s="1">
        <v>31.194890265083892</v>
      </c>
      <c r="D152" s="1">
        <v>30.976618578128232</v>
      </c>
      <c r="E152" s="1" t="s">
        <v>140</v>
      </c>
      <c r="F152" s="1">
        <v>2</v>
      </c>
    </row>
    <row r="153" spans="1:6" x14ac:dyDescent="0.35">
      <c r="A153" s="1">
        <v>2027</v>
      </c>
      <c r="B153" s="1">
        <v>29.971030166031579</v>
      </c>
      <c r="C153" s="1">
        <v>30.53259696863763</v>
      </c>
      <c r="D153" s="1">
        <v>33.534296253557038</v>
      </c>
      <c r="E153" s="1" t="s">
        <v>140</v>
      </c>
      <c r="F153" s="1">
        <v>2</v>
      </c>
    </row>
    <row r="154" spans="1:6" x14ac:dyDescent="0.35">
      <c r="A154" s="1">
        <v>2028</v>
      </c>
      <c r="B154" s="1">
        <v>29.1779432776992</v>
      </c>
      <c r="C154" s="1">
        <v>30.379178856508101</v>
      </c>
      <c r="D154" s="1">
        <v>34.056303807272869</v>
      </c>
      <c r="E154" s="1" t="s">
        <v>140</v>
      </c>
      <c r="F154" s="1">
        <v>2</v>
      </c>
    </row>
    <row r="155" spans="1:6" x14ac:dyDescent="0.35">
      <c r="A155" s="1">
        <v>2029</v>
      </c>
      <c r="B155" s="1">
        <v>28.37195506800099</v>
      </c>
      <c r="C155" s="1">
        <v>29.96959667321277</v>
      </c>
      <c r="D155" s="1">
        <v>34.811346913502398</v>
      </c>
      <c r="E155" s="1" t="s">
        <v>140</v>
      </c>
      <c r="F155" s="1">
        <v>2</v>
      </c>
    </row>
    <row r="156" spans="1:6" x14ac:dyDescent="0.35">
      <c r="A156" s="1">
        <v>2030</v>
      </c>
      <c r="B156" s="1">
        <v>40.412313422789808</v>
      </c>
      <c r="C156" s="1">
        <v>49.411511509429687</v>
      </c>
      <c r="D156" s="1">
        <v>57.394208118012671</v>
      </c>
      <c r="E156" s="1" t="s">
        <v>140</v>
      </c>
      <c r="F156" s="1">
        <v>2</v>
      </c>
    </row>
    <row r="157" spans="1:6" x14ac:dyDescent="0.35">
      <c r="A157" s="1">
        <v>2031</v>
      </c>
      <c r="B157" s="1">
        <v>36.384664599301978</v>
      </c>
      <c r="C157" s="1">
        <v>44.402055957786757</v>
      </c>
      <c r="D157" s="1">
        <v>53.469463793406518</v>
      </c>
      <c r="E157" s="1" t="s">
        <v>140</v>
      </c>
      <c r="F157" s="1">
        <v>2</v>
      </c>
    </row>
    <row r="158" spans="1:6" x14ac:dyDescent="0.35">
      <c r="A158" s="1">
        <v>2032</v>
      </c>
      <c r="B158" s="1">
        <v>36.01619471995339</v>
      </c>
      <c r="C158" s="1">
        <v>45.151712310462763</v>
      </c>
      <c r="D158" s="1">
        <v>54.062046812464573</v>
      </c>
      <c r="E158" s="1" t="s">
        <v>140</v>
      </c>
      <c r="F158" s="1">
        <v>2</v>
      </c>
    </row>
    <row r="159" spans="1:6" x14ac:dyDescent="0.35">
      <c r="A159" s="1">
        <v>2033</v>
      </c>
      <c r="B159" s="1">
        <v>34.641205796204467</v>
      </c>
      <c r="C159" s="1">
        <v>43.238178722278683</v>
      </c>
      <c r="D159" s="1">
        <v>52.031739376256418</v>
      </c>
      <c r="E159" s="1" t="s">
        <v>140</v>
      </c>
      <c r="F159" s="1">
        <v>2</v>
      </c>
    </row>
    <row r="160" spans="1:6" x14ac:dyDescent="0.35">
      <c r="A160" s="1">
        <v>2034</v>
      </c>
      <c r="B160" s="1">
        <v>34.991066478651277</v>
      </c>
      <c r="C160" s="1">
        <v>44.310430786048158</v>
      </c>
      <c r="D160" s="1">
        <v>52.942242919430967</v>
      </c>
      <c r="E160" s="1" t="s">
        <v>140</v>
      </c>
      <c r="F160" s="1">
        <v>2</v>
      </c>
    </row>
    <row r="161" spans="1:6" x14ac:dyDescent="0.35">
      <c r="A161" s="1">
        <v>2035</v>
      </c>
      <c r="B161" s="1">
        <v>35.150559556367298</v>
      </c>
      <c r="C161" s="1">
        <v>42.855976522718997</v>
      </c>
      <c r="D161" s="1">
        <v>53.746407268193018</v>
      </c>
      <c r="E161" s="1" t="s">
        <v>140</v>
      </c>
      <c r="F161" s="1">
        <v>2</v>
      </c>
    </row>
    <row r="162" spans="1:6" x14ac:dyDescent="0.35">
      <c r="A162" s="1">
        <v>2036</v>
      </c>
      <c r="B162" s="1">
        <v>34.335523779091993</v>
      </c>
      <c r="C162" s="1">
        <v>45.07231817046501</v>
      </c>
      <c r="D162" s="1">
        <v>52.994485456980861</v>
      </c>
      <c r="E162" s="1" t="s">
        <v>140</v>
      </c>
      <c r="F162" s="1">
        <v>2</v>
      </c>
    </row>
    <row r="163" spans="1:6" x14ac:dyDescent="0.35">
      <c r="A163" s="1">
        <v>2037</v>
      </c>
      <c r="B163" s="1">
        <v>33.265534290373949</v>
      </c>
      <c r="C163" s="1">
        <v>44.737742023306957</v>
      </c>
      <c r="D163" s="1">
        <v>51.526702273931882</v>
      </c>
      <c r="E163" s="1" t="s">
        <v>140</v>
      </c>
      <c r="F163" s="1">
        <v>2</v>
      </c>
    </row>
    <row r="164" spans="1:6" x14ac:dyDescent="0.35">
      <c r="A164" s="1">
        <v>2038</v>
      </c>
      <c r="B164" s="1">
        <v>31.764310584495739</v>
      </c>
      <c r="C164" s="1">
        <v>43.945417433031857</v>
      </c>
      <c r="D164" s="1">
        <v>53.915708275356707</v>
      </c>
      <c r="E164" s="1" t="s">
        <v>140</v>
      </c>
      <c r="F164" s="1">
        <v>2</v>
      </c>
    </row>
    <row r="165" spans="1:6" x14ac:dyDescent="0.35">
      <c r="A165" s="1">
        <v>2039</v>
      </c>
      <c r="B165" s="1">
        <v>32.546321021363553</v>
      </c>
      <c r="C165" s="1">
        <v>44.033228007555728</v>
      </c>
      <c r="D165" s="1">
        <v>53.911927602594417</v>
      </c>
      <c r="E165" s="1" t="s">
        <v>140</v>
      </c>
      <c r="F165" s="1">
        <v>2</v>
      </c>
    </row>
    <row r="166" spans="1:6" x14ac:dyDescent="0.35">
      <c r="A166" s="1">
        <v>2040</v>
      </c>
      <c r="B166" s="1">
        <v>32.949728732932407</v>
      </c>
      <c r="C166" s="1">
        <v>41.586744290563189</v>
      </c>
      <c r="D166" s="1">
        <v>53.38594003509774</v>
      </c>
      <c r="E166" s="1" t="s">
        <v>140</v>
      </c>
      <c r="F166" s="1">
        <v>2</v>
      </c>
    </row>
    <row r="167" spans="1:6" x14ac:dyDescent="0.35">
      <c r="A167" s="1">
        <v>2041</v>
      </c>
      <c r="B167" s="1">
        <v>32.44975166173041</v>
      </c>
      <c r="C167" s="1">
        <v>40.911631331605861</v>
      </c>
      <c r="D167" s="1">
        <v>51.783165839270701</v>
      </c>
      <c r="E167" s="1" t="s">
        <v>140</v>
      </c>
      <c r="F167" s="1">
        <v>2</v>
      </c>
    </row>
    <row r="168" spans="1:6" x14ac:dyDescent="0.35">
      <c r="A168" s="1">
        <v>2042</v>
      </c>
      <c r="B168" s="1">
        <v>31.889447858782919</v>
      </c>
      <c r="C168" s="1">
        <v>41.486489443391832</v>
      </c>
      <c r="D168" s="1">
        <v>52.742521350192753</v>
      </c>
      <c r="E168" s="1" t="s">
        <v>140</v>
      </c>
      <c r="F168" s="1">
        <v>2</v>
      </c>
    </row>
    <row r="169" spans="1:6" x14ac:dyDescent="0.35">
      <c r="A169" s="1">
        <v>2043</v>
      </c>
      <c r="B169" s="1">
        <v>31.484212352344151</v>
      </c>
      <c r="C169" s="1">
        <v>42.778536384451627</v>
      </c>
      <c r="D169" s="1">
        <v>52.389983158337813</v>
      </c>
      <c r="E169" s="1" t="s">
        <v>140</v>
      </c>
      <c r="F169" s="1">
        <v>2</v>
      </c>
    </row>
    <row r="170" spans="1:6" x14ac:dyDescent="0.35">
      <c r="A170" s="1">
        <v>2044</v>
      </c>
      <c r="B170" s="1">
        <v>30.890344427944889</v>
      </c>
      <c r="C170" s="1">
        <v>44.499348414753094</v>
      </c>
      <c r="D170" s="1">
        <v>52.202790949952487</v>
      </c>
      <c r="E170" s="1" t="s">
        <v>140</v>
      </c>
      <c r="F170" s="1">
        <v>2</v>
      </c>
    </row>
    <row r="171" spans="1:6" x14ac:dyDescent="0.35">
      <c r="A171" s="1">
        <v>2045</v>
      </c>
      <c r="B171" s="1">
        <v>31.554352593561269</v>
      </c>
      <c r="C171" s="1">
        <v>44.656751156298547</v>
      </c>
      <c r="D171" s="1">
        <v>53.725753412971677</v>
      </c>
      <c r="E171" s="1" t="s">
        <v>140</v>
      </c>
      <c r="F171" s="1">
        <v>2</v>
      </c>
    </row>
    <row r="172" spans="1:6" x14ac:dyDescent="0.35">
      <c r="A172" s="1">
        <v>2046</v>
      </c>
      <c r="B172" s="1">
        <v>31.953448324684711</v>
      </c>
      <c r="C172" s="1">
        <v>42.953312919659773</v>
      </c>
      <c r="D172" s="1">
        <v>57.523320886643411</v>
      </c>
      <c r="E172" s="1" t="s">
        <v>140</v>
      </c>
      <c r="F172" s="1">
        <v>2</v>
      </c>
    </row>
    <row r="173" spans="1:6" x14ac:dyDescent="0.35">
      <c r="A173" s="1">
        <v>2047</v>
      </c>
      <c r="B173" s="1">
        <v>50.796618764877017</v>
      </c>
      <c r="C173" s="1">
        <v>65.397013467904472</v>
      </c>
      <c r="D173" s="1">
        <v>80.304304303860476</v>
      </c>
      <c r="E173" s="1" t="s">
        <v>140</v>
      </c>
      <c r="F173" s="1">
        <v>2</v>
      </c>
    </row>
    <row r="174" spans="1:6" x14ac:dyDescent="0.35">
      <c r="A174" s="1">
        <v>2048</v>
      </c>
      <c r="B174" s="1">
        <v>40.97703222959548</v>
      </c>
      <c r="C174" s="1">
        <v>62.143209487037907</v>
      </c>
      <c r="D174" s="1">
        <v>72.976015452172149</v>
      </c>
      <c r="E174" s="1" t="s">
        <v>140</v>
      </c>
      <c r="F174" s="1">
        <v>2</v>
      </c>
    </row>
    <row r="175" spans="1:6" x14ac:dyDescent="0.35">
      <c r="A175" s="1">
        <v>2049</v>
      </c>
      <c r="B175" s="1">
        <v>41.274346718569923</v>
      </c>
      <c r="C175" s="1">
        <v>60.538873275599137</v>
      </c>
      <c r="D175" s="1">
        <v>74.552800408010057</v>
      </c>
      <c r="E175" s="1" t="s">
        <v>140</v>
      </c>
      <c r="F175" s="1">
        <v>2</v>
      </c>
    </row>
    <row r="176" spans="1:6" x14ac:dyDescent="0.35">
      <c r="A176" s="1">
        <v>2050</v>
      </c>
      <c r="B176" s="1">
        <v>38.891291729683282</v>
      </c>
      <c r="C176" s="1">
        <v>61.142466073764879</v>
      </c>
      <c r="D176" s="1">
        <v>77.108716267320389</v>
      </c>
      <c r="E176" s="1" t="s">
        <v>140</v>
      </c>
      <c r="F176" s="1">
        <v>2</v>
      </c>
    </row>
    <row r="177" spans="1:6" x14ac:dyDescent="0.35">
      <c r="A177" s="1">
        <v>2026</v>
      </c>
      <c r="B177" s="1">
        <v>30.603623170135538</v>
      </c>
      <c r="C177" s="1">
        <v>31.97314904546046</v>
      </c>
      <c r="D177" s="1">
        <v>30.739365196048752</v>
      </c>
      <c r="E177" s="1" t="s">
        <v>141</v>
      </c>
      <c r="F177" s="1">
        <v>2</v>
      </c>
    </row>
    <row r="178" spans="1:6" x14ac:dyDescent="0.35">
      <c r="A178" s="1">
        <v>2027</v>
      </c>
      <c r="B178" s="1">
        <v>30.386688174883719</v>
      </c>
      <c r="C178" s="1">
        <v>32.325291013356001</v>
      </c>
      <c r="D178" s="1">
        <v>32.105772400071771</v>
      </c>
      <c r="E178" s="1" t="s">
        <v>141</v>
      </c>
      <c r="F178" s="1">
        <v>2</v>
      </c>
    </row>
    <row r="179" spans="1:6" x14ac:dyDescent="0.35">
      <c r="A179" s="1">
        <v>2028</v>
      </c>
      <c r="B179" s="1">
        <v>31.405012309741291</v>
      </c>
      <c r="C179" s="1">
        <v>31.71810584240999</v>
      </c>
      <c r="D179" s="1">
        <v>32.870697605187821</v>
      </c>
      <c r="E179" s="1" t="s">
        <v>141</v>
      </c>
      <c r="F179" s="1">
        <v>2</v>
      </c>
    </row>
    <row r="180" spans="1:6" x14ac:dyDescent="0.35">
      <c r="A180" s="1">
        <v>2029</v>
      </c>
      <c r="B180" s="1">
        <v>30.423682935881779</v>
      </c>
      <c r="C180" s="1">
        <v>30.897864552777971</v>
      </c>
      <c r="D180" s="1">
        <v>32.364820586173373</v>
      </c>
      <c r="E180" s="1" t="s">
        <v>141</v>
      </c>
      <c r="F180" s="1">
        <v>2</v>
      </c>
    </row>
    <row r="181" spans="1:6" x14ac:dyDescent="0.35">
      <c r="A181" s="1">
        <v>2030</v>
      </c>
      <c r="B181" s="1">
        <v>29.948437508229151</v>
      </c>
      <c r="C181" s="1">
        <v>29.42632645790507</v>
      </c>
      <c r="D181" s="1">
        <v>33.445841159346749</v>
      </c>
      <c r="E181" s="1" t="s">
        <v>141</v>
      </c>
      <c r="F181" s="1">
        <v>2</v>
      </c>
    </row>
    <row r="182" spans="1:6" x14ac:dyDescent="0.35">
      <c r="A182" s="1">
        <v>2031</v>
      </c>
      <c r="B182" s="1">
        <v>38.45077133315754</v>
      </c>
      <c r="C182" s="1">
        <v>48.515810349714037</v>
      </c>
      <c r="D182" s="1">
        <v>55.142869735872821</v>
      </c>
      <c r="E182" s="1" t="s">
        <v>141</v>
      </c>
      <c r="F182" s="1">
        <v>2</v>
      </c>
    </row>
    <row r="183" spans="1:6" x14ac:dyDescent="0.35">
      <c r="A183" s="1">
        <v>2032</v>
      </c>
      <c r="B183" s="1">
        <v>35.631236274046742</v>
      </c>
      <c r="C183" s="1">
        <v>41.171511548552317</v>
      </c>
      <c r="D183" s="1">
        <v>50.569079277512927</v>
      </c>
      <c r="E183" s="1" t="s">
        <v>141</v>
      </c>
      <c r="F183" s="1">
        <v>2</v>
      </c>
    </row>
    <row r="184" spans="1:6" x14ac:dyDescent="0.35">
      <c r="A184" s="1">
        <v>2033</v>
      </c>
      <c r="B184" s="1">
        <v>33.545664624143583</v>
      </c>
      <c r="C184" s="1">
        <v>40.684115863381571</v>
      </c>
      <c r="D184" s="1">
        <v>48.767462432108502</v>
      </c>
      <c r="E184" s="1" t="s">
        <v>141</v>
      </c>
      <c r="F184" s="1">
        <v>2</v>
      </c>
    </row>
    <row r="185" spans="1:6" x14ac:dyDescent="0.35">
      <c r="A185" s="1">
        <v>2034</v>
      </c>
      <c r="B185" s="1">
        <v>33.799718396766693</v>
      </c>
      <c r="C185" s="1">
        <v>40.357882138576471</v>
      </c>
      <c r="D185" s="1">
        <v>48.037162123668431</v>
      </c>
      <c r="E185" s="1" t="s">
        <v>141</v>
      </c>
      <c r="F185" s="1">
        <v>2</v>
      </c>
    </row>
    <row r="186" spans="1:6" x14ac:dyDescent="0.35">
      <c r="A186" s="1">
        <v>2035</v>
      </c>
      <c r="B186" s="1">
        <v>34.093636501351988</v>
      </c>
      <c r="C186" s="1">
        <v>38.869426648455892</v>
      </c>
      <c r="D186" s="1">
        <v>51.66837146738132</v>
      </c>
      <c r="E186" s="1" t="s">
        <v>141</v>
      </c>
      <c r="F186" s="1">
        <v>2</v>
      </c>
    </row>
    <row r="187" spans="1:6" x14ac:dyDescent="0.35">
      <c r="A187" s="1">
        <v>2036</v>
      </c>
      <c r="B187" s="1">
        <v>48.715664393855441</v>
      </c>
      <c r="C187" s="1">
        <v>64.084850495227613</v>
      </c>
      <c r="D187" s="1">
        <v>81.051388885999998</v>
      </c>
      <c r="E187" s="1" t="s">
        <v>141</v>
      </c>
      <c r="F187" s="1">
        <v>2</v>
      </c>
    </row>
    <row r="188" spans="1:6" x14ac:dyDescent="0.35">
      <c r="A188" s="1">
        <v>2037</v>
      </c>
      <c r="B188" s="1">
        <v>39.115010941710153</v>
      </c>
      <c r="C188" s="1">
        <v>59.176871685475831</v>
      </c>
      <c r="D188" s="1">
        <v>74.28951759765846</v>
      </c>
      <c r="E188" s="1" t="s">
        <v>141</v>
      </c>
      <c r="F188" s="1">
        <v>2</v>
      </c>
    </row>
    <row r="189" spans="1:6" x14ac:dyDescent="0.35">
      <c r="A189" s="1">
        <v>2038</v>
      </c>
      <c r="B189" s="1">
        <v>38.890803658644117</v>
      </c>
      <c r="C189" s="1">
        <v>58.635674858419478</v>
      </c>
      <c r="D189" s="1">
        <v>74.666055240257549</v>
      </c>
      <c r="E189" s="1" t="s">
        <v>141</v>
      </c>
      <c r="F189" s="1">
        <v>2</v>
      </c>
    </row>
    <row r="190" spans="1:6" x14ac:dyDescent="0.35">
      <c r="A190" s="1">
        <v>2039</v>
      </c>
      <c r="B190" s="1">
        <v>39.721108940913091</v>
      </c>
      <c r="C190" s="1">
        <v>58.275574895491907</v>
      </c>
      <c r="D190" s="1">
        <v>73.732765121428471</v>
      </c>
      <c r="E190" s="1" t="s">
        <v>141</v>
      </c>
      <c r="F190" s="1">
        <v>2</v>
      </c>
    </row>
    <row r="191" spans="1:6" x14ac:dyDescent="0.35">
      <c r="A191" s="1">
        <v>2040</v>
      </c>
      <c r="B191" s="1">
        <v>40.118521423230902</v>
      </c>
      <c r="C191" s="1">
        <v>56.584095535838777</v>
      </c>
      <c r="D191" s="1">
        <v>74.068111264981241</v>
      </c>
      <c r="E191" s="1" t="s">
        <v>141</v>
      </c>
      <c r="F191" s="1">
        <v>2</v>
      </c>
    </row>
    <row r="192" spans="1:6" x14ac:dyDescent="0.35">
      <c r="A192" s="1">
        <v>2041</v>
      </c>
      <c r="B192" s="1">
        <v>40.626151526811839</v>
      </c>
      <c r="C192" s="1">
        <v>56.775986123968607</v>
      </c>
      <c r="D192" s="1">
        <v>76.959067015623191</v>
      </c>
      <c r="E192" s="1" t="s">
        <v>141</v>
      </c>
      <c r="F192" s="1">
        <v>2</v>
      </c>
    </row>
    <row r="193" spans="1:6" x14ac:dyDescent="0.35">
      <c r="A193" s="1">
        <v>2042</v>
      </c>
      <c r="B193" s="1">
        <v>40.727850011771451</v>
      </c>
      <c r="C193" s="1">
        <v>60.127973167871893</v>
      </c>
      <c r="D193" s="1">
        <v>74.529004798218068</v>
      </c>
      <c r="E193" s="1" t="s">
        <v>141</v>
      </c>
      <c r="F193" s="1">
        <v>2</v>
      </c>
    </row>
    <row r="194" spans="1:6" x14ac:dyDescent="0.35">
      <c r="A194" s="1">
        <v>2043</v>
      </c>
      <c r="B194" s="1">
        <v>41.309335378454954</v>
      </c>
      <c r="C194" s="1">
        <v>58.039689828499569</v>
      </c>
      <c r="D194" s="1">
        <v>73.568461483756323</v>
      </c>
      <c r="E194" s="1" t="s">
        <v>141</v>
      </c>
      <c r="F194" s="1">
        <v>2</v>
      </c>
    </row>
    <row r="195" spans="1:6" x14ac:dyDescent="0.35">
      <c r="A195" s="1">
        <v>2044</v>
      </c>
      <c r="B195" s="1">
        <v>41.838169037549001</v>
      </c>
      <c r="C195" s="1">
        <v>59.918624103575027</v>
      </c>
      <c r="D195" s="1">
        <v>75.299098337502627</v>
      </c>
      <c r="E195" s="1" t="s">
        <v>141</v>
      </c>
      <c r="F195" s="1">
        <v>2</v>
      </c>
    </row>
    <row r="196" spans="1:6" x14ac:dyDescent="0.35">
      <c r="A196" s="1">
        <v>2045</v>
      </c>
      <c r="B196" s="1">
        <v>41.361077978179431</v>
      </c>
      <c r="C196" s="1">
        <v>57.946889037345962</v>
      </c>
      <c r="D196" s="1">
        <v>77.851434823038105</v>
      </c>
      <c r="E196" s="1" t="s">
        <v>141</v>
      </c>
      <c r="F196" s="1">
        <v>2</v>
      </c>
    </row>
    <row r="197" spans="1:6" x14ac:dyDescent="0.35">
      <c r="A197" s="1">
        <v>2046</v>
      </c>
      <c r="B197" s="1">
        <v>39.55393311439235</v>
      </c>
      <c r="C197" s="1">
        <v>59.855572001543123</v>
      </c>
      <c r="D197" s="1">
        <v>75.143820146858772</v>
      </c>
      <c r="E197" s="1" t="s">
        <v>141</v>
      </c>
      <c r="F197" s="1">
        <v>2</v>
      </c>
    </row>
    <row r="198" spans="1:6" x14ac:dyDescent="0.35">
      <c r="A198" s="1">
        <v>2047</v>
      </c>
      <c r="B198" s="1">
        <v>41.26650826331916</v>
      </c>
      <c r="C198" s="1">
        <v>60.749920054758263</v>
      </c>
      <c r="D198" s="1">
        <v>74.505404831838533</v>
      </c>
      <c r="E198" s="1" t="s">
        <v>141</v>
      </c>
      <c r="F198" s="1">
        <v>2</v>
      </c>
    </row>
    <row r="199" spans="1:6" x14ac:dyDescent="0.35">
      <c r="A199" s="1">
        <v>2048</v>
      </c>
      <c r="B199" s="1">
        <v>41.643931443644377</v>
      </c>
      <c r="C199" s="1">
        <v>58.773749618470013</v>
      </c>
      <c r="D199" s="1">
        <v>73.01036425644493</v>
      </c>
      <c r="E199" s="1" t="s">
        <v>141</v>
      </c>
      <c r="F199" s="1">
        <v>2</v>
      </c>
    </row>
    <row r="200" spans="1:6" x14ac:dyDescent="0.35">
      <c r="A200" s="1">
        <v>2049</v>
      </c>
      <c r="B200" s="1">
        <v>39.940216064704593</v>
      </c>
      <c r="C200" s="1">
        <v>56.573969502722768</v>
      </c>
      <c r="D200" s="1">
        <v>72.127718552494002</v>
      </c>
      <c r="E200" s="1" t="s">
        <v>141</v>
      </c>
      <c r="F200" s="1">
        <v>2</v>
      </c>
    </row>
    <row r="201" spans="1:6" x14ac:dyDescent="0.35">
      <c r="A201" s="1">
        <v>2050</v>
      </c>
      <c r="B201" s="1">
        <v>38.919982624314677</v>
      </c>
      <c r="C201" s="1">
        <v>58.05212863599202</v>
      </c>
      <c r="D201" s="1">
        <v>74.621699512205524</v>
      </c>
      <c r="E201" s="1" t="s">
        <v>141</v>
      </c>
      <c r="F201" s="1">
        <v>2</v>
      </c>
    </row>
    <row r="202" spans="1:6" x14ac:dyDescent="0.35">
      <c r="A202" s="1">
        <v>2026</v>
      </c>
      <c r="B202" s="1">
        <v>29.488655109866851</v>
      </c>
      <c r="C202" s="1">
        <v>31.87670638318032</v>
      </c>
      <c r="D202" s="1">
        <v>31.70682362511409</v>
      </c>
      <c r="E202" s="1" t="s">
        <v>142</v>
      </c>
      <c r="F202" s="1">
        <v>2</v>
      </c>
    </row>
    <row r="203" spans="1:6" x14ac:dyDescent="0.35">
      <c r="A203" s="1">
        <v>2027</v>
      </c>
      <c r="B203" s="1">
        <v>28.54767929289854</v>
      </c>
      <c r="C203" s="1">
        <v>33.365119783473347</v>
      </c>
      <c r="D203" s="1">
        <v>31.92401209889309</v>
      </c>
      <c r="E203" s="1" t="s">
        <v>142</v>
      </c>
      <c r="F203" s="1">
        <v>2</v>
      </c>
    </row>
    <row r="204" spans="1:6" x14ac:dyDescent="0.35">
      <c r="A204" s="1">
        <v>2028</v>
      </c>
      <c r="B204" s="1">
        <v>28.615043093924289</v>
      </c>
      <c r="C204" s="1">
        <v>32.665038102294133</v>
      </c>
      <c r="D204" s="1">
        <v>32.438055962681752</v>
      </c>
      <c r="E204" s="1" t="s">
        <v>142</v>
      </c>
      <c r="F204" s="1">
        <v>2</v>
      </c>
    </row>
    <row r="205" spans="1:6" x14ac:dyDescent="0.35">
      <c r="A205" s="1">
        <v>2029</v>
      </c>
      <c r="B205" s="1">
        <v>27.475879044344531</v>
      </c>
      <c r="C205" s="1">
        <v>34.428636086157951</v>
      </c>
      <c r="D205" s="1">
        <v>31.80372752598247</v>
      </c>
      <c r="E205" s="1" t="s">
        <v>142</v>
      </c>
      <c r="F205" s="1">
        <v>2</v>
      </c>
    </row>
    <row r="206" spans="1:6" x14ac:dyDescent="0.35">
      <c r="A206" s="1">
        <v>2030</v>
      </c>
      <c r="B206" s="1">
        <v>27.996876431015711</v>
      </c>
      <c r="C206" s="1">
        <v>32.245743397088738</v>
      </c>
      <c r="D206" s="1">
        <v>31.638733386752229</v>
      </c>
      <c r="E206" s="1" t="s">
        <v>142</v>
      </c>
      <c r="F206" s="1">
        <v>2</v>
      </c>
    </row>
    <row r="207" spans="1:6" x14ac:dyDescent="0.35">
      <c r="A207" s="1">
        <v>2031</v>
      </c>
      <c r="B207" s="1">
        <v>28.619679467609469</v>
      </c>
      <c r="C207" s="1">
        <v>31.292997352874099</v>
      </c>
      <c r="D207" s="1">
        <v>33.069247854327713</v>
      </c>
      <c r="E207" s="1" t="s">
        <v>142</v>
      </c>
      <c r="F207" s="1">
        <v>2</v>
      </c>
    </row>
    <row r="208" spans="1:6" x14ac:dyDescent="0.35">
      <c r="A208" s="1">
        <v>2032</v>
      </c>
      <c r="B208" s="1">
        <v>27.384172973670911</v>
      </c>
      <c r="C208" s="1">
        <v>30.359393539742179</v>
      </c>
      <c r="D208" s="1">
        <v>32.801010616100413</v>
      </c>
      <c r="E208" s="1" t="s">
        <v>142</v>
      </c>
      <c r="F208" s="1">
        <v>2</v>
      </c>
    </row>
    <row r="209" spans="1:6" x14ac:dyDescent="0.35">
      <c r="A209" s="1">
        <v>2033</v>
      </c>
      <c r="B209" s="1">
        <v>26.041791975904012</v>
      </c>
      <c r="C209" s="1">
        <v>30.387680726305199</v>
      </c>
      <c r="D209" s="1">
        <v>32.509634247851807</v>
      </c>
      <c r="E209" s="1" t="s">
        <v>142</v>
      </c>
      <c r="F209" s="1">
        <v>2</v>
      </c>
    </row>
    <row r="210" spans="1:6" x14ac:dyDescent="0.35">
      <c r="A210" s="1">
        <v>2034</v>
      </c>
      <c r="B210" s="1">
        <v>26.50129124926185</v>
      </c>
      <c r="C210" s="1">
        <v>30.3831030981911</v>
      </c>
      <c r="D210" s="1">
        <v>32.227869206468426</v>
      </c>
      <c r="E210" s="1" t="s">
        <v>142</v>
      </c>
      <c r="F210" s="1">
        <v>2</v>
      </c>
    </row>
    <row r="211" spans="1:6" x14ac:dyDescent="0.35">
      <c r="A211" s="1">
        <v>2035</v>
      </c>
      <c r="B211" s="1">
        <v>37.682298725419983</v>
      </c>
      <c r="C211" s="1">
        <v>50.09326834786264</v>
      </c>
      <c r="D211" s="1">
        <v>53.134773470046163</v>
      </c>
      <c r="E211" s="1" t="s">
        <v>142</v>
      </c>
      <c r="F211" s="1">
        <v>2</v>
      </c>
    </row>
    <row r="212" spans="1:6" x14ac:dyDescent="0.35">
      <c r="A212" s="1">
        <v>2036</v>
      </c>
      <c r="B212" s="1">
        <v>36.130600830021137</v>
      </c>
      <c r="C212" s="1">
        <v>44.384438112097357</v>
      </c>
      <c r="D212" s="1">
        <v>51.539872692882938</v>
      </c>
      <c r="E212" s="1" t="s">
        <v>142</v>
      </c>
      <c r="F212" s="1">
        <v>2</v>
      </c>
    </row>
    <row r="213" spans="1:6" x14ac:dyDescent="0.35">
      <c r="A213" s="1">
        <v>2037</v>
      </c>
      <c r="B213" s="1">
        <v>36.332260227293268</v>
      </c>
      <c r="C213" s="1">
        <v>44.676790912804258</v>
      </c>
      <c r="D213" s="1">
        <v>53.542978206471048</v>
      </c>
      <c r="E213" s="1" t="s">
        <v>142</v>
      </c>
      <c r="F213" s="1">
        <v>2</v>
      </c>
    </row>
    <row r="214" spans="1:6" x14ac:dyDescent="0.35">
      <c r="A214" s="1">
        <v>2038</v>
      </c>
      <c r="B214" s="1">
        <v>35.092976913027691</v>
      </c>
      <c r="C214" s="1">
        <v>43.716492045851801</v>
      </c>
      <c r="D214" s="1">
        <v>52.550030504057638</v>
      </c>
      <c r="E214" s="1" t="s">
        <v>142</v>
      </c>
      <c r="F214" s="1">
        <v>2</v>
      </c>
    </row>
    <row r="215" spans="1:6" x14ac:dyDescent="0.35">
      <c r="A215" s="1">
        <v>2039</v>
      </c>
      <c r="B215" s="1">
        <v>34.24068297492741</v>
      </c>
      <c r="C215" s="1">
        <v>45.128810579732821</v>
      </c>
      <c r="D215" s="1">
        <v>53.106735315121412</v>
      </c>
      <c r="E215" s="1" t="s">
        <v>142</v>
      </c>
      <c r="F215" s="1">
        <v>2</v>
      </c>
    </row>
    <row r="216" spans="1:6" x14ac:dyDescent="0.35">
      <c r="A216" s="1">
        <v>2040</v>
      </c>
      <c r="B216" s="1">
        <v>33.325088910743013</v>
      </c>
      <c r="C216" s="1">
        <v>46.527461872086732</v>
      </c>
      <c r="D216" s="1">
        <v>52.892713531307798</v>
      </c>
      <c r="E216" s="1" t="s">
        <v>142</v>
      </c>
      <c r="F216" s="1">
        <v>2</v>
      </c>
    </row>
    <row r="217" spans="1:6" x14ac:dyDescent="0.35">
      <c r="A217" s="1">
        <v>2041</v>
      </c>
      <c r="B217" s="1">
        <v>48.729629305598628</v>
      </c>
      <c r="C217" s="1">
        <v>65.426974619234969</v>
      </c>
      <c r="D217" s="1">
        <v>81.051388885999998</v>
      </c>
      <c r="E217" s="1" t="s">
        <v>142</v>
      </c>
      <c r="F217" s="1">
        <v>2</v>
      </c>
    </row>
    <row r="218" spans="1:6" x14ac:dyDescent="0.35">
      <c r="A218" s="1">
        <v>2042</v>
      </c>
      <c r="B218" s="1">
        <v>41.951400516341067</v>
      </c>
      <c r="C218" s="1">
        <v>58.736023251511099</v>
      </c>
      <c r="D218" s="1">
        <v>73.100846684355716</v>
      </c>
      <c r="E218" s="1" t="s">
        <v>142</v>
      </c>
      <c r="F218" s="1">
        <v>2</v>
      </c>
    </row>
    <row r="219" spans="1:6" x14ac:dyDescent="0.35">
      <c r="A219" s="1">
        <v>2043</v>
      </c>
      <c r="B219" s="1">
        <v>41.499276975066337</v>
      </c>
      <c r="C219" s="1">
        <v>58.715875820716938</v>
      </c>
      <c r="D219" s="1">
        <v>76.980543013070417</v>
      </c>
      <c r="E219" s="1" t="s">
        <v>142</v>
      </c>
      <c r="F219" s="1">
        <v>2</v>
      </c>
    </row>
    <row r="220" spans="1:6" x14ac:dyDescent="0.35">
      <c r="A220" s="1">
        <v>2044</v>
      </c>
      <c r="B220" s="1">
        <v>40.538409104998699</v>
      </c>
      <c r="C220" s="1">
        <v>58.759716455384549</v>
      </c>
      <c r="D220" s="1">
        <v>76.234858345217916</v>
      </c>
      <c r="E220" s="1" t="s">
        <v>142</v>
      </c>
      <c r="F220" s="1">
        <v>2</v>
      </c>
    </row>
    <row r="221" spans="1:6" x14ac:dyDescent="0.35">
      <c r="A221" s="1">
        <v>2045</v>
      </c>
      <c r="B221" s="1">
        <v>43.706809995784937</v>
      </c>
      <c r="C221" s="1">
        <v>57.92893654955337</v>
      </c>
      <c r="D221" s="1">
        <v>71.473108315457083</v>
      </c>
      <c r="E221" s="1" t="s">
        <v>142</v>
      </c>
      <c r="F221" s="1">
        <v>2</v>
      </c>
    </row>
    <row r="222" spans="1:6" x14ac:dyDescent="0.35">
      <c r="A222" s="1">
        <v>2046</v>
      </c>
      <c r="B222" s="1">
        <v>41.70399985361302</v>
      </c>
      <c r="C222" s="1">
        <v>56.104896728311722</v>
      </c>
      <c r="D222" s="1">
        <v>74.493143307018855</v>
      </c>
      <c r="E222" s="1" t="s">
        <v>142</v>
      </c>
      <c r="F222" s="1">
        <v>2</v>
      </c>
    </row>
    <row r="223" spans="1:6" x14ac:dyDescent="0.35">
      <c r="A223" s="1">
        <v>2047</v>
      </c>
      <c r="B223" s="1">
        <v>41.415147959130373</v>
      </c>
      <c r="C223" s="1">
        <v>57.922865337615796</v>
      </c>
      <c r="D223" s="1">
        <v>74.608906996750065</v>
      </c>
      <c r="E223" s="1" t="s">
        <v>142</v>
      </c>
      <c r="F223" s="1">
        <v>2</v>
      </c>
    </row>
    <row r="224" spans="1:6" x14ac:dyDescent="0.35">
      <c r="A224" s="1">
        <v>2048</v>
      </c>
      <c r="B224" s="1">
        <v>41.298056908783501</v>
      </c>
      <c r="C224" s="1">
        <v>58.213949277177569</v>
      </c>
      <c r="D224" s="1">
        <v>74.989784636759978</v>
      </c>
      <c r="E224" s="1" t="s">
        <v>142</v>
      </c>
      <c r="F224" s="1">
        <v>2</v>
      </c>
    </row>
    <row r="225" spans="1:6" x14ac:dyDescent="0.35">
      <c r="A225" s="1">
        <v>2049</v>
      </c>
      <c r="B225" s="1">
        <v>42.754131759074077</v>
      </c>
      <c r="C225" s="1">
        <v>57.220026306604233</v>
      </c>
      <c r="D225" s="1">
        <v>76.655107160111044</v>
      </c>
      <c r="E225" s="1" t="s">
        <v>142</v>
      </c>
      <c r="F225" s="1">
        <v>2</v>
      </c>
    </row>
    <row r="226" spans="1:6" x14ac:dyDescent="0.35">
      <c r="A226" s="1">
        <v>2050</v>
      </c>
      <c r="B226" s="1">
        <v>43.562762480235932</v>
      </c>
      <c r="C226" s="1">
        <v>56.59023110363259</v>
      </c>
      <c r="D226" s="1">
        <v>75.86142714686612</v>
      </c>
      <c r="E226" s="1" t="s">
        <v>142</v>
      </c>
      <c r="F226" s="1">
        <v>2</v>
      </c>
    </row>
    <row r="227" spans="1:6" x14ac:dyDescent="0.35">
      <c r="A227" s="1">
        <v>2026</v>
      </c>
      <c r="B227" s="1">
        <v>29.225126058029911</v>
      </c>
      <c r="C227" s="1">
        <v>32.073678150813642</v>
      </c>
      <c r="D227" s="1">
        <v>31.86243671574892</v>
      </c>
      <c r="E227" s="1" t="s">
        <v>143</v>
      </c>
      <c r="F227" s="1">
        <v>2</v>
      </c>
    </row>
    <row r="228" spans="1:6" x14ac:dyDescent="0.35">
      <c r="A228" s="1">
        <v>2027</v>
      </c>
      <c r="B228" s="1">
        <v>29.249538594736659</v>
      </c>
      <c r="C228" s="1">
        <v>31.981756850755179</v>
      </c>
      <c r="D228" s="1">
        <v>33.186217278333473</v>
      </c>
      <c r="E228" s="1" t="s">
        <v>143</v>
      </c>
      <c r="F228" s="1">
        <v>2</v>
      </c>
    </row>
    <row r="229" spans="1:6" x14ac:dyDescent="0.35">
      <c r="A229" s="1">
        <v>2028</v>
      </c>
      <c r="B229" s="1">
        <v>29.58705523242735</v>
      </c>
      <c r="C229" s="1">
        <v>31.461561571440029</v>
      </c>
      <c r="D229" s="1">
        <v>32.010810713470569</v>
      </c>
      <c r="E229" s="1" t="s">
        <v>143</v>
      </c>
      <c r="F229" s="1">
        <v>2</v>
      </c>
    </row>
    <row r="230" spans="1:6" x14ac:dyDescent="0.35">
      <c r="A230" s="1">
        <v>2029</v>
      </c>
      <c r="B230" s="1">
        <v>29.532782350076349</v>
      </c>
      <c r="C230" s="1">
        <v>30.922067551847238</v>
      </c>
      <c r="D230" s="1">
        <v>32.553826905045149</v>
      </c>
      <c r="E230" s="1" t="s">
        <v>143</v>
      </c>
      <c r="F230" s="1">
        <v>2</v>
      </c>
    </row>
    <row r="231" spans="1:6" x14ac:dyDescent="0.35">
      <c r="A231" s="1">
        <v>2030</v>
      </c>
      <c r="B231" s="1">
        <v>30.136681472589149</v>
      </c>
      <c r="C231" s="1">
        <v>30.216264783864681</v>
      </c>
      <c r="D231" s="1">
        <v>35.10101372090736</v>
      </c>
      <c r="E231" s="1" t="s">
        <v>143</v>
      </c>
      <c r="F231" s="1">
        <v>2</v>
      </c>
    </row>
    <row r="232" spans="1:6" x14ac:dyDescent="0.35">
      <c r="A232" s="1">
        <v>2031</v>
      </c>
      <c r="B232" s="1">
        <v>29.308352926452649</v>
      </c>
      <c r="C232" s="1">
        <v>30.243555057349031</v>
      </c>
      <c r="D232" s="1">
        <v>35.172310481155947</v>
      </c>
      <c r="E232" s="1" t="s">
        <v>143</v>
      </c>
      <c r="F232" s="1">
        <v>2</v>
      </c>
    </row>
    <row r="233" spans="1:6" x14ac:dyDescent="0.35">
      <c r="A233" s="1">
        <v>2032</v>
      </c>
      <c r="B233" s="1">
        <v>28.39756586049435</v>
      </c>
      <c r="C233" s="1">
        <v>30.90700631285566</v>
      </c>
      <c r="D233" s="1">
        <v>34.791967059388952</v>
      </c>
      <c r="E233" s="1" t="s">
        <v>143</v>
      </c>
      <c r="F233" s="1">
        <v>2</v>
      </c>
    </row>
    <row r="234" spans="1:6" x14ac:dyDescent="0.35">
      <c r="A234" s="1">
        <v>2033</v>
      </c>
      <c r="B234" s="1">
        <v>27.876726023893792</v>
      </c>
      <c r="C234" s="1">
        <v>31.48133989309579</v>
      </c>
      <c r="D234" s="1">
        <v>34.743671230295753</v>
      </c>
      <c r="E234" s="1" t="s">
        <v>143</v>
      </c>
      <c r="F234" s="1">
        <v>2</v>
      </c>
    </row>
    <row r="235" spans="1:6" x14ac:dyDescent="0.35">
      <c r="A235" s="1">
        <v>2034</v>
      </c>
      <c r="B235" s="1">
        <v>28.08933272734415</v>
      </c>
      <c r="C235" s="1">
        <v>32.667384422969029</v>
      </c>
      <c r="D235" s="1">
        <v>34.377548172466568</v>
      </c>
      <c r="E235" s="1" t="s">
        <v>143</v>
      </c>
      <c r="F235" s="1">
        <v>2</v>
      </c>
    </row>
    <row r="236" spans="1:6" x14ac:dyDescent="0.35">
      <c r="A236" s="1">
        <v>2035</v>
      </c>
      <c r="B236" s="1">
        <v>27.471575930030841</v>
      </c>
      <c r="C236" s="1">
        <v>31.271760276769388</v>
      </c>
      <c r="D236" s="1">
        <v>34.943689120726653</v>
      </c>
      <c r="E236" s="1" t="s">
        <v>143</v>
      </c>
      <c r="F236" s="1">
        <v>2</v>
      </c>
    </row>
    <row r="237" spans="1:6" x14ac:dyDescent="0.35">
      <c r="A237" s="1">
        <v>2036</v>
      </c>
      <c r="B237" s="1">
        <v>28.415446178368079</v>
      </c>
      <c r="C237" s="1">
        <v>31.363358232332761</v>
      </c>
      <c r="D237" s="1">
        <v>36.191518679487253</v>
      </c>
      <c r="E237" s="1" t="s">
        <v>143</v>
      </c>
      <c r="F237" s="1">
        <v>2</v>
      </c>
    </row>
    <row r="238" spans="1:6" x14ac:dyDescent="0.35">
      <c r="A238" s="1">
        <v>2037</v>
      </c>
      <c r="B238" s="1">
        <v>28.327281387642479</v>
      </c>
      <c r="C238" s="1">
        <v>30.090973631754729</v>
      </c>
      <c r="D238" s="1">
        <v>35.538477652061793</v>
      </c>
      <c r="E238" s="1" t="s">
        <v>143</v>
      </c>
      <c r="F238" s="1">
        <v>2</v>
      </c>
    </row>
    <row r="239" spans="1:6" x14ac:dyDescent="0.35">
      <c r="A239" s="1">
        <v>2038</v>
      </c>
      <c r="B239" s="1">
        <v>26.97416937041065</v>
      </c>
      <c r="C239" s="1">
        <v>30.723870139185362</v>
      </c>
      <c r="D239" s="1">
        <v>36.477711228852307</v>
      </c>
      <c r="E239" s="1" t="s">
        <v>143</v>
      </c>
      <c r="F239" s="1">
        <v>2</v>
      </c>
    </row>
    <row r="240" spans="1:6" x14ac:dyDescent="0.35">
      <c r="A240" s="1">
        <v>2039</v>
      </c>
      <c r="B240" s="1">
        <v>25.314249902279421</v>
      </c>
      <c r="C240" s="1">
        <v>30.887214749916371</v>
      </c>
      <c r="D240" s="1">
        <v>35.400626261475097</v>
      </c>
      <c r="E240" s="1" t="s">
        <v>143</v>
      </c>
      <c r="F240" s="1">
        <v>2</v>
      </c>
    </row>
    <row r="241" spans="1:6" x14ac:dyDescent="0.35">
      <c r="A241" s="1">
        <v>2040</v>
      </c>
      <c r="B241" s="1">
        <v>25.927854787264991</v>
      </c>
      <c r="C241" s="1">
        <v>30.54629282236391</v>
      </c>
      <c r="D241" s="1">
        <v>35.201198574030393</v>
      </c>
      <c r="E241" s="1" t="s">
        <v>143</v>
      </c>
      <c r="F241" s="1">
        <v>2</v>
      </c>
    </row>
    <row r="242" spans="1:6" x14ac:dyDescent="0.35">
      <c r="A242" s="1">
        <v>2041</v>
      </c>
      <c r="B242" s="1">
        <v>25.30887932482722</v>
      </c>
      <c r="C242" s="1">
        <v>29.538039841083219</v>
      </c>
      <c r="D242" s="1">
        <v>34.799231510920443</v>
      </c>
      <c r="E242" s="1" t="s">
        <v>143</v>
      </c>
      <c r="F242" s="1">
        <v>2</v>
      </c>
    </row>
    <row r="243" spans="1:6" x14ac:dyDescent="0.35">
      <c r="A243" s="1">
        <v>2042</v>
      </c>
      <c r="B243" s="1">
        <v>41.727287680425327</v>
      </c>
      <c r="C243" s="1">
        <v>48.699994580781727</v>
      </c>
      <c r="D243" s="1">
        <v>57.37423319607268</v>
      </c>
      <c r="E243" s="1" t="s">
        <v>143</v>
      </c>
      <c r="F243" s="1">
        <v>2</v>
      </c>
    </row>
    <row r="244" spans="1:6" x14ac:dyDescent="0.35">
      <c r="A244" s="1">
        <v>2043</v>
      </c>
      <c r="B244" s="1">
        <v>32.345448965877772</v>
      </c>
      <c r="C244" s="1">
        <v>45.491207473188233</v>
      </c>
      <c r="D244" s="1">
        <v>52.690453731456458</v>
      </c>
      <c r="E244" s="1" t="s">
        <v>143</v>
      </c>
      <c r="F244" s="1">
        <v>2</v>
      </c>
    </row>
    <row r="245" spans="1:6" x14ac:dyDescent="0.35">
      <c r="A245" s="1">
        <v>2044</v>
      </c>
      <c r="B245" s="1">
        <v>33.254526644524717</v>
      </c>
      <c r="C245" s="1">
        <v>44.002376582943228</v>
      </c>
      <c r="D245" s="1">
        <v>52.855405547297629</v>
      </c>
      <c r="E245" s="1" t="s">
        <v>143</v>
      </c>
      <c r="F245" s="1">
        <v>2</v>
      </c>
    </row>
    <row r="246" spans="1:6" x14ac:dyDescent="0.35">
      <c r="A246" s="1">
        <v>2045</v>
      </c>
      <c r="B246" s="1">
        <v>33.399660772291242</v>
      </c>
      <c r="C246" s="1">
        <v>44.467000963984972</v>
      </c>
      <c r="D246" s="1">
        <v>52.516035105923649</v>
      </c>
      <c r="E246" s="1" t="s">
        <v>143</v>
      </c>
      <c r="F246" s="1">
        <v>2</v>
      </c>
    </row>
    <row r="247" spans="1:6" x14ac:dyDescent="0.35">
      <c r="A247" s="1">
        <v>2046</v>
      </c>
      <c r="B247" s="1">
        <v>32.628553426489113</v>
      </c>
      <c r="C247" s="1">
        <v>44.311141946650316</v>
      </c>
      <c r="D247" s="1">
        <v>52.80800360749835</v>
      </c>
      <c r="E247" s="1" t="s">
        <v>143</v>
      </c>
      <c r="F247" s="1">
        <v>2</v>
      </c>
    </row>
    <row r="248" spans="1:6" x14ac:dyDescent="0.35">
      <c r="A248" s="1">
        <v>2047</v>
      </c>
      <c r="B248" s="1">
        <v>31.71725406496029</v>
      </c>
      <c r="C248" s="1">
        <v>43.427130936959507</v>
      </c>
      <c r="D248" s="1">
        <v>53.970899530685863</v>
      </c>
      <c r="E248" s="1" t="s">
        <v>143</v>
      </c>
      <c r="F248" s="1">
        <v>2</v>
      </c>
    </row>
    <row r="249" spans="1:6" x14ac:dyDescent="0.35">
      <c r="A249" s="1">
        <v>2048</v>
      </c>
      <c r="B249" s="1">
        <v>32.585708687619487</v>
      </c>
      <c r="C249" s="1">
        <v>43.85698674897845</v>
      </c>
      <c r="D249" s="1">
        <v>55.396318063234418</v>
      </c>
      <c r="E249" s="1" t="s">
        <v>143</v>
      </c>
      <c r="F249" s="1">
        <v>2</v>
      </c>
    </row>
    <row r="250" spans="1:6" x14ac:dyDescent="0.35">
      <c r="A250" s="1">
        <v>2049</v>
      </c>
      <c r="B250" s="1">
        <v>31.052786022189469</v>
      </c>
      <c r="C250" s="1">
        <v>42.102563051284903</v>
      </c>
      <c r="D250" s="1">
        <v>53.246072330564971</v>
      </c>
      <c r="E250" s="1" t="s">
        <v>143</v>
      </c>
      <c r="F250" s="1">
        <v>2</v>
      </c>
    </row>
    <row r="251" spans="1:6" x14ac:dyDescent="0.35">
      <c r="A251" s="1">
        <v>2050</v>
      </c>
      <c r="B251" s="1">
        <v>45.461303649893473</v>
      </c>
      <c r="C251" s="1">
        <v>67.2872951490492</v>
      </c>
      <c r="D251" s="1">
        <v>81.051388885999998</v>
      </c>
      <c r="E251" s="1" t="s">
        <v>143</v>
      </c>
      <c r="F251" s="1">
        <v>2</v>
      </c>
    </row>
    <row r="252" spans="1:6" x14ac:dyDescent="0.35">
      <c r="A252" s="1">
        <v>2026</v>
      </c>
      <c r="B252" s="1">
        <v>29.65092829924329</v>
      </c>
      <c r="C252" s="1">
        <v>30.06035434461943</v>
      </c>
      <c r="D252" s="1">
        <v>32.001362835626523</v>
      </c>
      <c r="E252" s="1" t="s">
        <v>144</v>
      </c>
      <c r="F252" s="1">
        <v>3</v>
      </c>
    </row>
    <row r="253" spans="1:6" x14ac:dyDescent="0.35">
      <c r="A253" s="1">
        <v>2027</v>
      </c>
      <c r="B253" s="1">
        <v>30.156182444972259</v>
      </c>
      <c r="C253" s="1">
        <v>29.945061770809119</v>
      </c>
      <c r="D253" s="1">
        <v>31.960011591245209</v>
      </c>
      <c r="E253" s="1" t="s">
        <v>144</v>
      </c>
      <c r="F253" s="1">
        <v>3</v>
      </c>
    </row>
    <row r="254" spans="1:6" x14ac:dyDescent="0.35">
      <c r="A254" s="1">
        <v>2028</v>
      </c>
      <c r="B254" s="1">
        <v>30.5389055131226</v>
      </c>
      <c r="C254" s="1">
        <v>30.04992412947399</v>
      </c>
      <c r="D254" s="1">
        <v>32.727255584114459</v>
      </c>
      <c r="E254" s="1" t="s">
        <v>144</v>
      </c>
      <c r="F254" s="1">
        <v>3</v>
      </c>
    </row>
    <row r="255" spans="1:6" x14ac:dyDescent="0.35">
      <c r="A255" s="1">
        <v>2029</v>
      </c>
      <c r="B255" s="1">
        <v>29.10647587329467</v>
      </c>
      <c r="C255" s="1">
        <v>30.305383459593049</v>
      </c>
      <c r="D255" s="1">
        <v>34.423772883404048</v>
      </c>
      <c r="E255" s="1" t="s">
        <v>144</v>
      </c>
      <c r="F255" s="1">
        <v>3</v>
      </c>
    </row>
    <row r="256" spans="1:6" x14ac:dyDescent="0.35">
      <c r="A256" s="1">
        <v>2030</v>
      </c>
      <c r="B256" s="1">
        <v>29.663899133950931</v>
      </c>
      <c r="C256" s="1">
        <v>30.850867905635941</v>
      </c>
      <c r="D256" s="1">
        <v>33.23895940209146</v>
      </c>
      <c r="E256" s="1" t="s">
        <v>144</v>
      </c>
      <c r="F256" s="1">
        <v>3</v>
      </c>
    </row>
    <row r="257" spans="1:6" x14ac:dyDescent="0.35">
      <c r="A257" s="1">
        <v>2031</v>
      </c>
      <c r="B257" s="1">
        <v>28.621803102283089</v>
      </c>
      <c r="C257" s="1">
        <v>29.899767193118102</v>
      </c>
      <c r="D257" s="1">
        <v>35.724541194655323</v>
      </c>
      <c r="E257" s="1" t="s">
        <v>144</v>
      </c>
      <c r="F257" s="1">
        <v>3</v>
      </c>
    </row>
    <row r="258" spans="1:6" x14ac:dyDescent="0.35">
      <c r="A258" s="1">
        <v>2032</v>
      </c>
      <c r="B258" s="1">
        <v>27.58072893808253</v>
      </c>
      <c r="C258" s="1">
        <v>30.145845372668571</v>
      </c>
      <c r="D258" s="1">
        <v>35.530428175242648</v>
      </c>
      <c r="E258" s="1" t="s">
        <v>144</v>
      </c>
      <c r="F258" s="1">
        <v>3</v>
      </c>
    </row>
    <row r="259" spans="1:6" x14ac:dyDescent="0.35">
      <c r="A259" s="1">
        <v>2033</v>
      </c>
      <c r="B259" s="1">
        <v>29.086855780444861</v>
      </c>
      <c r="C259" s="1">
        <v>31.084234480872048</v>
      </c>
      <c r="D259" s="1">
        <v>35.079660350652247</v>
      </c>
      <c r="E259" s="1" t="s">
        <v>144</v>
      </c>
      <c r="F259" s="1">
        <v>3</v>
      </c>
    </row>
    <row r="260" spans="1:6" x14ac:dyDescent="0.35">
      <c r="A260" s="1">
        <v>2034</v>
      </c>
      <c r="B260" s="1">
        <v>28.123814990654761</v>
      </c>
      <c r="C260" s="1">
        <v>30.7086968526297</v>
      </c>
      <c r="D260" s="1">
        <v>35.615426577413722</v>
      </c>
      <c r="E260" s="1" t="s">
        <v>144</v>
      </c>
      <c r="F260" s="1">
        <v>3</v>
      </c>
    </row>
    <row r="261" spans="1:6" x14ac:dyDescent="0.35">
      <c r="A261" s="1">
        <v>2035</v>
      </c>
      <c r="B261" s="1">
        <v>26.331782758937109</v>
      </c>
      <c r="C261" s="1">
        <v>30.670608968625022</v>
      </c>
      <c r="D261" s="1">
        <v>35.570708530290112</v>
      </c>
      <c r="E261" s="1" t="s">
        <v>144</v>
      </c>
      <c r="F261" s="1">
        <v>3</v>
      </c>
    </row>
    <row r="262" spans="1:6" x14ac:dyDescent="0.35">
      <c r="A262" s="1">
        <v>2036</v>
      </c>
      <c r="B262" s="1">
        <v>25.93004915316607</v>
      </c>
      <c r="C262" s="1">
        <v>29.974926051005252</v>
      </c>
      <c r="D262" s="1">
        <v>36.9442859483853</v>
      </c>
      <c r="E262" s="1" t="s">
        <v>144</v>
      </c>
      <c r="F262" s="1">
        <v>3</v>
      </c>
    </row>
    <row r="263" spans="1:6" x14ac:dyDescent="0.35">
      <c r="A263" s="1">
        <v>2037</v>
      </c>
      <c r="B263" s="1">
        <v>39.0510819084028</v>
      </c>
      <c r="C263" s="1">
        <v>49.420298167955757</v>
      </c>
      <c r="D263" s="1">
        <v>51.951382166055417</v>
      </c>
      <c r="E263" s="1" t="s">
        <v>144</v>
      </c>
      <c r="F263" s="1">
        <v>3</v>
      </c>
    </row>
    <row r="264" spans="1:6" x14ac:dyDescent="0.35">
      <c r="A264" s="1">
        <v>2038</v>
      </c>
      <c r="B264" s="1">
        <v>34.697783352174348</v>
      </c>
      <c r="C264" s="1">
        <v>44.77898254600936</v>
      </c>
      <c r="D264" s="1">
        <v>54.523670713190192</v>
      </c>
      <c r="E264" s="1" t="s">
        <v>144</v>
      </c>
      <c r="F264" s="1">
        <v>3</v>
      </c>
    </row>
    <row r="265" spans="1:6" x14ac:dyDescent="0.35">
      <c r="A265" s="1">
        <v>2039</v>
      </c>
      <c r="B265" s="1">
        <v>46.753638916503753</v>
      </c>
      <c r="C265" s="1">
        <v>68.324218791690825</v>
      </c>
      <c r="D265" s="1">
        <v>81.051388885999998</v>
      </c>
      <c r="E265" s="1" t="s">
        <v>144</v>
      </c>
      <c r="F265" s="1">
        <v>3</v>
      </c>
    </row>
    <row r="266" spans="1:6" x14ac:dyDescent="0.35">
      <c r="A266" s="1">
        <v>2040</v>
      </c>
      <c r="B266" s="1">
        <v>40.382530042155743</v>
      </c>
      <c r="C266" s="1">
        <v>58.101041817077373</v>
      </c>
      <c r="D266" s="1">
        <v>72.149803388964941</v>
      </c>
      <c r="E266" s="1" t="s">
        <v>144</v>
      </c>
      <c r="F266" s="1">
        <v>3</v>
      </c>
    </row>
    <row r="267" spans="1:6" x14ac:dyDescent="0.35">
      <c r="A267" s="1">
        <v>2041</v>
      </c>
      <c r="B267" s="1">
        <v>58.075556785279012</v>
      </c>
      <c r="C267" s="1">
        <v>79.768954394270054</v>
      </c>
      <c r="D267" s="1">
        <v>81.051388885999998</v>
      </c>
      <c r="E267" s="1" t="s">
        <v>144</v>
      </c>
      <c r="F267" s="1">
        <v>3</v>
      </c>
    </row>
    <row r="268" spans="1:6" x14ac:dyDescent="0.35">
      <c r="A268" s="1">
        <v>2042</v>
      </c>
      <c r="B268" s="1">
        <v>49.405759231416837</v>
      </c>
      <c r="C268" s="1">
        <v>64.71721412395199</v>
      </c>
      <c r="D268" s="1">
        <v>81.051388885999998</v>
      </c>
      <c r="E268" s="1" t="s">
        <v>144</v>
      </c>
      <c r="F268" s="1">
        <v>3</v>
      </c>
    </row>
    <row r="269" spans="1:6" x14ac:dyDescent="0.35">
      <c r="A269" s="1">
        <v>2043</v>
      </c>
      <c r="B269" s="1">
        <v>50.745379617008012</v>
      </c>
      <c r="C269" s="1">
        <v>65.386213871711632</v>
      </c>
      <c r="D269" s="1">
        <v>81.051388885999998</v>
      </c>
      <c r="E269" s="1" t="s">
        <v>144</v>
      </c>
      <c r="F269" s="1">
        <v>3</v>
      </c>
    </row>
    <row r="270" spans="1:6" x14ac:dyDescent="0.35">
      <c r="A270" s="1">
        <v>2044</v>
      </c>
      <c r="B270" s="1">
        <v>50.94184952589454</v>
      </c>
      <c r="C270" s="1">
        <v>64.302413226278972</v>
      </c>
      <c r="D270" s="1">
        <v>80.763447374143013</v>
      </c>
      <c r="E270" s="1" t="s">
        <v>144</v>
      </c>
      <c r="F270" s="1">
        <v>3</v>
      </c>
    </row>
    <row r="271" spans="1:6" x14ac:dyDescent="0.35">
      <c r="A271" s="1">
        <v>2045</v>
      </c>
      <c r="B271" s="1">
        <v>50.83229523325879</v>
      </c>
      <c r="C271" s="1">
        <v>68.165303868489843</v>
      </c>
      <c r="D271" s="1">
        <v>78.245105832354497</v>
      </c>
      <c r="E271" s="1" t="s">
        <v>144</v>
      </c>
      <c r="F271" s="1">
        <v>3</v>
      </c>
    </row>
    <row r="272" spans="1:6" x14ac:dyDescent="0.35">
      <c r="A272" s="1">
        <v>2046</v>
      </c>
      <c r="B272" s="1">
        <v>49.978388529625803</v>
      </c>
      <c r="C272" s="1">
        <v>66.496280190159553</v>
      </c>
      <c r="D272" s="1">
        <v>78.896601953773725</v>
      </c>
      <c r="E272" s="1" t="s">
        <v>144</v>
      </c>
      <c r="F272" s="1">
        <v>3</v>
      </c>
    </row>
    <row r="273" spans="1:6" x14ac:dyDescent="0.35">
      <c r="A273" s="1">
        <v>2047</v>
      </c>
      <c r="B273" s="1">
        <v>51.587615911836501</v>
      </c>
      <c r="C273" s="1">
        <v>68.104062028413054</v>
      </c>
      <c r="D273" s="1">
        <v>79.219877964826452</v>
      </c>
      <c r="E273" s="1" t="s">
        <v>144</v>
      </c>
      <c r="F273" s="1">
        <v>3</v>
      </c>
    </row>
    <row r="274" spans="1:6" x14ac:dyDescent="0.35">
      <c r="A274" s="1">
        <v>2048</v>
      </c>
      <c r="B274" s="1">
        <v>49.266808661109238</v>
      </c>
      <c r="C274" s="1">
        <v>69.831593659482152</v>
      </c>
      <c r="D274" s="1">
        <v>80.480032742593778</v>
      </c>
      <c r="E274" s="1" t="s">
        <v>144</v>
      </c>
      <c r="F274" s="1">
        <v>3</v>
      </c>
    </row>
    <row r="275" spans="1:6" x14ac:dyDescent="0.35">
      <c r="A275" s="1">
        <v>2049</v>
      </c>
      <c r="B275" s="1">
        <v>49.196089259527717</v>
      </c>
      <c r="C275" s="1">
        <v>71.216810859719715</v>
      </c>
      <c r="D275" s="1">
        <v>79.939212651153724</v>
      </c>
      <c r="E275" s="1" t="s">
        <v>144</v>
      </c>
      <c r="F275" s="1">
        <v>3</v>
      </c>
    </row>
    <row r="276" spans="1:6" x14ac:dyDescent="0.35">
      <c r="A276" s="1">
        <v>2050</v>
      </c>
      <c r="B276" s="1">
        <v>52.160043668511193</v>
      </c>
      <c r="C276" s="1">
        <v>69.230642826453121</v>
      </c>
      <c r="D276" s="1">
        <v>77.514062016691057</v>
      </c>
      <c r="E276" s="1" t="s">
        <v>144</v>
      </c>
      <c r="F276" s="1">
        <v>3</v>
      </c>
    </row>
    <row r="277" spans="1:6" x14ac:dyDescent="0.35">
      <c r="A277" s="1">
        <v>2026</v>
      </c>
      <c r="B277" s="1">
        <v>36.590839265963993</v>
      </c>
      <c r="C277" s="1">
        <v>49.057720037080337</v>
      </c>
      <c r="D277" s="1">
        <v>51.396595721590828</v>
      </c>
      <c r="E277" s="1" t="s">
        <v>145</v>
      </c>
      <c r="F277" s="1">
        <v>3</v>
      </c>
    </row>
    <row r="278" spans="1:6" x14ac:dyDescent="0.35">
      <c r="A278" s="1">
        <v>2027</v>
      </c>
      <c r="B278" s="1">
        <v>32.724455465578949</v>
      </c>
      <c r="C278" s="1">
        <v>41.957171505507212</v>
      </c>
      <c r="D278" s="1">
        <v>50.428197441610472</v>
      </c>
      <c r="E278" s="1" t="s">
        <v>145</v>
      </c>
      <c r="F278" s="1">
        <v>3</v>
      </c>
    </row>
    <row r="279" spans="1:6" x14ac:dyDescent="0.35">
      <c r="A279" s="1">
        <v>2028</v>
      </c>
      <c r="B279" s="1">
        <v>32.309002828859157</v>
      </c>
      <c r="C279" s="1">
        <v>41.72165185898443</v>
      </c>
      <c r="D279" s="1">
        <v>51.973013244342503</v>
      </c>
      <c r="E279" s="1" t="s">
        <v>145</v>
      </c>
      <c r="F279" s="1">
        <v>3</v>
      </c>
    </row>
    <row r="280" spans="1:6" x14ac:dyDescent="0.35">
      <c r="A280" s="1">
        <v>2029</v>
      </c>
      <c r="B280" s="1">
        <v>32.062214000084317</v>
      </c>
      <c r="C280" s="1">
        <v>42.748356481322453</v>
      </c>
      <c r="D280" s="1">
        <v>52.714012683105359</v>
      </c>
      <c r="E280" s="1" t="s">
        <v>145</v>
      </c>
      <c r="F280" s="1">
        <v>3</v>
      </c>
    </row>
    <row r="281" spans="1:6" x14ac:dyDescent="0.35">
      <c r="A281" s="1">
        <v>2030</v>
      </c>
      <c r="B281" s="1">
        <v>31.769440518314092</v>
      </c>
      <c r="C281" s="1">
        <v>42.143629942578812</v>
      </c>
      <c r="D281" s="1">
        <v>52.2006485431261</v>
      </c>
      <c r="E281" s="1" t="s">
        <v>145</v>
      </c>
      <c r="F281" s="1">
        <v>3</v>
      </c>
    </row>
    <row r="282" spans="1:6" x14ac:dyDescent="0.35">
      <c r="A282" s="1">
        <v>2031</v>
      </c>
      <c r="B282" s="1">
        <v>51.727585873667628</v>
      </c>
      <c r="C282" s="1">
        <v>64.510726498401482</v>
      </c>
      <c r="D282" s="1">
        <v>80.267688864728129</v>
      </c>
      <c r="E282" s="1" t="s">
        <v>145</v>
      </c>
      <c r="F282" s="1">
        <v>3</v>
      </c>
    </row>
    <row r="283" spans="1:6" x14ac:dyDescent="0.35">
      <c r="A283" s="1">
        <v>2032</v>
      </c>
      <c r="B283" s="1">
        <v>45.948957465145497</v>
      </c>
      <c r="C283" s="1">
        <v>56.172948355023571</v>
      </c>
      <c r="D283" s="1">
        <v>69.139211952233779</v>
      </c>
      <c r="E283" s="1" t="s">
        <v>145</v>
      </c>
      <c r="F283" s="1">
        <v>3</v>
      </c>
    </row>
    <row r="284" spans="1:6" x14ac:dyDescent="0.35">
      <c r="A284" s="1">
        <v>2033</v>
      </c>
      <c r="B284" s="1">
        <v>44.321258467846107</v>
      </c>
      <c r="C284" s="1">
        <v>56.086953760194348</v>
      </c>
      <c r="D284" s="1">
        <v>72.27543232611896</v>
      </c>
      <c r="E284" s="1" t="s">
        <v>145</v>
      </c>
      <c r="F284" s="1">
        <v>3</v>
      </c>
    </row>
    <row r="285" spans="1:6" x14ac:dyDescent="0.35">
      <c r="A285" s="1">
        <v>2034</v>
      </c>
      <c r="B285" s="1">
        <v>44.0792185194179</v>
      </c>
      <c r="C285" s="1">
        <v>58.13910296550069</v>
      </c>
      <c r="D285" s="1">
        <v>75.148464766110649</v>
      </c>
      <c r="E285" s="1" t="s">
        <v>145</v>
      </c>
      <c r="F285" s="1">
        <v>3</v>
      </c>
    </row>
    <row r="286" spans="1:6" x14ac:dyDescent="0.35">
      <c r="A286" s="1">
        <v>2035</v>
      </c>
      <c r="B286" s="1">
        <v>42.931299583324837</v>
      </c>
      <c r="C286" s="1">
        <v>58.251230838650358</v>
      </c>
      <c r="D286" s="1">
        <v>73.97298056437495</v>
      </c>
      <c r="E286" s="1" t="s">
        <v>145</v>
      </c>
      <c r="F286" s="1">
        <v>3</v>
      </c>
    </row>
    <row r="287" spans="1:6" x14ac:dyDescent="0.35">
      <c r="A287" s="1">
        <v>2036</v>
      </c>
      <c r="B287" s="1">
        <v>42.619151618407969</v>
      </c>
      <c r="C287" s="1">
        <v>58.420319444492307</v>
      </c>
      <c r="D287" s="1">
        <v>72.791468350666563</v>
      </c>
      <c r="E287" s="1" t="s">
        <v>145</v>
      </c>
      <c r="F287" s="1">
        <v>3</v>
      </c>
    </row>
    <row r="288" spans="1:6" x14ac:dyDescent="0.35">
      <c r="A288" s="1">
        <v>2037</v>
      </c>
      <c r="B288" s="1">
        <v>43.489722375457262</v>
      </c>
      <c r="C288" s="1">
        <v>56.239260016568203</v>
      </c>
      <c r="D288" s="1">
        <v>73.790729402003223</v>
      </c>
      <c r="E288" s="1" t="s">
        <v>145</v>
      </c>
      <c r="F288" s="1">
        <v>3</v>
      </c>
    </row>
    <row r="289" spans="1:6" x14ac:dyDescent="0.35">
      <c r="A289" s="1">
        <v>2038</v>
      </c>
      <c r="B289" s="1">
        <v>43.942107659441788</v>
      </c>
      <c r="C289" s="1">
        <v>58.138043688392251</v>
      </c>
      <c r="D289" s="1">
        <v>73.055505239518894</v>
      </c>
      <c r="E289" s="1" t="s">
        <v>145</v>
      </c>
      <c r="F289" s="1">
        <v>3</v>
      </c>
    </row>
    <row r="290" spans="1:6" x14ac:dyDescent="0.35">
      <c r="A290" s="1">
        <v>2039</v>
      </c>
      <c r="B290" s="1">
        <v>43.125500768381372</v>
      </c>
      <c r="C290" s="1">
        <v>57.181720848009718</v>
      </c>
      <c r="D290" s="1">
        <v>71.39350938585936</v>
      </c>
      <c r="E290" s="1" t="s">
        <v>145</v>
      </c>
      <c r="F290" s="1">
        <v>3</v>
      </c>
    </row>
    <row r="291" spans="1:6" x14ac:dyDescent="0.35">
      <c r="A291" s="1">
        <v>2040</v>
      </c>
      <c r="B291" s="1">
        <v>42.859226310317943</v>
      </c>
      <c r="C291" s="1">
        <v>58.674663994255823</v>
      </c>
      <c r="D291" s="1">
        <v>73.472194661593306</v>
      </c>
      <c r="E291" s="1" t="s">
        <v>145</v>
      </c>
      <c r="F291" s="1">
        <v>3</v>
      </c>
    </row>
    <row r="292" spans="1:6" x14ac:dyDescent="0.35">
      <c r="A292" s="1">
        <v>2041</v>
      </c>
      <c r="B292" s="1">
        <v>41.75307142907424</v>
      </c>
      <c r="C292" s="1">
        <v>60.855046148909011</v>
      </c>
      <c r="D292" s="1">
        <v>74.041307192662529</v>
      </c>
      <c r="E292" s="1" t="s">
        <v>145</v>
      </c>
      <c r="F292" s="1">
        <v>3</v>
      </c>
    </row>
    <row r="293" spans="1:6" x14ac:dyDescent="0.35">
      <c r="A293" s="1">
        <v>2042</v>
      </c>
      <c r="B293" s="1">
        <v>57.249433388501899</v>
      </c>
      <c r="C293" s="1">
        <v>81.051388885999998</v>
      </c>
      <c r="D293" s="1">
        <v>81.051388885999998</v>
      </c>
      <c r="E293" s="1" t="s">
        <v>145</v>
      </c>
      <c r="F293" s="1">
        <v>3</v>
      </c>
    </row>
    <row r="294" spans="1:6" x14ac:dyDescent="0.35">
      <c r="A294" s="1">
        <v>2043</v>
      </c>
      <c r="B294" s="1">
        <v>53.343141233260788</v>
      </c>
      <c r="C294" s="1">
        <v>70.334416210765866</v>
      </c>
      <c r="D294" s="1">
        <v>81.051388885999998</v>
      </c>
      <c r="E294" s="1" t="s">
        <v>145</v>
      </c>
      <c r="F294" s="1">
        <v>3</v>
      </c>
    </row>
    <row r="295" spans="1:6" x14ac:dyDescent="0.35">
      <c r="A295" s="1">
        <v>2044</v>
      </c>
      <c r="B295" s="1">
        <v>52.289090312449503</v>
      </c>
      <c r="C295" s="1">
        <v>68.749382676140698</v>
      </c>
      <c r="D295" s="1">
        <v>81.051388885999998</v>
      </c>
      <c r="E295" s="1" t="s">
        <v>145</v>
      </c>
      <c r="F295" s="1">
        <v>3</v>
      </c>
    </row>
    <row r="296" spans="1:6" x14ac:dyDescent="0.35">
      <c r="A296" s="1">
        <v>2045</v>
      </c>
      <c r="B296" s="1">
        <v>52.499207192518121</v>
      </c>
      <c r="C296" s="1">
        <v>66.528220036481827</v>
      </c>
      <c r="D296" s="1">
        <v>81.051388885999998</v>
      </c>
      <c r="E296" s="1" t="s">
        <v>145</v>
      </c>
      <c r="F296" s="1">
        <v>3</v>
      </c>
    </row>
    <row r="297" spans="1:6" x14ac:dyDescent="0.35">
      <c r="A297" s="1">
        <v>2046</v>
      </c>
      <c r="B297" s="1">
        <v>53.752195282995302</v>
      </c>
      <c r="C297" s="1">
        <v>66.025416588463386</v>
      </c>
      <c r="D297" s="1">
        <v>81.051388885999998</v>
      </c>
      <c r="E297" s="1" t="s">
        <v>145</v>
      </c>
      <c r="F297" s="1">
        <v>3</v>
      </c>
    </row>
    <row r="298" spans="1:6" x14ac:dyDescent="0.35">
      <c r="A298" s="1">
        <v>2047</v>
      </c>
      <c r="B298" s="1">
        <v>53.743621612040073</v>
      </c>
      <c r="C298" s="1">
        <v>66.32576691573577</v>
      </c>
      <c r="D298" s="1">
        <v>81.051388885999998</v>
      </c>
      <c r="E298" s="1" t="s">
        <v>145</v>
      </c>
      <c r="F298" s="1">
        <v>3</v>
      </c>
    </row>
    <row r="299" spans="1:6" x14ac:dyDescent="0.35">
      <c r="A299" s="1">
        <v>2048</v>
      </c>
      <c r="B299" s="1">
        <v>52.869573857471231</v>
      </c>
      <c r="C299" s="1">
        <v>67.636246746381545</v>
      </c>
      <c r="D299" s="1">
        <v>81.051388885999998</v>
      </c>
      <c r="E299" s="1" t="s">
        <v>145</v>
      </c>
      <c r="F299" s="1">
        <v>3</v>
      </c>
    </row>
    <row r="300" spans="1:6" x14ac:dyDescent="0.35">
      <c r="A300" s="1">
        <v>2049</v>
      </c>
      <c r="B300" s="1">
        <v>53.756543490090998</v>
      </c>
      <c r="C300" s="1">
        <v>64.568242205894279</v>
      </c>
      <c r="D300" s="1">
        <v>77.778511280323571</v>
      </c>
      <c r="E300" s="1" t="s">
        <v>145</v>
      </c>
      <c r="F300" s="1">
        <v>3</v>
      </c>
    </row>
    <row r="301" spans="1:6" x14ac:dyDescent="0.35">
      <c r="A301" s="1">
        <v>2050</v>
      </c>
      <c r="B301" s="1">
        <v>54.519089875921637</v>
      </c>
      <c r="C301" s="1">
        <v>64.661990888845651</v>
      </c>
      <c r="D301" s="1">
        <v>78.435362874714258</v>
      </c>
      <c r="E301" s="1" t="s">
        <v>145</v>
      </c>
      <c r="F301" s="1">
        <v>3</v>
      </c>
    </row>
    <row r="302" spans="1:6" x14ac:dyDescent="0.35">
      <c r="A302" s="1">
        <v>2026</v>
      </c>
      <c r="B302" s="1">
        <v>31.09855590190935</v>
      </c>
      <c r="C302" s="1">
        <v>31.345128188080011</v>
      </c>
      <c r="D302" s="1">
        <v>30.976618578128232</v>
      </c>
      <c r="E302" s="1" t="s">
        <v>146</v>
      </c>
      <c r="F302" s="1">
        <v>3</v>
      </c>
    </row>
    <row r="303" spans="1:6" x14ac:dyDescent="0.35">
      <c r="A303" s="1">
        <v>2027</v>
      </c>
      <c r="B303" s="1">
        <v>30.900997254141281</v>
      </c>
      <c r="C303" s="1">
        <v>33.045694884541021</v>
      </c>
      <c r="D303" s="1">
        <v>33.534296253557038</v>
      </c>
      <c r="E303" s="1" t="s">
        <v>146</v>
      </c>
      <c r="F303" s="1">
        <v>3</v>
      </c>
    </row>
    <row r="304" spans="1:6" x14ac:dyDescent="0.35">
      <c r="A304" s="1">
        <v>2028</v>
      </c>
      <c r="B304" s="1">
        <v>30.089326079526671</v>
      </c>
      <c r="C304" s="1">
        <v>33.606810352948123</v>
      </c>
      <c r="D304" s="1">
        <v>34.056303807272869</v>
      </c>
      <c r="E304" s="1" t="s">
        <v>146</v>
      </c>
      <c r="F304" s="1">
        <v>3</v>
      </c>
    </row>
    <row r="305" spans="1:6" x14ac:dyDescent="0.35">
      <c r="A305" s="1">
        <v>2029</v>
      </c>
      <c r="B305" s="1">
        <v>28.608685938586699</v>
      </c>
      <c r="C305" s="1">
        <v>32.774551437279989</v>
      </c>
      <c r="D305" s="1">
        <v>34.811346913502398</v>
      </c>
      <c r="E305" s="1" t="s">
        <v>146</v>
      </c>
      <c r="F305" s="1">
        <v>3</v>
      </c>
    </row>
    <row r="306" spans="1:6" x14ac:dyDescent="0.35">
      <c r="A306" s="1">
        <v>2030</v>
      </c>
      <c r="B306" s="1">
        <v>28.426158754479349</v>
      </c>
      <c r="C306" s="1">
        <v>32.664523620034608</v>
      </c>
      <c r="D306" s="1">
        <v>34.972419000092557</v>
      </c>
      <c r="E306" s="1" t="s">
        <v>146</v>
      </c>
      <c r="F306" s="1">
        <v>3</v>
      </c>
    </row>
    <row r="307" spans="1:6" x14ac:dyDescent="0.35">
      <c r="A307" s="1">
        <v>2031</v>
      </c>
      <c r="B307" s="1">
        <v>27.97295674494076</v>
      </c>
      <c r="C307" s="1">
        <v>33.646857317117593</v>
      </c>
      <c r="D307" s="1">
        <v>35.39098743602905</v>
      </c>
      <c r="E307" s="1" t="s">
        <v>146</v>
      </c>
      <c r="F307" s="1">
        <v>3</v>
      </c>
    </row>
    <row r="308" spans="1:6" x14ac:dyDescent="0.35">
      <c r="A308" s="1">
        <v>2032</v>
      </c>
      <c r="B308" s="1">
        <v>27.472792784402081</v>
      </c>
      <c r="C308" s="1">
        <v>32.015939861235267</v>
      </c>
      <c r="D308" s="1">
        <v>35.783213141963166</v>
      </c>
      <c r="E308" s="1" t="s">
        <v>146</v>
      </c>
      <c r="F308" s="1">
        <v>3</v>
      </c>
    </row>
    <row r="309" spans="1:6" x14ac:dyDescent="0.35">
      <c r="A309" s="1">
        <v>2033</v>
      </c>
      <c r="B309" s="1">
        <v>27.8946279686586</v>
      </c>
      <c r="C309" s="1">
        <v>30.336096114353001</v>
      </c>
      <c r="D309" s="1">
        <v>34.439369761678897</v>
      </c>
      <c r="E309" s="1" t="s">
        <v>146</v>
      </c>
      <c r="F309" s="1">
        <v>3</v>
      </c>
    </row>
    <row r="310" spans="1:6" x14ac:dyDescent="0.35">
      <c r="A310" s="1">
        <v>2034</v>
      </c>
      <c r="B310" s="1">
        <v>33.088929441177129</v>
      </c>
      <c r="C310" s="1">
        <v>50.015766933737297</v>
      </c>
      <c r="D310" s="1">
        <v>56.780921475586801</v>
      </c>
      <c r="E310" s="1" t="s">
        <v>146</v>
      </c>
      <c r="F310" s="1">
        <v>3</v>
      </c>
    </row>
    <row r="311" spans="1:6" x14ac:dyDescent="0.35">
      <c r="A311" s="1">
        <v>2035</v>
      </c>
      <c r="B311" s="1">
        <v>30.14326877118755</v>
      </c>
      <c r="C311" s="1">
        <v>39.974628726402571</v>
      </c>
      <c r="D311" s="1">
        <v>53.475233308611358</v>
      </c>
      <c r="E311" s="1" t="s">
        <v>146</v>
      </c>
      <c r="F311" s="1">
        <v>3</v>
      </c>
    </row>
    <row r="312" spans="1:6" x14ac:dyDescent="0.35">
      <c r="A312" s="1">
        <v>2036</v>
      </c>
      <c r="B312" s="1">
        <v>31.95454601825023</v>
      </c>
      <c r="C312" s="1">
        <v>42.969865294558467</v>
      </c>
      <c r="D312" s="1">
        <v>52.727105269396361</v>
      </c>
      <c r="E312" s="1" t="s">
        <v>146</v>
      </c>
      <c r="F312" s="1">
        <v>3</v>
      </c>
    </row>
    <row r="313" spans="1:6" x14ac:dyDescent="0.35">
      <c r="A313" s="1">
        <v>2037</v>
      </c>
      <c r="B313" s="1">
        <v>31.17809549997941</v>
      </c>
      <c r="C313" s="1">
        <v>42.692920899772091</v>
      </c>
      <c r="D313" s="1">
        <v>51.266727689768807</v>
      </c>
      <c r="E313" s="1" t="s">
        <v>146</v>
      </c>
      <c r="F313" s="1">
        <v>3</v>
      </c>
    </row>
    <row r="314" spans="1:6" x14ac:dyDescent="0.35">
      <c r="A314" s="1">
        <v>2038</v>
      </c>
      <c r="B314" s="1">
        <v>31.93038782325354</v>
      </c>
      <c r="C314" s="1">
        <v>41.758637494460793</v>
      </c>
      <c r="D314" s="1">
        <v>53.643680118689012</v>
      </c>
      <c r="E314" s="1" t="s">
        <v>146</v>
      </c>
      <c r="F314" s="1">
        <v>3</v>
      </c>
    </row>
    <row r="315" spans="1:6" x14ac:dyDescent="0.35">
      <c r="A315" s="1">
        <v>2039</v>
      </c>
      <c r="B315" s="1">
        <v>31.75549539951378</v>
      </c>
      <c r="C315" s="1">
        <v>42.038763396304077</v>
      </c>
      <c r="D315" s="1">
        <v>53.639918521062249</v>
      </c>
      <c r="E315" s="1" t="s">
        <v>146</v>
      </c>
      <c r="F315" s="1">
        <v>3</v>
      </c>
    </row>
    <row r="316" spans="1:6" x14ac:dyDescent="0.35">
      <c r="A316" s="1">
        <v>2040</v>
      </c>
      <c r="B316" s="1">
        <v>33.009735220326341</v>
      </c>
      <c r="C316" s="1">
        <v>42.398751849283428</v>
      </c>
      <c r="D316" s="1">
        <v>53.116584789210002</v>
      </c>
      <c r="E316" s="1" t="s">
        <v>146</v>
      </c>
      <c r="F316" s="1">
        <v>3</v>
      </c>
    </row>
    <row r="317" spans="1:6" x14ac:dyDescent="0.35">
      <c r="A317" s="1">
        <v>2041</v>
      </c>
      <c r="B317" s="1">
        <v>34.004019772808192</v>
      </c>
      <c r="C317" s="1">
        <v>43.193931040852632</v>
      </c>
      <c r="D317" s="1">
        <v>51.521897285072491</v>
      </c>
      <c r="E317" s="1" t="s">
        <v>146</v>
      </c>
      <c r="F317" s="1">
        <v>3</v>
      </c>
    </row>
    <row r="318" spans="1:6" x14ac:dyDescent="0.35">
      <c r="A318" s="1">
        <v>2042</v>
      </c>
      <c r="B318" s="1">
        <v>31.652374295281859</v>
      </c>
      <c r="C318" s="1">
        <v>43.629560716783807</v>
      </c>
      <c r="D318" s="1">
        <v>52.476412430921478</v>
      </c>
      <c r="E318" s="1" t="s">
        <v>146</v>
      </c>
      <c r="F318" s="1">
        <v>3</v>
      </c>
    </row>
    <row r="319" spans="1:6" x14ac:dyDescent="0.35">
      <c r="A319" s="1">
        <v>2043</v>
      </c>
      <c r="B319" s="1">
        <v>32.741473189064749</v>
      </c>
      <c r="C319" s="1">
        <v>44.043347746978277</v>
      </c>
      <c r="D319" s="1">
        <v>52.125652947304872</v>
      </c>
      <c r="E319" s="1" t="s">
        <v>146</v>
      </c>
      <c r="F319" s="1">
        <v>3</v>
      </c>
    </row>
    <row r="320" spans="1:6" x14ac:dyDescent="0.35">
      <c r="A320" s="1">
        <v>2044</v>
      </c>
      <c r="B320" s="1">
        <v>32.50011943882587</v>
      </c>
      <c r="C320" s="1">
        <v>44.538217800076787</v>
      </c>
      <c r="D320" s="1">
        <v>51.939405204883528</v>
      </c>
      <c r="E320" s="1" t="s">
        <v>146</v>
      </c>
      <c r="F320" s="1">
        <v>3</v>
      </c>
    </row>
    <row r="321" spans="1:6" x14ac:dyDescent="0.35">
      <c r="A321" s="1">
        <v>2045</v>
      </c>
      <c r="B321" s="1">
        <v>31.708031115767142</v>
      </c>
      <c r="C321" s="1">
        <v>44.157469782163702</v>
      </c>
      <c r="D321" s="1">
        <v>53.454683661056833</v>
      </c>
      <c r="E321" s="1" t="s">
        <v>146</v>
      </c>
      <c r="F321" s="1">
        <v>3</v>
      </c>
    </row>
    <row r="322" spans="1:6" x14ac:dyDescent="0.35">
      <c r="A322" s="1">
        <v>2046</v>
      </c>
      <c r="B322" s="1">
        <v>31.47971925228525</v>
      </c>
      <c r="C322" s="1">
        <v>43.722034385055011</v>
      </c>
      <c r="D322" s="1">
        <v>57.233090758045613</v>
      </c>
      <c r="E322" s="1" t="s">
        <v>146</v>
      </c>
      <c r="F322" s="1">
        <v>3</v>
      </c>
    </row>
    <row r="323" spans="1:6" x14ac:dyDescent="0.35">
      <c r="A323" s="1">
        <v>2047</v>
      </c>
      <c r="B323" s="1">
        <v>31.965683554601629</v>
      </c>
      <c r="C323" s="1">
        <v>42.793836267784293</v>
      </c>
      <c r="D323" s="1">
        <v>55.918139989013227</v>
      </c>
      <c r="E323" s="1" t="s">
        <v>146</v>
      </c>
      <c r="F323" s="1">
        <v>3</v>
      </c>
    </row>
    <row r="324" spans="1:6" x14ac:dyDescent="0.35">
      <c r="A324" s="1">
        <v>2048</v>
      </c>
      <c r="B324" s="1">
        <v>45.651573520567901</v>
      </c>
      <c r="C324" s="1">
        <v>63.494936883132617</v>
      </c>
      <c r="D324" s="1">
        <v>81.051388885999998</v>
      </c>
      <c r="E324" s="1" t="s">
        <v>146</v>
      </c>
      <c r="F324" s="1">
        <v>3</v>
      </c>
    </row>
    <row r="325" spans="1:6" x14ac:dyDescent="0.35">
      <c r="A325" s="1">
        <v>2049</v>
      </c>
      <c r="B325" s="1">
        <v>37.353658029808621</v>
      </c>
      <c r="C325" s="1">
        <v>58.04236993025448</v>
      </c>
      <c r="D325" s="1">
        <v>77.992982015155548</v>
      </c>
      <c r="E325" s="1" t="s">
        <v>146</v>
      </c>
      <c r="F325" s="1">
        <v>3</v>
      </c>
    </row>
    <row r="326" spans="1:6" x14ac:dyDescent="0.35">
      <c r="A326" s="1">
        <v>2050</v>
      </c>
      <c r="B326" s="1">
        <v>61.585770532204123</v>
      </c>
      <c r="C326" s="1">
        <v>81.051388885999998</v>
      </c>
      <c r="D326" s="1">
        <v>81.051388885999998</v>
      </c>
      <c r="E326" s="1" t="s">
        <v>146</v>
      </c>
      <c r="F326" s="1">
        <v>3</v>
      </c>
    </row>
    <row r="327" spans="1:6" x14ac:dyDescent="0.35">
      <c r="A327" s="1">
        <v>2026</v>
      </c>
      <c r="B327" s="1">
        <v>31.825333634018751</v>
      </c>
      <c r="C327" s="1">
        <v>31.009261345816729</v>
      </c>
      <c r="D327" s="1">
        <v>32.420748182719713</v>
      </c>
      <c r="E327" s="1" t="s">
        <v>147</v>
      </c>
      <c r="F327" s="1">
        <v>3</v>
      </c>
    </row>
    <row r="328" spans="1:6" x14ac:dyDescent="0.35">
      <c r="A328" s="1">
        <v>2027</v>
      </c>
      <c r="B328" s="1">
        <v>31.456797803412879</v>
      </c>
      <c r="C328" s="1">
        <v>31.185467585093711</v>
      </c>
      <c r="D328" s="1">
        <v>32.012716723788401</v>
      </c>
      <c r="E328" s="1" t="s">
        <v>147</v>
      </c>
      <c r="F328" s="1">
        <v>3</v>
      </c>
    </row>
    <row r="329" spans="1:6" x14ac:dyDescent="0.35">
      <c r="A329" s="1">
        <v>2028</v>
      </c>
      <c r="B329" s="1">
        <v>30.743399122058619</v>
      </c>
      <c r="C329" s="1">
        <v>31.968614325924751</v>
      </c>
      <c r="D329" s="1">
        <v>31.073046922975958</v>
      </c>
      <c r="E329" s="1" t="s">
        <v>147</v>
      </c>
      <c r="F329" s="1">
        <v>3</v>
      </c>
    </row>
    <row r="330" spans="1:6" x14ac:dyDescent="0.35">
      <c r="A330" s="1">
        <v>2029</v>
      </c>
      <c r="B330" s="1">
        <v>36.447528069715602</v>
      </c>
      <c r="C330" s="1">
        <v>51.339805466544931</v>
      </c>
      <c r="D330" s="1">
        <v>51.230793407373639</v>
      </c>
      <c r="E330" s="1" t="s">
        <v>147</v>
      </c>
      <c r="F330" s="1">
        <v>3</v>
      </c>
    </row>
    <row r="331" spans="1:6" x14ac:dyDescent="0.35">
      <c r="A331" s="1">
        <v>2030</v>
      </c>
      <c r="B331" s="1">
        <v>32.716053048962067</v>
      </c>
      <c r="C331" s="1">
        <v>42.955618841839893</v>
      </c>
      <c r="D331" s="1">
        <v>47.680682689974518</v>
      </c>
      <c r="E331" s="1" t="s">
        <v>147</v>
      </c>
      <c r="F331" s="1">
        <v>3</v>
      </c>
    </row>
    <row r="332" spans="1:6" x14ac:dyDescent="0.35">
      <c r="A332" s="1">
        <v>2031</v>
      </c>
      <c r="B332" s="1">
        <v>32.623647422360129</v>
      </c>
      <c r="C332" s="1">
        <v>42.820085558926863</v>
      </c>
      <c r="D332" s="1">
        <v>49.907178709501252</v>
      </c>
      <c r="E332" s="1" t="s">
        <v>147</v>
      </c>
      <c r="F332" s="1">
        <v>3</v>
      </c>
    </row>
    <row r="333" spans="1:6" x14ac:dyDescent="0.35">
      <c r="A333" s="1">
        <v>2032</v>
      </c>
      <c r="B333" s="1">
        <v>33.269724402308498</v>
      </c>
      <c r="C333" s="1">
        <v>43.100757172233081</v>
      </c>
      <c r="D333" s="1">
        <v>48.421836163927637</v>
      </c>
      <c r="E333" s="1" t="s">
        <v>147</v>
      </c>
      <c r="F333" s="1">
        <v>3</v>
      </c>
    </row>
    <row r="334" spans="1:6" x14ac:dyDescent="0.35">
      <c r="A334" s="1">
        <v>2033</v>
      </c>
      <c r="B334" s="1">
        <v>33.044291610022583</v>
      </c>
      <c r="C334" s="1">
        <v>43.866854401156509</v>
      </c>
      <c r="D334" s="1">
        <v>50.346558081681522</v>
      </c>
      <c r="E334" s="1" t="s">
        <v>147</v>
      </c>
      <c r="F334" s="1">
        <v>3</v>
      </c>
    </row>
    <row r="335" spans="1:6" x14ac:dyDescent="0.35">
      <c r="A335" s="1">
        <v>2034</v>
      </c>
      <c r="B335" s="1">
        <v>33.682933847462017</v>
      </c>
      <c r="C335" s="1">
        <v>43.998966572264493</v>
      </c>
      <c r="D335" s="1">
        <v>50.816711256597699</v>
      </c>
      <c r="E335" s="1" t="s">
        <v>147</v>
      </c>
      <c r="F335" s="1">
        <v>3</v>
      </c>
    </row>
    <row r="336" spans="1:6" x14ac:dyDescent="0.35">
      <c r="A336" s="1">
        <v>2035</v>
      </c>
      <c r="B336" s="1">
        <v>33.631887928742763</v>
      </c>
      <c r="C336" s="1">
        <v>42.570764842339329</v>
      </c>
      <c r="D336" s="1">
        <v>51.834763044076503</v>
      </c>
      <c r="E336" s="1" t="s">
        <v>147</v>
      </c>
      <c r="F336" s="1">
        <v>3</v>
      </c>
    </row>
    <row r="337" spans="1:6" x14ac:dyDescent="0.35">
      <c r="A337" s="1">
        <v>2036</v>
      </c>
      <c r="B337" s="1">
        <v>33.622152826271659</v>
      </c>
      <c r="C337" s="1">
        <v>42.245953948825843</v>
      </c>
      <c r="D337" s="1">
        <v>52.249879209664137</v>
      </c>
      <c r="E337" s="1" t="s">
        <v>147</v>
      </c>
      <c r="F337" s="1">
        <v>3</v>
      </c>
    </row>
    <row r="338" spans="1:6" x14ac:dyDescent="0.35">
      <c r="A338" s="1">
        <v>2037</v>
      </c>
      <c r="B338" s="1">
        <v>33.727506317859913</v>
      </c>
      <c r="C338" s="1">
        <v>42.762763667220533</v>
      </c>
      <c r="D338" s="1">
        <v>52.359960870019393</v>
      </c>
      <c r="E338" s="1" t="s">
        <v>147</v>
      </c>
      <c r="F338" s="1">
        <v>3</v>
      </c>
    </row>
    <row r="339" spans="1:6" x14ac:dyDescent="0.35">
      <c r="A339" s="1">
        <v>2038</v>
      </c>
      <c r="B339" s="1">
        <v>33.359842348975313</v>
      </c>
      <c r="C339" s="1">
        <v>42.971952469808947</v>
      </c>
      <c r="D339" s="1">
        <v>53.550858088957249</v>
      </c>
      <c r="E339" s="1" t="s">
        <v>147</v>
      </c>
      <c r="F339" s="1">
        <v>3</v>
      </c>
    </row>
    <row r="340" spans="1:6" x14ac:dyDescent="0.35">
      <c r="A340" s="1">
        <v>2039</v>
      </c>
      <c r="B340" s="1">
        <v>31.209888952599311</v>
      </c>
      <c r="C340" s="1">
        <v>44.335986038254283</v>
      </c>
      <c r="D340" s="1">
        <v>52.411603312927873</v>
      </c>
      <c r="E340" s="1" t="s">
        <v>147</v>
      </c>
      <c r="F340" s="1">
        <v>3</v>
      </c>
    </row>
    <row r="341" spans="1:6" x14ac:dyDescent="0.35">
      <c r="A341" s="1">
        <v>2040</v>
      </c>
      <c r="B341" s="1">
        <v>31.80283099635567</v>
      </c>
      <c r="C341" s="1">
        <v>44.635361281023101</v>
      </c>
      <c r="D341" s="1">
        <v>52.586580429032161</v>
      </c>
      <c r="E341" s="1" t="s">
        <v>147</v>
      </c>
      <c r="F341" s="1">
        <v>3</v>
      </c>
    </row>
    <row r="342" spans="1:6" x14ac:dyDescent="0.35">
      <c r="A342" s="1">
        <v>2041</v>
      </c>
      <c r="B342" s="1">
        <v>29.378350760006231</v>
      </c>
      <c r="C342" s="1">
        <v>45.581664082455397</v>
      </c>
      <c r="D342" s="1">
        <v>50.48745032206682</v>
      </c>
      <c r="E342" s="1" t="s">
        <v>147</v>
      </c>
      <c r="F342" s="1">
        <v>3</v>
      </c>
    </row>
    <row r="343" spans="1:6" x14ac:dyDescent="0.35">
      <c r="A343" s="1">
        <v>2042</v>
      </c>
      <c r="B343" s="1">
        <v>30.478203718997388</v>
      </c>
      <c r="C343" s="1">
        <v>44.413311223026717</v>
      </c>
      <c r="D343" s="1">
        <v>51.740666300855302</v>
      </c>
      <c r="E343" s="1" t="s">
        <v>147</v>
      </c>
      <c r="F343" s="1">
        <v>3</v>
      </c>
    </row>
    <row r="344" spans="1:6" x14ac:dyDescent="0.35">
      <c r="A344" s="1">
        <v>2043</v>
      </c>
      <c r="B344" s="1">
        <v>31.648355388919729</v>
      </c>
      <c r="C344" s="1">
        <v>42.594927680043781</v>
      </c>
      <c r="D344" s="1">
        <v>51.828697593333573</v>
      </c>
      <c r="E344" s="1" t="s">
        <v>147</v>
      </c>
      <c r="F344" s="1">
        <v>3</v>
      </c>
    </row>
    <row r="345" spans="1:6" x14ac:dyDescent="0.35">
      <c r="A345" s="1">
        <v>2044</v>
      </c>
      <c r="B345" s="1">
        <v>45.590678112215343</v>
      </c>
      <c r="C345" s="1">
        <v>65.818866985549221</v>
      </c>
      <c r="D345" s="1">
        <v>81.051388885999998</v>
      </c>
      <c r="E345" s="1" t="s">
        <v>147</v>
      </c>
      <c r="F345" s="1">
        <v>3</v>
      </c>
    </row>
    <row r="346" spans="1:6" x14ac:dyDescent="0.35">
      <c r="A346" s="1">
        <v>2045</v>
      </c>
      <c r="B346" s="1">
        <v>44.789856762619927</v>
      </c>
      <c r="C346" s="1">
        <v>54.483529338500219</v>
      </c>
      <c r="D346" s="1">
        <v>73.016681275190507</v>
      </c>
      <c r="E346" s="1" t="s">
        <v>147</v>
      </c>
      <c r="F346" s="1">
        <v>3</v>
      </c>
    </row>
    <row r="347" spans="1:6" x14ac:dyDescent="0.35">
      <c r="A347" s="1">
        <v>2046</v>
      </c>
      <c r="B347" s="1">
        <v>45.728421999871209</v>
      </c>
      <c r="C347" s="1">
        <v>56.674660187845113</v>
      </c>
      <c r="D347" s="1">
        <v>73.433225435581917</v>
      </c>
      <c r="E347" s="1" t="s">
        <v>147</v>
      </c>
      <c r="F347" s="1">
        <v>3</v>
      </c>
    </row>
    <row r="348" spans="1:6" x14ac:dyDescent="0.35">
      <c r="A348" s="1">
        <v>2047</v>
      </c>
      <c r="B348" s="1">
        <v>43.29082656138204</v>
      </c>
      <c r="C348" s="1">
        <v>55.036996547441639</v>
      </c>
      <c r="D348" s="1">
        <v>78.868115439352351</v>
      </c>
      <c r="E348" s="1" t="s">
        <v>147</v>
      </c>
      <c r="F348" s="1">
        <v>3</v>
      </c>
    </row>
    <row r="349" spans="1:6" x14ac:dyDescent="0.35">
      <c r="A349" s="1">
        <v>2048</v>
      </c>
      <c r="B349" s="1">
        <v>42.418957332829017</v>
      </c>
      <c r="C349" s="1">
        <v>54.447375406384197</v>
      </c>
      <c r="D349" s="1">
        <v>76.280520780092829</v>
      </c>
      <c r="E349" s="1" t="s">
        <v>147</v>
      </c>
      <c r="F349" s="1">
        <v>3</v>
      </c>
    </row>
    <row r="350" spans="1:6" x14ac:dyDescent="0.35">
      <c r="A350" s="1">
        <v>2049</v>
      </c>
      <c r="B350" s="1">
        <v>55.551905746385223</v>
      </c>
      <c r="C350" s="1">
        <v>81.051388885999998</v>
      </c>
      <c r="D350" s="1">
        <v>81.051388885999998</v>
      </c>
      <c r="E350" s="1" t="s">
        <v>147</v>
      </c>
      <c r="F350" s="1">
        <v>3</v>
      </c>
    </row>
    <row r="351" spans="1:6" x14ac:dyDescent="0.35">
      <c r="A351" s="1">
        <v>2050</v>
      </c>
      <c r="B351" s="1">
        <v>51.439902767152667</v>
      </c>
      <c r="C351" s="1">
        <v>69.941645733549663</v>
      </c>
      <c r="D351" s="1">
        <v>81.051388885999998</v>
      </c>
      <c r="E351" s="1" t="s">
        <v>147</v>
      </c>
      <c r="F351" s="1">
        <v>3</v>
      </c>
    </row>
    <row r="352" spans="1:6" x14ac:dyDescent="0.35">
      <c r="A352" s="1">
        <v>2026</v>
      </c>
      <c r="B352" s="1">
        <v>30.75559848525965</v>
      </c>
      <c r="C352" s="1">
        <v>31.348871072699669</v>
      </c>
      <c r="D352" s="1">
        <v>31.253027670286841</v>
      </c>
      <c r="E352" s="1" t="s">
        <v>148</v>
      </c>
      <c r="F352" s="1">
        <v>3</v>
      </c>
    </row>
    <row r="353" spans="1:6" x14ac:dyDescent="0.35">
      <c r="A353" s="1">
        <v>2027</v>
      </c>
      <c r="B353" s="1">
        <v>38.599467417635672</v>
      </c>
      <c r="C353" s="1">
        <v>50.984544945168373</v>
      </c>
      <c r="D353" s="1">
        <v>51.527531493781588</v>
      </c>
      <c r="E353" s="1" t="s">
        <v>148</v>
      </c>
      <c r="F353" s="1">
        <v>3</v>
      </c>
    </row>
    <row r="354" spans="1:6" x14ac:dyDescent="0.35">
      <c r="A354" s="1">
        <v>2028</v>
      </c>
      <c r="B354" s="1">
        <v>35.935277742161617</v>
      </c>
      <c r="C354" s="1">
        <v>43.844574887485038</v>
      </c>
      <c r="D354" s="1">
        <v>52.214216377505068</v>
      </c>
      <c r="E354" s="1" t="s">
        <v>148</v>
      </c>
      <c r="F354" s="1">
        <v>3</v>
      </c>
    </row>
    <row r="355" spans="1:6" x14ac:dyDescent="0.35">
      <c r="A355" s="1">
        <v>2029</v>
      </c>
      <c r="B355" s="1">
        <v>34.843679267962457</v>
      </c>
      <c r="C355" s="1">
        <v>44.459946121354058</v>
      </c>
      <c r="D355" s="1">
        <v>51.557840495506639</v>
      </c>
      <c r="E355" s="1" t="s">
        <v>148</v>
      </c>
      <c r="F355" s="1">
        <v>3</v>
      </c>
    </row>
    <row r="356" spans="1:6" x14ac:dyDescent="0.35">
      <c r="A356" s="1">
        <v>2030</v>
      </c>
      <c r="B356" s="1">
        <v>33.581094401808748</v>
      </c>
      <c r="C356" s="1">
        <v>45.268683129052818</v>
      </c>
      <c r="D356" s="1">
        <v>52.154849154006733</v>
      </c>
      <c r="E356" s="1" t="s">
        <v>148</v>
      </c>
      <c r="F356" s="1">
        <v>3</v>
      </c>
    </row>
    <row r="357" spans="1:6" x14ac:dyDescent="0.35">
      <c r="A357" s="1">
        <v>2031</v>
      </c>
      <c r="B357" s="1">
        <v>33.013164532297971</v>
      </c>
      <c r="C357" s="1">
        <v>42.971621381889229</v>
      </c>
      <c r="D357" s="1">
        <v>51.535043853990153</v>
      </c>
      <c r="E357" s="1" t="s">
        <v>148</v>
      </c>
      <c r="F357" s="1">
        <v>3</v>
      </c>
    </row>
    <row r="358" spans="1:6" x14ac:dyDescent="0.35">
      <c r="A358" s="1">
        <v>2032</v>
      </c>
      <c r="B358" s="1">
        <v>33.228565971065073</v>
      </c>
      <c r="C358" s="1">
        <v>42.571272525536337</v>
      </c>
      <c r="D358" s="1">
        <v>52.60686935110526</v>
      </c>
      <c r="E358" s="1" t="s">
        <v>148</v>
      </c>
      <c r="F358" s="1">
        <v>3</v>
      </c>
    </row>
    <row r="359" spans="1:6" x14ac:dyDescent="0.35">
      <c r="A359" s="1">
        <v>2033</v>
      </c>
      <c r="B359" s="1">
        <v>33.030996365146393</v>
      </c>
      <c r="C359" s="1">
        <v>42.966166011028683</v>
      </c>
      <c r="D359" s="1">
        <v>55.897552347001053</v>
      </c>
      <c r="E359" s="1" t="s">
        <v>148</v>
      </c>
      <c r="F359" s="1">
        <v>3</v>
      </c>
    </row>
    <row r="360" spans="1:6" x14ac:dyDescent="0.35">
      <c r="A360" s="1">
        <v>2034</v>
      </c>
      <c r="B360" s="1">
        <v>33.330581581808339</v>
      </c>
      <c r="C360" s="1">
        <v>42.675745462550758</v>
      </c>
      <c r="D360" s="1">
        <v>56.316865447045807</v>
      </c>
      <c r="E360" s="1" t="s">
        <v>148</v>
      </c>
      <c r="F360" s="1">
        <v>3</v>
      </c>
    </row>
    <row r="361" spans="1:6" x14ac:dyDescent="0.35">
      <c r="A361" s="1">
        <v>2035</v>
      </c>
      <c r="B361" s="1">
        <v>51.413196635937688</v>
      </c>
      <c r="C361" s="1">
        <v>68.01171452886679</v>
      </c>
      <c r="D361" s="1">
        <v>81.051388885999998</v>
      </c>
      <c r="E361" s="1" t="s">
        <v>148</v>
      </c>
      <c r="F361" s="1">
        <v>3</v>
      </c>
    </row>
    <row r="362" spans="1:6" x14ac:dyDescent="0.35">
      <c r="A362" s="1">
        <v>2036</v>
      </c>
      <c r="B362" s="1">
        <v>38.079872133383603</v>
      </c>
      <c r="C362" s="1">
        <v>60.8447467260251</v>
      </c>
      <c r="D362" s="1">
        <v>76.430677203236939</v>
      </c>
      <c r="E362" s="1" t="s">
        <v>148</v>
      </c>
      <c r="F362" s="1">
        <v>3</v>
      </c>
    </row>
    <row r="363" spans="1:6" x14ac:dyDescent="0.35">
      <c r="A363" s="1">
        <v>2037</v>
      </c>
      <c r="B363" s="1">
        <v>39.975823708713357</v>
      </c>
      <c r="C363" s="1">
        <v>61.455034468803113</v>
      </c>
      <c r="D363" s="1">
        <v>76.979461830811772</v>
      </c>
      <c r="E363" s="1" t="s">
        <v>148</v>
      </c>
      <c r="F363" s="1">
        <v>3</v>
      </c>
    </row>
    <row r="364" spans="1:6" x14ac:dyDescent="0.35">
      <c r="A364" s="1">
        <v>2038</v>
      </c>
      <c r="B364" s="1">
        <v>56.087171167164257</v>
      </c>
      <c r="C364" s="1">
        <v>81.051388885999998</v>
      </c>
      <c r="D364" s="1">
        <v>81.051388885999998</v>
      </c>
      <c r="E364" s="1" t="s">
        <v>148</v>
      </c>
      <c r="F364" s="1">
        <v>3</v>
      </c>
    </row>
    <row r="365" spans="1:6" x14ac:dyDescent="0.35">
      <c r="A365" s="1">
        <v>2039</v>
      </c>
      <c r="B365" s="1">
        <v>56.013507094202033</v>
      </c>
      <c r="C365" s="1">
        <v>66.834198076269843</v>
      </c>
      <c r="D365" s="1">
        <v>79.080048108310081</v>
      </c>
      <c r="E365" s="1" t="s">
        <v>148</v>
      </c>
      <c r="F365" s="1">
        <v>3</v>
      </c>
    </row>
    <row r="366" spans="1:6" x14ac:dyDescent="0.35">
      <c r="A366" s="1">
        <v>2040</v>
      </c>
      <c r="B366" s="1">
        <v>54.052192990749788</v>
      </c>
      <c r="C366" s="1">
        <v>68.15393300851089</v>
      </c>
      <c r="D366" s="1">
        <v>79.711759491806291</v>
      </c>
      <c r="E366" s="1" t="s">
        <v>148</v>
      </c>
      <c r="F366" s="1">
        <v>3</v>
      </c>
    </row>
    <row r="367" spans="1:6" x14ac:dyDescent="0.35">
      <c r="A367" s="1">
        <v>2041</v>
      </c>
      <c r="B367" s="1">
        <v>51.859673124094357</v>
      </c>
      <c r="C367" s="1">
        <v>68.067778984503718</v>
      </c>
      <c r="D367" s="1">
        <v>81.051388885999998</v>
      </c>
      <c r="E367" s="1" t="s">
        <v>148</v>
      </c>
      <c r="F367" s="1">
        <v>3</v>
      </c>
    </row>
    <row r="368" spans="1:6" x14ac:dyDescent="0.35">
      <c r="A368" s="1">
        <v>2042</v>
      </c>
      <c r="B368" s="1">
        <v>53.795825628997633</v>
      </c>
      <c r="C368" s="1">
        <v>67.434770290546879</v>
      </c>
      <c r="D368" s="1">
        <v>81.051388885999998</v>
      </c>
      <c r="E368" s="1" t="s">
        <v>148</v>
      </c>
      <c r="F368" s="1">
        <v>3</v>
      </c>
    </row>
    <row r="369" spans="1:6" x14ac:dyDescent="0.35">
      <c r="A369" s="1">
        <v>2043</v>
      </c>
      <c r="B369" s="1">
        <v>52.452530805967427</v>
      </c>
      <c r="C369" s="1">
        <v>67.550252012816458</v>
      </c>
      <c r="D369" s="1">
        <v>81.051388885999998</v>
      </c>
      <c r="E369" s="1" t="s">
        <v>148</v>
      </c>
      <c r="F369" s="1">
        <v>3</v>
      </c>
    </row>
    <row r="370" spans="1:6" x14ac:dyDescent="0.35">
      <c r="A370" s="1">
        <v>2044</v>
      </c>
      <c r="B370" s="1">
        <v>53.083657228253387</v>
      </c>
      <c r="C370" s="1">
        <v>68.214930252928511</v>
      </c>
      <c r="D370" s="1">
        <v>81.051388885999998</v>
      </c>
      <c r="E370" s="1" t="s">
        <v>148</v>
      </c>
      <c r="F370" s="1">
        <v>3</v>
      </c>
    </row>
    <row r="371" spans="1:6" x14ac:dyDescent="0.35">
      <c r="A371" s="1">
        <v>2045</v>
      </c>
      <c r="B371" s="1">
        <v>54.507428338890278</v>
      </c>
      <c r="C371" s="1">
        <v>67.60175609289827</v>
      </c>
      <c r="D371" s="1">
        <v>79.155942708541303</v>
      </c>
      <c r="E371" s="1" t="s">
        <v>148</v>
      </c>
      <c r="F371" s="1">
        <v>3</v>
      </c>
    </row>
    <row r="372" spans="1:6" x14ac:dyDescent="0.35">
      <c r="A372" s="1">
        <v>2046</v>
      </c>
      <c r="B372" s="1">
        <v>54.138334984567088</v>
      </c>
      <c r="C372" s="1">
        <v>68.165744100432264</v>
      </c>
      <c r="D372" s="1">
        <v>76.375625441648893</v>
      </c>
      <c r="E372" s="1" t="s">
        <v>148</v>
      </c>
      <c r="F372" s="1">
        <v>3</v>
      </c>
    </row>
    <row r="373" spans="1:6" x14ac:dyDescent="0.35">
      <c r="A373" s="1">
        <v>2047</v>
      </c>
      <c r="B373" s="1">
        <v>55.239643479677802</v>
      </c>
      <c r="C373" s="1">
        <v>69.329437129930383</v>
      </c>
      <c r="D373" s="1">
        <v>78.959609686920842</v>
      </c>
      <c r="E373" s="1" t="s">
        <v>148</v>
      </c>
      <c r="F373" s="1">
        <v>3</v>
      </c>
    </row>
    <row r="374" spans="1:6" x14ac:dyDescent="0.35">
      <c r="A374" s="1">
        <v>2048</v>
      </c>
      <c r="B374" s="1">
        <v>52.875519281663941</v>
      </c>
      <c r="C374" s="1">
        <v>70.56269335944782</v>
      </c>
      <c r="D374" s="1">
        <v>81.051388885999998</v>
      </c>
      <c r="E374" s="1" t="s">
        <v>148</v>
      </c>
      <c r="F374" s="1">
        <v>3</v>
      </c>
    </row>
    <row r="375" spans="1:6" x14ac:dyDescent="0.35">
      <c r="A375" s="1">
        <v>2049</v>
      </c>
      <c r="B375" s="1">
        <v>53.792464403246349</v>
      </c>
      <c r="C375" s="1">
        <v>74.162870090901905</v>
      </c>
      <c r="D375" s="1">
        <v>79.258123999474662</v>
      </c>
      <c r="E375" s="1" t="s">
        <v>148</v>
      </c>
      <c r="F375" s="1">
        <v>3</v>
      </c>
    </row>
    <row r="376" spans="1:6" x14ac:dyDescent="0.35">
      <c r="A376" s="1">
        <v>2050</v>
      </c>
      <c r="B376" s="1">
        <v>51.853847918299387</v>
      </c>
      <c r="C376" s="1">
        <v>71.018506444765805</v>
      </c>
      <c r="D376" s="1">
        <v>78.623366736981566</v>
      </c>
      <c r="E376" s="1" t="s">
        <v>148</v>
      </c>
      <c r="F376" s="1">
        <v>3</v>
      </c>
    </row>
    <row r="377" spans="1:6" x14ac:dyDescent="0.35">
      <c r="A377" s="1">
        <v>2026</v>
      </c>
      <c r="B377" s="1">
        <v>44.871506341567986</v>
      </c>
      <c r="C377" s="1">
        <v>46.653577498959088</v>
      </c>
      <c r="D377" s="1">
        <v>51.396595721590828</v>
      </c>
      <c r="E377" s="1" t="s">
        <v>149</v>
      </c>
      <c r="F377" s="1">
        <v>4</v>
      </c>
    </row>
    <row r="378" spans="1:6" x14ac:dyDescent="0.35">
      <c r="A378" s="1">
        <v>2027</v>
      </c>
      <c r="B378" s="1">
        <v>36.226980403521353</v>
      </c>
      <c r="C378" s="1">
        <v>44.415592994465477</v>
      </c>
      <c r="D378" s="1">
        <v>50.995475099633829</v>
      </c>
      <c r="E378" s="1" t="s">
        <v>149</v>
      </c>
      <c r="F378" s="1">
        <v>4</v>
      </c>
    </row>
    <row r="379" spans="1:6" x14ac:dyDescent="0.35">
      <c r="A379" s="1">
        <v>2028</v>
      </c>
      <c r="B379" s="1">
        <v>36.057093462896688</v>
      </c>
      <c r="C379" s="1">
        <v>44.804131832592752</v>
      </c>
      <c r="D379" s="1">
        <v>51.106205972912967</v>
      </c>
      <c r="E379" s="1" t="s">
        <v>149</v>
      </c>
      <c r="F379" s="1">
        <v>4</v>
      </c>
    </row>
    <row r="380" spans="1:6" x14ac:dyDescent="0.35">
      <c r="A380" s="1">
        <v>2029</v>
      </c>
      <c r="B380" s="1">
        <v>36.370810114292823</v>
      </c>
      <c r="C380" s="1">
        <v>42.285903787046607</v>
      </c>
      <c r="D380" s="1">
        <v>51.584912471368789</v>
      </c>
      <c r="E380" s="1" t="s">
        <v>149</v>
      </c>
      <c r="F380" s="1">
        <v>4</v>
      </c>
    </row>
    <row r="381" spans="1:6" x14ac:dyDescent="0.35">
      <c r="A381" s="1">
        <v>2030</v>
      </c>
      <c r="B381" s="1">
        <v>50.759903587211298</v>
      </c>
      <c r="C381" s="1">
        <v>69.717669024482845</v>
      </c>
      <c r="D381" s="1">
        <v>73.201064495074959</v>
      </c>
      <c r="E381" s="1" t="s">
        <v>149</v>
      </c>
      <c r="F381" s="1">
        <v>4</v>
      </c>
    </row>
    <row r="382" spans="1:6" x14ac:dyDescent="0.35">
      <c r="A382" s="1">
        <v>2031</v>
      </c>
      <c r="B382" s="1">
        <v>37.703481863107058</v>
      </c>
      <c r="C382" s="1">
        <v>59.656986813968857</v>
      </c>
      <c r="D382" s="1">
        <v>72.838099505440852</v>
      </c>
      <c r="E382" s="1" t="s">
        <v>149</v>
      </c>
      <c r="F382" s="1">
        <v>4</v>
      </c>
    </row>
    <row r="383" spans="1:6" x14ac:dyDescent="0.35">
      <c r="A383" s="1">
        <v>2032</v>
      </c>
      <c r="B383" s="1">
        <v>41.740122358134158</v>
      </c>
      <c r="C383" s="1">
        <v>58.10413038870005</v>
      </c>
      <c r="D383" s="1">
        <v>73.226909336149276</v>
      </c>
      <c r="E383" s="1" t="s">
        <v>149</v>
      </c>
      <c r="F383" s="1">
        <v>4</v>
      </c>
    </row>
    <row r="384" spans="1:6" x14ac:dyDescent="0.35">
      <c r="A384" s="1">
        <v>2033</v>
      </c>
      <c r="B384" s="1">
        <v>42.546419486734322</v>
      </c>
      <c r="C384" s="1">
        <v>57.2541216212596</v>
      </c>
      <c r="D384" s="1">
        <v>72.165777901948601</v>
      </c>
      <c r="E384" s="1" t="s">
        <v>149</v>
      </c>
      <c r="F384" s="1">
        <v>4</v>
      </c>
    </row>
    <row r="385" spans="1:6" x14ac:dyDescent="0.35">
      <c r="A385" s="1">
        <v>2034</v>
      </c>
      <c r="B385" s="1">
        <v>40.314250633302713</v>
      </c>
      <c r="C385" s="1">
        <v>55.153989399168367</v>
      </c>
      <c r="D385" s="1">
        <v>70.944325695528505</v>
      </c>
      <c r="E385" s="1" t="s">
        <v>149</v>
      </c>
      <c r="F385" s="1">
        <v>4</v>
      </c>
    </row>
    <row r="386" spans="1:6" x14ac:dyDescent="0.35">
      <c r="A386" s="1">
        <v>2035</v>
      </c>
      <c r="B386" s="1">
        <v>41.246512004618189</v>
      </c>
      <c r="C386" s="1">
        <v>54.460391812558598</v>
      </c>
      <c r="D386" s="1">
        <v>71.050557130451054</v>
      </c>
      <c r="E386" s="1" t="s">
        <v>149</v>
      </c>
      <c r="F386" s="1">
        <v>4</v>
      </c>
    </row>
    <row r="387" spans="1:6" x14ac:dyDescent="0.35">
      <c r="A387" s="1">
        <v>2036</v>
      </c>
      <c r="B387" s="1">
        <v>58.494553321547897</v>
      </c>
      <c r="C387" s="1">
        <v>81.051388885999998</v>
      </c>
      <c r="D387" s="1">
        <v>81.051388885999998</v>
      </c>
      <c r="E387" s="1" t="s">
        <v>149</v>
      </c>
      <c r="F387" s="1">
        <v>4</v>
      </c>
    </row>
    <row r="388" spans="1:6" x14ac:dyDescent="0.35">
      <c r="A388" s="1">
        <v>2037</v>
      </c>
      <c r="B388" s="1">
        <v>51.944354569824</v>
      </c>
      <c r="C388" s="1">
        <v>72.204114129332609</v>
      </c>
      <c r="D388" s="1">
        <v>77.233549017311404</v>
      </c>
      <c r="E388" s="1" t="s">
        <v>149</v>
      </c>
      <c r="F388" s="1">
        <v>4</v>
      </c>
    </row>
    <row r="389" spans="1:6" x14ac:dyDescent="0.35">
      <c r="A389" s="1">
        <v>2038</v>
      </c>
      <c r="B389" s="1">
        <v>52.152587824648243</v>
      </c>
      <c r="C389" s="1">
        <v>69.510534733432394</v>
      </c>
      <c r="D389" s="1">
        <v>80.614692160468508</v>
      </c>
      <c r="E389" s="1" t="s">
        <v>149</v>
      </c>
      <c r="F389" s="1">
        <v>4</v>
      </c>
    </row>
    <row r="390" spans="1:6" x14ac:dyDescent="0.35">
      <c r="A390" s="1">
        <v>2039</v>
      </c>
      <c r="B390" s="1">
        <v>52.594805395060128</v>
      </c>
      <c r="C390" s="1">
        <v>68.547121738417943</v>
      </c>
      <c r="D390" s="1">
        <v>81.051388885999998</v>
      </c>
      <c r="E390" s="1" t="s">
        <v>149</v>
      </c>
      <c r="F390" s="1">
        <v>4</v>
      </c>
    </row>
    <row r="391" spans="1:6" x14ac:dyDescent="0.35">
      <c r="A391" s="1">
        <v>2040</v>
      </c>
      <c r="B391" s="1">
        <v>50.76784661167865</v>
      </c>
      <c r="C391" s="1">
        <v>69.449781958054231</v>
      </c>
      <c r="D391" s="1">
        <v>79.761437227028381</v>
      </c>
      <c r="E391" s="1" t="s">
        <v>149</v>
      </c>
      <c r="F391" s="1">
        <v>4</v>
      </c>
    </row>
    <row r="392" spans="1:6" x14ac:dyDescent="0.35">
      <c r="A392" s="1">
        <v>2041</v>
      </c>
      <c r="B392" s="1">
        <v>50.597514446271553</v>
      </c>
      <c r="C392" s="1">
        <v>68.520362030853065</v>
      </c>
      <c r="D392" s="1">
        <v>80.568598607769232</v>
      </c>
      <c r="E392" s="1" t="s">
        <v>149</v>
      </c>
      <c r="F392" s="1">
        <v>4</v>
      </c>
    </row>
    <row r="393" spans="1:6" x14ac:dyDescent="0.35">
      <c r="A393" s="1">
        <v>2042</v>
      </c>
      <c r="B393" s="1">
        <v>49.845274415762503</v>
      </c>
      <c r="C393" s="1">
        <v>67.423210700574828</v>
      </c>
      <c r="D393" s="1">
        <v>80.421301604123386</v>
      </c>
      <c r="E393" s="1" t="s">
        <v>149</v>
      </c>
      <c r="F393" s="1">
        <v>4</v>
      </c>
    </row>
    <row r="394" spans="1:6" x14ac:dyDescent="0.35">
      <c r="A394" s="1">
        <v>2043</v>
      </c>
      <c r="B394" s="1">
        <v>49.149122925329984</v>
      </c>
      <c r="C394" s="1">
        <v>66.419878059696543</v>
      </c>
      <c r="D394" s="1">
        <v>81.051388885999998</v>
      </c>
      <c r="E394" s="1" t="s">
        <v>149</v>
      </c>
      <c r="F394" s="1">
        <v>4</v>
      </c>
    </row>
    <row r="395" spans="1:6" x14ac:dyDescent="0.35">
      <c r="A395" s="1">
        <v>2044</v>
      </c>
      <c r="B395" s="1">
        <v>75.449882691380452</v>
      </c>
      <c r="C395" s="1">
        <v>81.051388885999998</v>
      </c>
      <c r="D395" s="1">
        <v>81.051388885999998</v>
      </c>
      <c r="E395" s="1" t="s">
        <v>149</v>
      </c>
      <c r="F395" s="1">
        <v>4</v>
      </c>
    </row>
    <row r="396" spans="1:6" x14ac:dyDescent="0.35">
      <c r="A396" s="1">
        <v>2045</v>
      </c>
      <c r="B396" s="1">
        <v>62.035434372229027</v>
      </c>
      <c r="C396" s="1">
        <v>70.799336039779277</v>
      </c>
      <c r="D396" s="1">
        <v>81.051388885999998</v>
      </c>
      <c r="E396" s="1" t="s">
        <v>149</v>
      </c>
      <c r="F396" s="1">
        <v>4</v>
      </c>
    </row>
    <row r="397" spans="1:6" x14ac:dyDescent="0.35">
      <c r="A397" s="1">
        <v>2046</v>
      </c>
      <c r="B397" s="1">
        <v>62.301983683585519</v>
      </c>
      <c r="C397" s="1">
        <v>71.397455577436943</v>
      </c>
      <c r="D397" s="1">
        <v>81.051388885999998</v>
      </c>
      <c r="E397" s="1" t="s">
        <v>149</v>
      </c>
      <c r="F397" s="1">
        <v>4</v>
      </c>
    </row>
    <row r="398" spans="1:6" x14ac:dyDescent="0.35">
      <c r="A398" s="1">
        <v>2047</v>
      </c>
      <c r="B398" s="1">
        <v>57.648386412364523</v>
      </c>
      <c r="C398" s="1">
        <v>71.325427980840786</v>
      </c>
      <c r="D398" s="1">
        <v>79.998012906099689</v>
      </c>
      <c r="E398" s="1" t="s">
        <v>149</v>
      </c>
      <c r="F398" s="1">
        <v>4</v>
      </c>
    </row>
    <row r="399" spans="1:6" x14ac:dyDescent="0.35">
      <c r="A399" s="1">
        <v>2048</v>
      </c>
      <c r="B399" s="1">
        <v>57.793120314670631</v>
      </c>
      <c r="C399" s="1">
        <v>68.436663474930256</v>
      </c>
      <c r="D399" s="1">
        <v>81.051388885999998</v>
      </c>
      <c r="E399" s="1" t="s">
        <v>149</v>
      </c>
      <c r="F399" s="1">
        <v>4</v>
      </c>
    </row>
    <row r="400" spans="1:6" x14ac:dyDescent="0.35">
      <c r="A400" s="1">
        <v>2049</v>
      </c>
      <c r="B400" s="1">
        <v>57.301292955887391</v>
      </c>
      <c r="C400" s="1">
        <v>69.054070750869158</v>
      </c>
      <c r="D400" s="1">
        <v>81.051388885999998</v>
      </c>
      <c r="E400" s="1" t="s">
        <v>149</v>
      </c>
      <c r="F400" s="1">
        <v>4</v>
      </c>
    </row>
    <row r="401" spans="1:6" x14ac:dyDescent="0.35">
      <c r="A401" s="1">
        <v>2050</v>
      </c>
      <c r="B401" s="1">
        <v>54.539935296470887</v>
      </c>
      <c r="C401" s="1">
        <v>67.866986606591581</v>
      </c>
      <c r="D401" s="1">
        <v>80.868103627396309</v>
      </c>
      <c r="E401" s="1" t="s">
        <v>149</v>
      </c>
      <c r="F401" s="1">
        <v>4</v>
      </c>
    </row>
    <row r="402" spans="1:6" x14ac:dyDescent="0.35">
      <c r="A402" s="1">
        <v>2026</v>
      </c>
      <c r="B402" s="1">
        <v>28.49547854274633</v>
      </c>
      <c r="C402" s="1">
        <v>30.605909074177781</v>
      </c>
      <c r="D402" s="1">
        <v>31.42562840067848</v>
      </c>
      <c r="E402" s="1" t="s">
        <v>150</v>
      </c>
      <c r="F402" s="1">
        <v>4</v>
      </c>
    </row>
    <row r="403" spans="1:6" x14ac:dyDescent="0.35">
      <c r="A403" s="1">
        <v>2027</v>
      </c>
      <c r="B403" s="1">
        <v>29.182056886533839</v>
      </c>
      <c r="C403" s="1">
        <v>29.700476084846731</v>
      </c>
      <c r="D403" s="1">
        <v>31.96402385835799</v>
      </c>
      <c r="E403" s="1" t="s">
        <v>150</v>
      </c>
      <c r="F403" s="1">
        <v>4</v>
      </c>
    </row>
    <row r="404" spans="1:6" x14ac:dyDescent="0.35">
      <c r="A404" s="1">
        <v>2028</v>
      </c>
      <c r="B404" s="1">
        <v>29.37008400524109</v>
      </c>
      <c r="C404" s="1">
        <v>29.561195279188968</v>
      </c>
      <c r="D404" s="1">
        <v>33.67543623333021</v>
      </c>
      <c r="E404" s="1" t="s">
        <v>150</v>
      </c>
      <c r="F404" s="1">
        <v>4</v>
      </c>
    </row>
    <row r="405" spans="1:6" x14ac:dyDescent="0.35">
      <c r="A405" s="1">
        <v>2029</v>
      </c>
      <c r="B405" s="1">
        <v>29.928090220327881</v>
      </c>
      <c r="C405" s="1">
        <v>29.81839402439002</v>
      </c>
      <c r="D405" s="1">
        <v>32.953332458989593</v>
      </c>
      <c r="E405" s="1" t="s">
        <v>150</v>
      </c>
      <c r="F405" s="1">
        <v>4</v>
      </c>
    </row>
    <row r="406" spans="1:6" x14ac:dyDescent="0.35">
      <c r="A406" s="1">
        <v>2030</v>
      </c>
      <c r="B406" s="1">
        <v>28.977826135980859</v>
      </c>
      <c r="C406" s="1">
        <v>29.13195070347432</v>
      </c>
      <c r="D406" s="1">
        <v>33.300419413003063</v>
      </c>
      <c r="E406" s="1" t="s">
        <v>150</v>
      </c>
      <c r="F406" s="1">
        <v>4</v>
      </c>
    </row>
    <row r="407" spans="1:6" x14ac:dyDescent="0.35">
      <c r="A407" s="1">
        <v>2031</v>
      </c>
      <c r="B407" s="1">
        <v>27.245730706388489</v>
      </c>
      <c r="C407" s="1">
        <v>27.588364762239291</v>
      </c>
      <c r="D407" s="1">
        <v>34.472011181707288</v>
      </c>
      <c r="E407" s="1" t="s">
        <v>150</v>
      </c>
      <c r="F407" s="1">
        <v>4</v>
      </c>
    </row>
    <row r="408" spans="1:6" x14ac:dyDescent="0.35">
      <c r="A408" s="1">
        <v>2032</v>
      </c>
      <c r="B408" s="1">
        <v>27.77143707721293</v>
      </c>
      <c r="C408" s="1">
        <v>30.542052455995879</v>
      </c>
      <c r="D408" s="1">
        <v>35.252228767046979</v>
      </c>
      <c r="E408" s="1" t="s">
        <v>150</v>
      </c>
      <c r="F408" s="1">
        <v>4</v>
      </c>
    </row>
    <row r="409" spans="1:6" x14ac:dyDescent="0.35">
      <c r="A409" s="1">
        <v>2033</v>
      </c>
      <c r="B409" s="1">
        <v>27.377454906341619</v>
      </c>
      <c r="C409" s="1">
        <v>31.132035613820189</v>
      </c>
      <c r="D409" s="1">
        <v>35.119653911031691</v>
      </c>
      <c r="E409" s="1" t="s">
        <v>150</v>
      </c>
      <c r="F409" s="1">
        <v>4</v>
      </c>
    </row>
    <row r="410" spans="1:6" x14ac:dyDescent="0.35">
      <c r="A410" s="1">
        <v>2034</v>
      </c>
      <c r="B410" s="1">
        <v>27.041159462449009</v>
      </c>
      <c r="C410" s="1">
        <v>29.498714618083749</v>
      </c>
      <c r="D410" s="1">
        <v>35.133851650784088</v>
      </c>
      <c r="E410" s="1" t="s">
        <v>150</v>
      </c>
      <c r="F410" s="1">
        <v>4</v>
      </c>
    </row>
    <row r="411" spans="1:6" x14ac:dyDescent="0.35">
      <c r="A411" s="1">
        <v>2035</v>
      </c>
      <c r="B411" s="1">
        <v>36.722516807271298</v>
      </c>
      <c r="C411" s="1">
        <v>48.635158249147487</v>
      </c>
      <c r="D411" s="1">
        <v>57.925928538270547</v>
      </c>
      <c r="E411" s="1" t="s">
        <v>150</v>
      </c>
      <c r="F411" s="1">
        <v>4</v>
      </c>
    </row>
    <row r="412" spans="1:6" x14ac:dyDescent="0.35">
      <c r="A412" s="1">
        <v>2036</v>
      </c>
      <c r="B412" s="1">
        <v>32.415555804725457</v>
      </c>
      <c r="C412" s="1">
        <v>40.530835900937753</v>
      </c>
      <c r="D412" s="1">
        <v>53.298620534763351</v>
      </c>
      <c r="E412" s="1" t="s">
        <v>150</v>
      </c>
      <c r="F412" s="1">
        <v>4</v>
      </c>
    </row>
    <row r="413" spans="1:6" x14ac:dyDescent="0.35">
      <c r="A413" s="1">
        <v>2037</v>
      </c>
      <c r="B413" s="1">
        <v>30.50842601547269</v>
      </c>
      <c r="C413" s="1">
        <v>40.44424721118326</v>
      </c>
      <c r="D413" s="1">
        <v>51.59314338998189</v>
      </c>
      <c r="E413" s="1" t="s">
        <v>150</v>
      </c>
      <c r="F413" s="1">
        <v>4</v>
      </c>
    </row>
    <row r="414" spans="1:6" x14ac:dyDescent="0.35">
      <c r="A414" s="1">
        <v>2038</v>
      </c>
      <c r="B414" s="1">
        <v>50.29989090729098</v>
      </c>
      <c r="C414" s="1">
        <v>66.681290654532177</v>
      </c>
      <c r="D414" s="1">
        <v>81.051388885999998</v>
      </c>
      <c r="E414" s="1" t="s">
        <v>150</v>
      </c>
      <c r="F414" s="1">
        <v>4</v>
      </c>
    </row>
    <row r="415" spans="1:6" x14ac:dyDescent="0.35">
      <c r="A415" s="1">
        <v>2039</v>
      </c>
      <c r="B415" s="1">
        <v>45.517647738903108</v>
      </c>
      <c r="C415" s="1">
        <v>61.393130464035451</v>
      </c>
      <c r="D415" s="1">
        <v>68.801853389482545</v>
      </c>
      <c r="E415" s="1" t="s">
        <v>150</v>
      </c>
      <c r="F415" s="1">
        <v>4</v>
      </c>
    </row>
    <row r="416" spans="1:6" x14ac:dyDescent="0.35">
      <c r="A416" s="1">
        <v>2040</v>
      </c>
      <c r="B416" s="1">
        <v>45.086003691300462</v>
      </c>
      <c r="C416" s="1">
        <v>59.260548774683109</v>
      </c>
      <c r="D416" s="1">
        <v>71.108373931939326</v>
      </c>
      <c r="E416" s="1" t="s">
        <v>150</v>
      </c>
      <c r="F416" s="1">
        <v>4</v>
      </c>
    </row>
    <row r="417" spans="1:6" x14ac:dyDescent="0.35">
      <c r="A417" s="1">
        <v>2041</v>
      </c>
      <c r="B417" s="1">
        <v>43.317329650178493</v>
      </c>
      <c r="C417" s="1">
        <v>59.061722583113223</v>
      </c>
      <c r="D417" s="1">
        <v>70.088448016727853</v>
      </c>
      <c r="E417" s="1" t="s">
        <v>150</v>
      </c>
      <c r="F417" s="1">
        <v>4</v>
      </c>
    </row>
    <row r="418" spans="1:6" x14ac:dyDescent="0.35">
      <c r="A418" s="1">
        <v>2042</v>
      </c>
      <c r="B418" s="1">
        <v>42.58018963693263</v>
      </c>
      <c r="C418" s="1">
        <v>58.183644035499661</v>
      </c>
      <c r="D418" s="1">
        <v>70.680772831749024</v>
      </c>
      <c r="E418" s="1" t="s">
        <v>150</v>
      </c>
      <c r="F418" s="1">
        <v>4</v>
      </c>
    </row>
    <row r="419" spans="1:6" x14ac:dyDescent="0.35">
      <c r="A419" s="1">
        <v>2043</v>
      </c>
      <c r="B419" s="1">
        <v>43.878331666722623</v>
      </c>
      <c r="C419" s="1">
        <v>57.371036802640297</v>
      </c>
      <c r="D419" s="1">
        <v>71.381901736720451</v>
      </c>
      <c r="E419" s="1" t="s">
        <v>150</v>
      </c>
      <c r="F419" s="1">
        <v>4</v>
      </c>
    </row>
    <row r="420" spans="1:6" x14ac:dyDescent="0.35">
      <c r="A420" s="1">
        <v>2044</v>
      </c>
      <c r="B420" s="1">
        <v>43.587349035473487</v>
      </c>
      <c r="C420" s="1">
        <v>56.90571411171166</v>
      </c>
      <c r="D420" s="1">
        <v>75.245158693704113</v>
      </c>
      <c r="E420" s="1" t="s">
        <v>150</v>
      </c>
      <c r="F420" s="1">
        <v>4</v>
      </c>
    </row>
    <row r="421" spans="1:6" x14ac:dyDescent="0.35">
      <c r="A421" s="1">
        <v>2045</v>
      </c>
      <c r="B421" s="1">
        <v>62.042741469458733</v>
      </c>
      <c r="C421" s="1">
        <v>78.722798121010385</v>
      </c>
      <c r="D421" s="1">
        <v>81.051388885999998</v>
      </c>
      <c r="E421" s="1" t="s">
        <v>150</v>
      </c>
      <c r="F421" s="1">
        <v>4</v>
      </c>
    </row>
    <row r="422" spans="1:6" x14ac:dyDescent="0.35">
      <c r="A422" s="1">
        <v>2046</v>
      </c>
      <c r="B422" s="1">
        <v>47.843591624215968</v>
      </c>
      <c r="C422" s="1">
        <v>71.458373225782069</v>
      </c>
      <c r="D422" s="1">
        <v>80.881227758517028</v>
      </c>
      <c r="E422" s="1" t="s">
        <v>150</v>
      </c>
      <c r="F422" s="1">
        <v>4</v>
      </c>
    </row>
    <row r="423" spans="1:6" x14ac:dyDescent="0.35">
      <c r="A423" s="1">
        <v>2047</v>
      </c>
      <c r="B423" s="1">
        <v>49.118272300914441</v>
      </c>
      <c r="C423" s="1">
        <v>66.120846697922843</v>
      </c>
      <c r="D423" s="1">
        <v>78.38668229455061</v>
      </c>
      <c r="E423" s="1" t="s">
        <v>150</v>
      </c>
      <c r="F423" s="1">
        <v>4</v>
      </c>
    </row>
    <row r="424" spans="1:6" x14ac:dyDescent="0.35">
      <c r="A424" s="1">
        <v>2048</v>
      </c>
      <c r="B424" s="1">
        <v>70.089128415320175</v>
      </c>
      <c r="C424" s="1">
        <v>81.051388885999998</v>
      </c>
      <c r="D424" s="1">
        <v>81.051388885999998</v>
      </c>
      <c r="E424" s="1" t="s">
        <v>150</v>
      </c>
      <c r="F424" s="1">
        <v>4</v>
      </c>
    </row>
    <row r="425" spans="1:6" x14ac:dyDescent="0.35">
      <c r="A425" s="1">
        <v>2049</v>
      </c>
      <c r="B425" s="1">
        <v>61.551972392783213</v>
      </c>
      <c r="C425" s="1">
        <v>70.417532344117575</v>
      </c>
      <c r="D425" s="1">
        <v>79.275665143828974</v>
      </c>
      <c r="E425" s="1" t="s">
        <v>150</v>
      </c>
      <c r="F425" s="1">
        <v>4</v>
      </c>
    </row>
    <row r="426" spans="1:6" x14ac:dyDescent="0.35">
      <c r="A426" s="1">
        <v>2050</v>
      </c>
      <c r="B426" s="1">
        <v>62.072853648568731</v>
      </c>
      <c r="C426" s="1">
        <v>67.024101196842565</v>
      </c>
      <c r="D426" s="1">
        <v>80.387770594977198</v>
      </c>
      <c r="E426" s="1" t="s">
        <v>150</v>
      </c>
      <c r="F426" s="1">
        <v>4</v>
      </c>
    </row>
    <row r="427" spans="1:6" x14ac:dyDescent="0.35">
      <c r="A427" s="1">
        <v>2026</v>
      </c>
      <c r="B427" s="1">
        <v>32.740810053436483</v>
      </c>
      <c r="C427" s="1">
        <v>30.014494090934932</v>
      </c>
      <c r="D427" s="1">
        <v>30.808915173094601</v>
      </c>
      <c r="E427" s="1" t="s">
        <v>151</v>
      </c>
      <c r="F427" s="1">
        <v>4</v>
      </c>
    </row>
    <row r="428" spans="1:6" x14ac:dyDescent="0.35">
      <c r="A428" s="1">
        <v>2027</v>
      </c>
      <c r="B428" s="1">
        <v>32.529498688637787</v>
      </c>
      <c r="C428" s="1">
        <v>29.620198573509271</v>
      </c>
      <c r="D428" s="1">
        <v>30.91987101838069</v>
      </c>
      <c r="E428" s="1" t="s">
        <v>151</v>
      </c>
      <c r="F428" s="1">
        <v>4</v>
      </c>
    </row>
    <row r="429" spans="1:6" x14ac:dyDescent="0.35">
      <c r="A429" s="1">
        <v>2028</v>
      </c>
      <c r="B429" s="1">
        <v>31.092778684394059</v>
      </c>
      <c r="C429" s="1">
        <v>30.306885712702119</v>
      </c>
      <c r="D429" s="1">
        <v>32.347766685376769</v>
      </c>
      <c r="E429" s="1" t="s">
        <v>151</v>
      </c>
      <c r="F429" s="1">
        <v>4</v>
      </c>
    </row>
    <row r="430" spans="1:6" x14ac:dyDescent="0.35">
      <c r="A430" s="1">
        <v>2029</v>
      </c>
      <c r="B430" s="1">
        <v>30.17061724306264</v>
      </c>
      <c r="C430" s="1">
        <v>29.759965373051699</v>
      </c>
      <c r="D430" s="1">
        <v>32.592835820678133</v>
      </c>
      <c r="E430" s="1" t="s">
        <v>151</v>
      </c>
      <c r="F430" s="1">
        <v>4</v>
      </c>
    </row>
    <row r="431" spans="1:6" x14ac:dyDescent="0.35">
      <c r="A431" s="1">
        <v>2030</v>
      </c>
      <c r="B431" s="1">
        <v>29.612716325507499</v>
      </c>
      <c r="C431" s="1">
        <v>29.495371431105461</v>
      </c>
      <c r="D431" s="1">
        <v>33.087976436656689</v>
      </c>
      <c r="E431" s="1" t="s">
        <v>151</v>
      </c>
      <c r="F431" s="1">
        <v>4</v>
      </c>
    </row>
    <row r="432" spans="1:6" x14ac:dyDescent="0.35">
      <c r="A432" s="1">
        <v>2031</v>
      </c>
      <c r="B432" s="1">
        <v>39.284247031219948</v>
      </c>
      <c r="C432" s="1">
        <v>48.629646265664462</v>
      </c>
      <c r="D432" s="1">
        <v>54.552850555540523</v>
      </c>
      <c r="E432" s="1" t="s">
        <v>151</v>
      </c>
      <c r="F432" s="1">
        <v>4</v>
      </c>
    </row>
    <row r="433" spans="1:6" x14ac:dyDescent="0.35">
      <c r="A433" s="1">
        <v>2032</v>
      </c>
      <c r="B433" s="1">
        <v>31.393436033767419</v>
      </c>
      <c r="C433" s="1">
        <v>42.116601584614877</v>
      </c>
      <c r="D433" s="1">
        <v>52.645802024626107</v>
      </c>
      <c r="E433" s="1" t="s">
        <v>151</v>
      </c>
      <c r="F433" s="1">
        <v>4</v>
      </c>
    </row>
    <row r="434" spans="1:6" x14ac:dyDescent="0.35">
      <c r="A434" s="1">
        <v>2033</v>
      </c>
      <c r="B434" s="1">
        <v>31.948950571605351</v>
      </c>
      <c r="C434" s="1">
        <v>42.774858129943667</v>
      </c>
      <c r="D434" s="1">
        <v>51.41690795833766</v>
      </c>
      <c r="E434" s="1" t="s">
        <v>151</v>
      </c>
      <c r="F434" s="1">
        <v>4</v>
      </c>
    </row>
    <row r="435" spans="1:6" x14ac:dyDescent="0.35">
      <c r="A435" s="1">
        <v>2034</v>
      </c>
      <c r="B435" s="1">
        <v>33.684594504585753</v>
      </c>
      <c r="C435" s="1">
        <v>42.714709581901417</v>
      </c>
      <c r="D435" s="1">
        <v>51.987245898327821</v>
      </c>
      <c r="E435" s="1" t="s">
        <v>151</v>
      </c>
      <c r="F435" s="1">
        <v>4</v>
      </c>
    </row>
    <row r="436" spans="1:6" x14ac:dyDescent="0.35">
      <c r="A436" s="1">
        <v>2035</v>
      </c>
      <c r="B436" s="1">
        <v>33.791620334286897</v>
      </c>
      <c r="C436" s="1">
        <v>40.89853040389081</v>
      </c>
      <c r="D436" s="1">
        <v>53.713164913528793</v>
      </c>
      <c r="E436" s="1" t="s">
        <v>151</v>
      </c>
      <c r="F436" s="1">
        <v>4</v>
      </c>
    </row>
    <row r="437" spans="1:6" x14ac:dyDescent="0.35">
      <c r="A437" s="1">
        <v>2036</v>
      </c>
      <c r="B437" s="1">
        <v>34.479037064823579</v>
      </c>
      <c r="C437" s="1">
        <v>41.975611683424532</v>
      </c>
      <c r="D437" s="1">
        <v>55.186725603222762</v>
      </c>
      <c r="E437" s="1" t="s">
        <v>151</v>
      </c>
      <c r="F437" s="1">
        <v>4</v>
      </c>
    </row>
    <row r="438" spans="1:6" x14ac:dyDescent="0.35">
      <c r="A438" s="1">
        <v>2037</v>
      </c>
      <c r="B438" s="1">
        <v>35.170094683814277</v>
      </c>
      <c r="C438" s="1">
        <v>42.745012263356891</v>
      </c>
      <c r="D438" s="1">
        <v>55.497309859068807</v>
      </c>
      <c r="E438" s="1" t="s">
        <v>151</v>
      </c>
      <c r="F438" s="1">
        <v>4</v>
      </c>
    </row>
    <row r="439" spans="1:6" x14ac:dyDescent="0.35">
      <c r="A439" s="1">
        <v>2038</v>
      </c>
      <c r="B439" s="1">
        <v>34.034816911134001</v>
      </c>
      <c r="C439" s="1">
        <v>43.803457554973043</v>
      </c>
      <c r="D439" s="1">
        <v>57.77698888735538</v>
      </c>
      <c r="E439" s="1" t="s">
        <v>151</v>
      </c>
      <c r="F439" s="1">
        <v>4</v>
      </c>
    </row>
    <row r="440" spans="1:6" x14ac:dyDescent="0.35">
      <c r="A440" s="1">
        <v>2039</v>
      </c>
      <c r="B440" s="1">
        <v>33.842163206846941</v>
      </c>
      <c r="C440" s="1">
        <v>41.471534674402918</v>
      </c>
      <c r="D440" s="1">
        <v>56.657800436058743</v>
      </c>
      <c r="E440" s="1" t="s">
        <v>151</v>
      </c>
      <c r="F440" s="1">
        <v>4</v>
      </c>
    </row>
    <row r="441" spans="1:6" x14ac:dyDescent="0.35">
      <c r="A441" s="1">
        <v>2040</v>
      </c>
      <c r="B441" s="1">
        <v>33.074198045592112</v>
      </c>
      <c r="C441" s="1">
        <v>42.070944273511749</v>
      </c>
      <c r="D441" s="1">
        <v>58.064682354954591</v>
      </c>
      <c r="E441" s="1" t="s">
        <v>151</v>
      </c>
      <c r="F441" s="1">
        <v>4</v>
      </c>
    </row>
    <row r="442" spans="1:6" x14ac:dyDescent="0.35">
      <c r="A442" s="1">
        <v>2041</v>
      </c>
      <c r="B442" s="1">
        <v>51.608484393084908</v>
      </c>
      <c r="C442" s="1">
        <v>69.363260702178579</v>
      </c>
      <c r="D442" s="1">
        <v>81.051388885999998</v>
      </c>
      <c r="E442" s="1" t="s">
        <v>151</v>
      </c>
      <c r="F442" s="1">
        <v>4</v>
      </c>
    </row>
    <row r="443" spans="1:6" x14ac:dyDescent="0.35">
      <c r="A443" s="1">
        <v>2042</v>
      </c>
      <c r="B443" s="1">
        <v>41.140402694195927</v>
      </c>
      <c r="C443" s="1">
        <v>57.736431250684561</v>
      </c>
      <c r="D443" s="1">
        <v>73.227555254285463</v>
      </c>
      <c r="E443" s="1" t="s">
        <v>151</v>
      </c>
      <c r="F443" s="1">
        <v>4</v>
      </c>
    </row>
    <row r="444" spans="1:6" x14ac:dyDescent="0.35">
      <c r="A444" s="1">
        <v>2043</v>
      </c>
      <c r="B444" s="1">
        <v>38.934536068996778</v>
      </c>
      <c r="C444" s="1">
        <v>58.038514636874943</v>
      </c>
      <c r="D444" s="1">
        <v>74.316337809542958</v>
      </c>
      <c r="E444" s="1" t="s">
        <v>151</v>
      </c>
      <c r="F444" s="1">
        <v>4</v>
      </c>
    </row>
    <row r="445" spans="1:6" x14ac:dyDescent="0.35">
      <c r="A445" s="1">
        <v>2044</v>
      </c>
      <c r="B445" s="1">
        <v>38.73952733242011</v>
      </c>
      <c r="C445" s="1">
        <v>57.139437464890626</v>
      </c>
      <c r="D445" s="1">
        <v>73.609275942218574</v>
      </c>
      <c r="E445" s="1" t="s">
        <v>151</v>
      </c>
      <c r="F445" s="1">
        <v>4</v>
      </c>
    </row>
    <row r="446" spans="1:6" x14ac:dyDescent="0.35">
      <c r="A446" s="1">
        <v>2045</v>
      </c>
      <c r="B446" s="1">
        <v>39.406631710902339</v>
      </c>
      <c r="C446" s="1">
        <v>55.462223461519528</v>
      </c>
      <c r="D446" s="1">
        <v>74.86473923872731</v>
      </c>
      <c r="E446" s="1" t="s">
        <v>151</v>
      </c>
      <c r="F446" s="1">
        <v>4</v>
      </c>
    </row>
    <row r="447" spans="1:6" x14ac:dyDescent="0.35">
      <c r="A447" s="1">
        <v>2046</v>
      </c>
      <c r="B447" s="1">
        <v>39.13595122347818</v>
      </c>
      <c r="C447" s="1">
        <v>55.040486987875227</v>
      </c>
      <c r="D447" s="1">
        <v>73.785334844642051</v>
      </c>
      <c r="E447" s="1" t="s">
        <v>151</v>
      </c>
      <c r="F447" s="1">
        <v>4</v>
      </c>
    </row>
    <row r="448" spans="1:6" x14ac:dyDescent="0.35">
      <c r="A448" s="1">
        <v>2047</v>
      </c>
      <c r="B448" s="1">
        <v>64.524275231231186</v>
      </c>
      <c r="C448" s="1">
        <v>81.051388885999998</v>
      </c>
      <c r="D448" s="1">
        <v>81.051388885999998</v>
      </c>
      <c r="E448" s="1" t="s">
        <v>151</v>
      </c>
      <c r="F448" s="1">
        <v>4</v>
      </c>
    </row>
    <row r="449" spans="1:6" x14ac:dyDescent="0.35">
      <c r="A449" s="1">
        <v>2048</v>
      </c>
      <c r="B449" s="1">
        <v>52.679118876400572</v>
      </c>
      <c r="C449" s="1">
        <v>65.560988450374154</v>
      </c>
      <c r="D449" s="1">
        <v>80.52292217337795</v>
      </c>
      <c r="E449" s="1" t="s">
        <v>151</v>
      </c>
      <c r="F449" s="1">
        <v>4</v>
      </c>
    </row>
    <row r="450" spans="1:6" x14ac:dyDescent="0.35">
      <c r="A450" s="1">
        <v>2049</v>
      </c>
      <c r="B450" s="1">
        <v>70.668252112618148</v>
      </c>
      <c r="C450" s="1">
        <v>81.051388885999998</v>
      </c>
      <c r="D450" s="1">
        <v>81.051388885999998</v>
      </c>
      <c r="E450" s="1" t="s">
        <v>151</v>
      </c>
      <c r="F450" s="1">
        <v>4</v>
      </c>
    </row>
    <row r="451" spans="1:6" x14ac:dyDescent="0.35">
      <c r="A451" s="1">
        <v>2050</v>
      </c>
      <c r="B451" s="1">
        <v>58.985050226104619</v>
      </c>
      <c r="C451" s="1">
        <v>71.472780557375557</v>
      </c>
      <c r="D451" s="1">
        <v>79.310782065625631</v>
      </c>
      <c r="E451" s="1" t="s">
        <v>151</v>
      </c>
      <c r="F451" s="1">
        <v>4</v>
      </c>
    </row>
    <row r="452" spans="1:6" x14ac:dyDescent="0.35">
      <c r="A452" s="1">
        <v>2026</v>
      </c>
      <c r="B452" s="1">
        <v>31.983125576269199</v>
      </c>
      <c r="C452" s="1">
        <v>31.677593068313989</v>
      </c>
      <c r="D452" s="1">
        <v>32.845231380853001</v>
      </c>
      <c r="E452" s="1" t="s">
        <v>152</v>
      </c>
      <c r="F452" s="1">
        <v>4</v>
      </c>
    </row>
    <row r="453" spans="1:6" x14ac:dyDescent="0.35">
      <c r="A453" s="1">
        <v>2027</v>
      </c>
      <c r="B453" s="1">
        <v>33.025695889555408</v>
      </c>
      <c r="C453" s="1">
        <v>30.88718342681678</v>
      </c>
      <c r="D453" s="1">
        <v>30.49232926570869</v>
      </c>
      <c r="E453" s="1" t="s">
        <v>152</v>
      </c>
      <c r="F453" s="1">
        <v>4</v>
      </c>
    </row>
    <row r="454" spans="1:6" x14ac:dyDescent="0.35">
      <c r="A454" s="1">
        <v>2028</v>
      </c>
      <c r="B454" s="1">
        <v>31.31368543148519</v>
      </c>
      <c r="C454" s="1">
        <v>31.6405845865327</v>
      </c>
      <c r="D454" s="1">
        <v>30.87906211642888</v>
      </c>
      <c r="E454" s="1" t="s">
        <v>152</v>
      </c>
      <c r="F454" s="1">
        <v>4</v>
      </c>
    </row>
    <row r="455" spans="1:6" x14ac:dyDescent="0.35">
      <c r="A455" s="1">
        <v>2029</v>
      </c>
      <c r="B455" s="1">
        <v>38.550883069920481</v>
      </c>
      <c r="C455" s="1">
        <v>52.166504825203077</v>
      </c>
      <c r="D455" s="1">
        <v>50.910966530626823</v>
      </c>
      <c r="E455" s="1" t="s">
        <v>152</v>
      </c>
      <c r="F455" s="1">
        <v>4</v>
      </c>
    </row>
    <row r="456" spans="1:6" x14ac:dyDescent="0.35">
      <c r="A456" s="1">
        <v>2030</v>
      </c>
      <c r="B456" s="1">
        <v>33.32963038936883</v>
      </c>
      <c r="C456" s="1">
        <v>45.943487360805442</v>
      </c>
      <c r="D456" s="1">
        <v>50.39581277407396</v>
      </c>
      <c r="E456" s="1" t="s">
        <v>152</v>
      </c>
      <c r="F456" s="1">
        <v>4</v>
      </c>
    </row>
    <row r="457" spans="1:6" x14ac:dyDescent="0.35">
      <c r="A457" s="1">
        <v>2031</v>
      </c>
      <c r="B457" s="1">
        <v>32.73107408582856</v>
      </c>
      <c r="C457" s="1">
        <v>44.866958098668633</v>
      </c>
      <c r="D457" s="1">
        <v>50.63853998020965</v>
      </c>
      <c r="E457" s="1" t="s">
        <v>152</v>
      </c>
      <c r="F457" s="1">
        <v>4</v>
      </c>
    </row>
    <row r="458" spans="1:6" x14ac:dyDescent="0.35">
      <c r="A458" s="1">
        <v>2032</v>
      </c>
      <c r="B458" s="1">
        <v>32.154793762132037</v>
      </c>
      <c r="C458" s="1">
        <v>45.379015451122413</v>
      </c>
      <c r="D458" s="1">
        <v>51.823867669316471</v>
      </c>
      <c r="E458" s="1" t="s">
        <v>152</v>
      </c>
      <c r="F458" s="1">
        <v>4</v>
      </c>
    </row>
    <row r="459" spans="1:6" x14ac:dyDescent="0.35">
      <c r="A459" s="1">
        <v>2033</v>
      </c>
      <c r="B459" s="1">
        <v>32.093092207982828</v>
      </c>
      <c r="C459" s="1">
        <v>47.432432399946329</v>
      </c>
      <c r="D459" s="1">
        <v>51.902714392461689</v>
      </c>
      <c r="E459" s="1" t="s">
        <v>152</v>
      </c>
      <c r="F459" s="1">
        <v>4</v>
      </c>
    </row>
    <row r="460" spans="1:6" x14ac:dyDescent="0.35">
      <c r="A460" s="1">
        <v>2034</v>
      </c>
      <c r="B460" s="1">
        <v>51.373707299312301</v>
      </c>
      <c r="C460" s="1">
        <v>69.514059393977846</v>
      </c>
      <c r="D460" s="1">
        <v>78.878041157979524</v>
      </c>
      <c r="E460" s="1" t="s">
        <v>152</v>
      </c>
      <c r="F460" s="1">
        <v>4</v>
      </c>
    </row>
    <row r="461" spans="1:6" x14ac:dyDescent="0.35">
      <c r="A461" s="1">
        <v>2035</v>
      </c>
      <c r="B461" s="1">
        <v>40.130250263774819</v>
      </c>
      <c r="C461" s="1">
        <v>58.522156867572058</v>
      </c>
      <c r="D461" s="1">
        <v>71.382684476928361</v>
      </c>
      <c r="E461" s="1" t="s">
        <v>152</v>
      </c>
      <c r="F461" s="1">
        <v>4</v>
      </c>
    </row>
    <row r="462" spans="1:6" x14ac:dyDescent="0.35">
      <c r="A462" s="1">
        <v>2036</v>
      </c>
      <c r="B462" s="1">
        <v>37.708913567752582</v>
      </c>
      <c r="C462" s="1">
        <v>58.072842295173679</v>
      </c>
      <c r="D462" s="1">
        <v>73.115608263412454</v>
      </c>
      <c r="E462" s="1" t="s">
        <v>152</v>
      </c>
      <c r="F462" s="1">
        <v>4</v>
      </c>
    </row>
    <row r="463" spans="1:6" x14ac:dyDescent="0.35">
      <c r="A463" s="1">
        <v>2037</v>
      </c>
      <c r="B463" s="1">
        <v>38.169920874637519</v>
      </c>
      <c r="C463" s="1">
        <v>55.945838307702317</v>
      </c>
      <c r="D463" s="1">
        <v>72.519726277349335</v>
      </c>
      <c r="E463" s="1" t="s">
        <v>152</v>
      </c>
      <c r="F463" s="1">
        <v>4</v>
      </c>
    </row>
    <row r="464" spans="1:6" x14ac:dyDescent="0.35">
      <c r="A464" s="1">
        <v>2038</v>
      </c>
      <c r="B464" s="1">
        <v>39.05780885302994</v>
      </c>
      <c r="C464" s="1">
        <v>57.795157882864657</v>
      </c>
      <c r="D464" s="1">
        <v>76.604552518719885</v>
      </c>
      <c r="E464" s="1" t="s">
        <v>152</v>
      </c>
      <c r="F464" s="1">
        <v>4</v>
      </c>
    </row>
    <row r="465" spans="1:6" x14ac:dyDescent="0.35">
      <c r="A465" s="1">
        <v>2039</v>
      </c>
      <c r="B465" s="1">
        <v>60.305741628553847</v>
      </c>
      <c r="C465" s="1">
        <v>80.103181787825577</v>
      </c>
      <c r="D465" s="1">
        <v>81.051388885999998</v>
      </c>
      <c r="E465" s="1" t="s">
        <v>152</v>
      </c>
      <c r="F465" s="1">
        <v>4</v>
      </c>
    </row>
    <row r="466" spans="1:6" x14ac:dyDescent="0.35">
      <c r="A466" s="1">
        <v>2040</v>
      </c>
      <c r="B466" s="1">
        <v>52.658207101551483</v>
      </c>
      <c r="C466" s="1">
        <v>71.296266007806025</v>
      </c>
      <c r="D466" s="1">
        <v>81.051388885999998</v>
      </c>
      <c r="E466" s="1" t="s">
        <v>152</v>
      </c>
      <c r="F466" s="1">
        <v>4</v>
      </c>
    </row>
    <row r="467" spans="1:6" x14ac:dyDescent="0.35">
      <c r="A467" s="1">
        <v>2041</v>
      </c>
      <c r="B467" s="1">
        <v>51.895731432597259</v>
      </c>
      <c r="C467" s="1">
        <v>66.74859512991921</v>
      </c>
      <c r="D467" s="1">
        <v>81.051388885999998</v>
      </c>
      <c r="E467" s="1" t="s">
        <v>152</v>
      </c>
      <c r="F467" s="1">
        <v>4</v>
      </c>
    </row>
    <row r="468" spans="1:6" x14ac:dyDescent="0.35">
      <c r="A468" s="1">
        <v>2042</v>
      </c>
      <c r="B468" s="1">
        <v>52.219161481524957</v>
      </c>
      <c r="C468" s="1">
        <v>68.876126393612452</v>
      </c>
      <c r="D468" s="1">
        <v>77.964723467832371</v>
      </c>
      <c r="E468" s="1" t="s">
        <v>152</v>
      </c>
      <c r="F468" s="1">
        <v>4</v>
      </c>
    </row>
    <row r="469" spans="1:6" x14ac:dyDescent="0.35">
      <c r="A469" s="1">
        <v>2043</v>
      </c>
      <c r="B469" s="1">
        <v>55.534310877820992</v>
      </c>
      <c r="C469" s="1">
        <v>65.732595981748432</v>
      </c>
      <c r="D469" s="1">
        <v>77.427783783564138</v>
      </c>
      <c r="E469" s="1" t="s">
        <v>152</v>
      </c>
      <c r="F469" s="1">
        <v>4</v>
      </c>
    </row>
    <row r="470" spans="1:6" x14ac:dyDescent="0.35">
      <c r="A470" s="1">
        <v>2044</v>
      </c>
      <c r="B470" s="1">
        <v>53.839442660055518</v>
      </c>
      <c r="C470" s="1">
        <v>66.937971900374521</v>
      </c>
      <c r="D470" s="1">
        <v>76.57984604690526</v>
      </c>
      <c r="E470" s="1" t="s">
        <v>152</v>
      </c>
      <c r="F470" s="1">
        <v>4</v>
      </c>
    </row>
    <row r="471" spans="1:6" x14ac:dyDescent="0.35">
      <c r="A471" s="1">
        <v>2045</v>
      </c>
      <c r="B471" s="1">
        <v>55.178654572839797</v>
      </c>
      <c r="C471" s="1">
        <v>68.551067061122694</v>
      </c>
      <c r="D471" s="1">
        <v>81.051388885999998</v>
      </c>
      <c r="E471" s="1" t="s">
        <v>152</v>
      </c>
      <c r="F471" s="1">
        <v>4</v>
      </c>
    </row>
    <row r="472" spans="1:6" x14ac:dyDescent="0.35">
      <c r="A472" s="1">
        <v>2046</v>
      </c>
      <c r="B472" s="1">
        <v>67.557373827999072</v>
      </c>
      <c r="C472" s="1">
        <v>81.051388885999998</v>
      </c>
      <c r="D472" s="1">
        <v>81.051388885999998</v>
      </c>
      <c r="E472" s="1" t="s">
        <v>152</v>
      </c>
      <c r="F472" s="1">
        <v>4</v>
      </c>
    </row>
    <row r="473" spans="1:6" x14ac:dyDescent="0.35">
      <c r="A473" s="1">
        <v>2047</v>
      </c>
      <c r="B473" s="1">
        <v>65.641713918885259</v>
      </c>
      <c r="C473" s="1">
        <v>70.402136626676224</v>
      </c>
      <c r="D473" s="1">
        <v>81.051388885999998</v>
      </c>
      <c r="E473" s="1" t="s">
        <v>152</v>
      </c>
      <c r="F473" s="1">
        <v>4</v>
      </c>
    </row>
    <row r="474" spans="1:6" x14ac:dyDescent="0.35">
      <c r="A474" s="1">
        <v>2048</v>
      </c>
      <c r="B474" s="1">
        <v>62.064146041179683</v>
      </c>
      <c r="C474" s="1">
        <v>71.960920332523912</v>
      </c>
      <c r="D474" s="1">
        <v>81.051388885999998</v>
      </c>
      <c r="E474" s="1" t="s">
        <v>152</v>
      </c>
      <c r="F474" s="1">
        <v>4</v>
      </c>
    </row>
    <row r="475" spans="1:6" x14ac:dyDescent="0.35">
      <c r="A475" s="1">
        <v>2049</v>
      </c>
      <c r="B475" s="1">
        <v>59.942606154805141</v>
      </c>
      <c r="C475" s="1">
        <v>69.38266809122301</v>
      </c>
      <c r="D475" s="1">
        <v>81.051388885999998</v>
      </c>
      <c r="E475" s="1" t="s">
        <v>152</v>
      </c>
      <c r="F475" s="1">
        <v>4</v>
      </c>
    </row>
    <row r="476" spans="1:6" x14ac:dyDescent="0.35">
      <c r="A476" s="1">
        <v>2050</v>
      </c>
      <c r="B476" s="1">
        <v>57.498669357545978</v>
      </c>
      <c r="C476" s="1">
        <v>69.083708095905365</v>
      </c>
      <c r="D476" s="1">
        <v>81.051388885999998</v>
      </c>
      <c r="E476" s="1" t="s">
        <v>152</v>
      </c>
      <c r="F476" s="1">
        <v>4</v>
      </c>
    </row>
    <row r="477" spans="1:6" x14ac:dyDescent="0.35">
      <c r="A477" s="1">
        <v>2026</v>
      </c>
      <c r="B477" s="1">
        <v>30.53598892029617</v>
      </c>
      <c r="C477" s="1">
        <v>29.93675743111341</v>
      </c>
      <c r="D477" s="1">
        <v>30.84104266748124</v>
      </c>
      <c r="E477" s="1" t="s">
        <v>153</v>
      </c>
      <c r="F477" s="1">
        <v>4</v>
      </c>
    </row>
    <row r="478" spans="1:6" x14ac:dyDescent="0.35">
      <c r="A478" s="1">
        <v>2027</v>
      </c>
      <c r="B478" s="1">
        <v>43.115367165937933</v>
      </c>
      <c r="C478" s="1">
        <v>49.110660344783639</v>
      </c>
      <c r="D478" s="1">
        <v>50.84828305644654</v>
      </c>
      <c r="E478" s="1" t="s">
        <v>153</v>
      </c>
      <c r="F478" s="1">
        <v>4</v>
      </c>
    </row>
    <row r="479" spans="1:6" x14ac:dyDescent="0.35">
      <c r="A479" s="1">
        <v>2028</v>
      </c>
      <c r="B479" s="1">
        <v>34.818890233919021</v>
      </c>
      <c r="C479" s="1">
        <v>41.698498591740879</v>
      </c>
      <c r="D479" s="1">
        <v>50.358333080714871</v>
      </c>
      <c r="E479" s="1" t="s">
        <v>153</v>
      </c>
      <c r="F479" s="1">
        <v>4</v>
      </c>
    </row>
    <row r="480" spans="1:6" x14ac:dyDescent="0.35">
      <c r="A480" s="1">
        <v>2029</v>
      </c>
      <c r="B480" s="1">
        <v>37.988206869179059</v>
      </c>
      <c r="C480" s="1">
        <v>42.621146917993713</v>
      </c>
      <c r="D480" s="1">
        <v>53.214618179486394</v>
      </c>
      <c r="E480" s="1" t="s">
        <v>153</v>
      </c>
      <c r="F480" s="1">
        <v>4</v>
      </c>
    </row>
    <row r="481" spans="1:6" x14ac:dyDescent="0.35">
      <c r="A481" s="1">
        <v>2030</v>
      </c>
      <c r="B481" s="1">
        <v>36.355249156954947</v>
      </c>
      <c r="C481" s="1">
        <v>44.358139113301362</v>
      </c>
      <c r="D481" s="1">
        <v>52.039984479851903</v>
      </c>
      <c r="E481" s="1" t="s">
        <v>153</v>
      </c>
      <c r="F481" s="1">
        <v>4</v>
      </c>
    </row>
    <row r="482" spans="1:6" x14ac:dyDescent="0.35">
      <c r="A482" s="1">
        <v>2031</v>
      </c>
      <c r="B482" s="1">
        <v>35.951103684868833</v>
      </c>
      <c r="C482" s="1">
        <v>44.220787673859583</v>
      </c>
      <c r="D482" s="1">
        <v>51.559279196804248</v>
      </c>
      <c r="E482" s="1" t="s">
        <v>153</v>
      </c>
      <c r="F482" s="1">
        <v>4</v>
      </c>
    </row>
    <row r="483" spans="1:6" x14ac:dyDescent="0.35">
      <c r="A483" s="1">
        <v>2032</v>
      </c>
      <c r="B483" s="1">
        <v>52.718661223599597</v>
      </c>
      <c r="C483" s="1">
        <v>68.594104335934986</v>
      </c>
      <c r="D483" s="1">
        <v>81.051388885999998</v>
      </c>
      <c r="E483" s="1" t="s">
        <v>153</v>
      </c>
      <c r="F483" s="1">
        <v>4</v>
      </c>
    </row>
    <row r="484" spans="1:6" x14ac:dyDescent="0.35">
      <c r="A484" s="1">
        <v>2033</v>
      </c>
      <c r="B484" s="1">
        <v>41.099786717274753</v>
      </c>
      <c r="C484" s="1">
        <v>60.103839258080328</v>
      </c>
      <c r="D484" s="1">
        <v>75.487328484597157</v>
      </c>
      <c r="E484" s="1" t="s">
        <v>153</v>
      </c>
      <c r="F484" s="1">
        <v>4</v>
      </c>
    </row>
    <row r="485" spans="1:6" x14ac:dyDescent="0.35">
      <c r="A485" s="1">
        <v>2034</v>
      </c>
      <c r="B485" s="1">
        <v>42.746028472741507</v>
      </c>
      <c r="C485" s="1">
        <v>58.994764956868522</v>
      </c>
      <c r="D485" s="1">
        <v>73.867043368851043</v>
      </c>
      <c r="E485" s="1" t="s">
        <v>153</v>
      </c>
      <c r="F485" s="1">
        <v>4</v>
      </c>
    </row>
    <row r="486" spans="1:6" x14ac:dyDescent="0.35">
      <c r="A486" s="1">
        <v>2035</v>
      </c>
      <c r="B486" s="1">
        <v>42.192736962983773</v>
      </c>
      <c r="C486" s="1">
        <v>61.646584149693453</v>
      </c>
      <c r="D486" s="1">
        <v>72.900400924786226</v>
      </c>
      <c r="E486" s="1" t="s">
        <v>153</v>
      </c>
      <c r="F486" s="1">
        <v>4</v>
      </c>
    </row>
    <row r="487" spans="1:6" x14ac:dyDescent="0.35">
      <c r="A487" s="1">
        <v>2036</v>
      </c>
      <c r="B487" s="1">
        <v>40.978740332019072</v>
      </c>
      <c r="C487" s="1">
        <v>62.227125826362993</v>
      </c>
      <c r="D487" s="1">
        <v>71.333542509547868</v>
      </c>
      <c r="E487" s="1" t="s">
        <v>153</v>
      </c>
      <c r="F487" s="1">
        <v>4</v>
      </c>
    </row>
    <row r="488" spans="1:6" x14ac:dyDescent="0.35">
      <c r="A488" s="1">
        <v>2037</v>
      </c>
      <c r="B488" s="1">
        <v>54.727907842238643</v>
      </c>
      <c r="C488" s="1">
        <v>81.051388885999998</v>
      </c>
      <c r="D488" s="1">
        <v>81.051388885999998</v>
      </c>
      <c r="E488" s="1" t="s">
        <v>153</v>
      </c>
      <c r="F488" s="1">
        <v>4</v>
      </c>
    </row>
    <row r="489" spans="1:6" x14ac:dyDescent="0.35">
      <c r="A489" s="1">
        <v>2038</v>
      </c>
      <c r="B489" s="1">
        <v>51.111847408948627</v>
      </c>
      <c r="C489" s="1">
        <v>66.891669031475885</v>
      </c>
      <c r="D489" s="1">
        <v>81.051388885999998</v>
      </c>
      <c r="E489" s="1" t="s">
        <v>153</v>
      </c>
      <c r="F489" s="1">
        <v>4</v>
      </c>
    </row>
    <row r="490" spans="1:6" x14ac:dyDescent="0.35">
      <c r="A490" s="1">
        <v>2039</v>
      </c>
      <c r="B490" s="1">
        <v>51.011956860303499</v>
      </c>
      <c r="C490" s="1">
        <v>67.594545457662633</v>
      </c>
      <c r="D490" s="1">
        <v>81.051388885999998</v>
      </c>
      <c r="E490" s="1" t="s">
        <v>153</v>
      </c>
      <c r="F490" s="1">
        <v>4</v>
      </c>
    </row>
    <row r="491" spans="1:6" x14ac:dyDescent="0.35">
      <c r="A491" s="1">
        <v>2040</v>
      </c>
      <c r="B491" s="1">
        <v>50.336339559458288</v>
      </c>
      <c r="C491" s="1">
        <v>70.471508984591352</v>
      </c>
      <c r="D491" s="1">
        <v>79.8973455243231</v>
      </c>
      <c r="E491" s="1" t="s">
        <v>153</v>
      </c>
      <c r="F491" s="1">
        <v>4</v>
      </c>
    </row>
    <row r="492" spans="1:6" x14ac:dyDescent="0.35">
      <c r="A492" s="1">
        <v>2041</v>
      </c>
      <c r="B492" s="1">
        <v>51.056838382697563</v>
      </c>
      <c r="C492" s="1">
        <v>70.248715000891025</v>
      </c>
      <c r="D492" s="1">
        <v>79.774925732329734</v>
      </c>
      <c r="E492" s="1" t="s">
        <v>153</v>
      </c>
      <c r="F492" s="1">
        <v>4</v>
      </c>
    </row>
    <row r="493" spans="1:6" x14ac:dyDescent="0.35">
      <c r="A493" s="1">
        <v>2042</v>
      </c>
      <c r="B493" s="1">
        <v>81.051388885999998</v>
      </c>
      <c r="C493" s="1">
        <v>81.051388885999998</v>
      </c>
      <c r="D493" s="1">
        <v>81.051388885999998</v>
      </c>
      <c r="E493" s="1" t="s">
        <v>153</v>
      </c>
      <c r="F493" s="1">
        <v>4</v>
      </c>
    </row>
    <row r="494" spans="1:6" x14ac:dyDescent="0.35">
      <c r="A494" s="1">
        <v>2043</v>
      </c>
      <c r="B494" s="1">
        <v>61.252200157353997</v>
      </c>
      <c r="C494" s="1">
        <v>68.89477616790785</v>
      </c>
      <c r="D494" s="1">
        <v>76.960284538389402</v>
      </c>
      <c r="E494" s="1" t="s">
        <v>153</v>
      </c>
      <c r="F494" s="1">
        <v>4</v>
      </c>
    </row>
    <row r="495" spans="1:6" x14ac:dyDescent="0.35">
      <c r="A495" s="1">
        <v>2044</v>
      </c>
      <c r="B495" s="1">
        <v>61.608851020332388</v>
      </c>
      <c r="C495" s="1">
        <v>69.344422846813742</v>
      </c>
      <c r="D495" s="1">
        <v>77.630398484595034</v>
      </c>
      <c r="E495" s="1" t="s">
        <v>153</v>
      </c>
      <c r="F495" s="1">
        <v>4</v>
      </c>
    </row>
    <row r="496" spans="1:6" x14ac:dyDescent="0.35">
      <c r="A496" s="1">
        <v>2045</v>
      </c>
      <c r="B496" s="1">
        <v>62.620949689859323</v>
      </c>
      <c r="C496" s="1">
        <v>69.611843276000897</v>
      </c>
      <c r="D496" s="1">
        <v>81.051388885999998</v>
      </c>
      <c r="E496" s="1" t="s">
        <v>153</v>
      </c>
      <c r="F496" s="1">
        <v>4</v>
      </c>
    </row>
    <row r="497" spans="1:6" x14ac:dyDescent="0.35">
      <c r="A497" s="1">
        <v>2046</v>
      </c>
      <c r="B497" s="1">
        <v>62.094821645017973</v>
      </c>
      <c r="C497" s="1">
        <v>70.469374735600923</v>
      </c>
      <c r="D497" s="1">
        <v>81.051388885999998</v>
      </c>
      <c r="E497" s="1" t="s">
        <v>153</v>
      </c>
      <c r="F497" s="1">
        <v>4</v>
      </c>
    </row>
    <row r="498" spans="1:6" x14ac:dyDescent="0.35">
      <c r="A498" s="1">
        <v>2047</v>
      </c>
      <c r="B498" s="1">
        <v>62.460542580683857</v>
      </c>
      <c r="C498" s="1">
        <v>69.05670504560986</v>
      </c>
      <c r="D498" s="1">
        <v>79.87220009734628</v>
      </c>
      <c r="E498" s="1" t="s">
        <v>153</v>
      </c>
      <c r="F498" s="1">
        <v>4</v>
      </c>
    </row>
    <row r="499" spans="1:6" x14ac:dyDescent="0.35">
      <c r="A499" s="1">
        <v>2048</v>
      </c>
      <c r="B499" s="1">
        <v>63.004591520479963</v>
      </c>
      <c r="C499" s="1">
        <v>68.786462310784444</v>
      </c>
      <c r="D499" s="1">
        <v>81.051388885999998</v>
      </c>
      <c r="E499" s="1" t="s">
        <v>153</v>
      </c>
      <c r="F499" s="1">
        <v>4</v>
      </c>
    </row>
    <row r="500" spans="1:6" x14ac:dyDescent="0.35">
      <c r="A500" s="1">
        <v>2049</v>
      </c>
      <c r="B500" s="1">
        <v>63.089763666631193</v>
      </c>
      <c r="C500" s="1">
        <v>69.708528840334452</v>
      </c>
      <c r="D500" s="1">
        <v>81.051388885999998</v>
      </c>
      <c r="E500" s="1" t="s">
        <v>153</v>
      </c>
      <c r="F500" s="1">
        <v>4</v>
      </c>
    </row>
    <row r="501" spans="1:6" x14ac:dyDescent="0.35">
      <c r="A501" s="1">
        <v>2050</v>
      </c>
      <c r="B501" s="1">
        <v>63.316456033125263</v>
      </c>
      <c r="C501" s="1">
        <v>71.551395716253182</v>
      </c>
      <c r="D501" s="1">
        <v>81.051388885999998</v>
      </c>
      <c r="E501" s="1" t="s">
        <v>153</v>
      </c>
      <c r="F501" s="1">
        <v>4</v>
      </c>
    </row>
    <row r="502" spans="1:6" x14ac:dyDescent="0.35">
      <c r="A502" s="1">
        <v>2026</v>
      </c>
      <c r="B502" s="1">
        <v>36.887359279611033</v>
      </c>
      <c r="C502" s="1">
        <v>46.232151456624543</v>
      </c>
      <c r="D502" s="1">
        <v>51.396595721590828</v>
      </c>
      <c r="E502" s="1" t="s">
        <v>154</v>
      </c>
      <c r="F502" s="1">
        <v>5</v>
      </c>
    </row>
    <row r="503" spans="1:6" x14ac:dyDescent="0.35">
      <c r="A503" s="1">
        <v>2027</v>
      </c>
      <c r="B503" s="1">
        <v>33.960349443248212</v>
      </c>
      <c r="C503" s="1">
        <v>40.3111149851091</v>
      </c>
      <c r="D503" s="1">
        <v>51.183521064480622</v>
      </c>
      <c r="E503" s="1" t="s">
        <v>154</v>
      </c>
      <c r="F503" s="1">
        <v>5</v>
      </c>
    </row>
    <row r="504" spans="1:6" x14ac:dyDescent="0.35">
      <c r="A504" s="1">
        <v>2028</v>
      </c>
      <c r="B504" s="1">
        <v>51.234627062630281</v>
      </c>
      <c r="C504" s="1">
        <v>66.461792721588054</v>
      </c>
      <c r="D504" s="1">
        <v>81.051388885999998</v>
      </c>
      <c r="E504" s="1" t="s">
        <v>154</v>
      </c>
      <c r="F504" s="1">
        <v>5</v>
      </c>
    </row>
    <row r="505" spans="1:6" x14ac:dyDescent="0.35">
      <c r="A505" s="1">
        <v>2029</v>
      </c>
      <c r="B505" s="1">
        <v>43.703794247601657</v>
      </c>
      <c r="C505" s="1">
        <v>58.6995303832906</v>
      </c>
      <c r="D505" s="1">
        <v>69.981149768707127</v>
      </c>
      <c r="E505" s="1" t="s">
        <v>154</v>
      </c>
      <c r="F505" s="1">
        <v>5</v>
      </c>
    </row>
    <row r="506" spans="1:6" x14ac:dyDescent="0.35">
      <c r="A506" s="1">
        <v>2030</v>
      </c>
      <c r="B506" s="1">
        <v>44.970033363637462</v>
      </c>
      <c r="C506" s="1">
        <v>60.053002124384847</v>
      </c>
      <c r="D506" s="1">
        <v>69.453577548624622</v>
      </c>
      <c r="E506" s="1" t="s">
        <v>154</v>
      </c>
      <c r="F506" s="1">
        <v>5</v>
      </c>
    </row>
    <row r="507" spans="1:6" x14ac:dyDescent="0.35">
      <c r="A507" s="1">
        <v>2031</v>
      </c>
      <c r="B507" s="1">
        <v>44.225835795769989</v>
      </c>
      <c r="C507" s="1">
        <v>59.965913920996037</v>
      </c>
      <c r="D507" s="1">
        <v>72.533049989443811</v>
      </c>
      <c r="E507" s="1" t="s">
        <v>154</v>
      </c>
      <c r="F507" s="1">
        <v>5</v>
      </c>
    </row>
    <row r="508" spans="1:6" x14ac:dyDescent="0.35">
      <c r="A508" s="1">
        <v>2032</v>
      </c>
      <c r="B508" s="1">
        <v>45.026557776726911</v>
      </c>
      <c r="C508" s="1">
        <v>57.620625275046969</v>
      </c>
      <c r="D508" s="1">
        <v>74.317118892919154</v>
      </c>
      <c r="E508" s="1" t="s">
        <v>154</v>
      </c>
      <c r="F508" s="1">
        <v>5</v>
      </c>
    </row>
    <row r="509" spans="1:6" x14ac:dyDescent="0.35">
      <c r="A509" s="1">
        <v>2033</v>
      </c>
      <c r="B509" s="1">
        <v>43.731783279181712</v>
      </c>
      <c r="C509" s="1">
        <v>56.214186028624368</v>
      </c>
      <c r="D509" s="1">
        <v>76.187649277917117</v>
      </c>
      <c r="E509" s="1" t="s">
        <v>154</v>
      </c>
      <c r="F509" s="1">
        <v>5</v>
      </c>
    </row>
    <row r="510" spans="1:6" x14ac:dyDescent="0.35">
      <c r="A510" s="1">
        <v>2034</v>
      </c>
      <c r="B510" s="1">
        <v>60.903349362055927</v>
      </c>
      <c r="C510" s="1">
        <v>81.051388885999998</v>
      </c>
      <c r="D510" s="1">
        <v>81.051388885999998</v>
      </c>
      <c r="E510" s="1" t="s">
        <v>154</v>
      </c>
      <c r="F510" s="1">
        <v>5</v>
      </c>
    </row>
    <row r="511" spans="1:6" x14ac:dyDescent="0.35">
      <c r="A511" s="1">
        <v>2035</v>
      </c>
      <c r="B511" s="1">
        <v>52.891337180981211</v>
      </c>
      <c r="C511" s="1">
        <v>69.462937918635006</v>
      </c>
      <c r="D511" s="1">
        <v>76.949359944682342</v>
      </c>
      <c r="E511" s="1" t="s">
        <v>154</v>
      </c>
      <c r="F511" s="1">
        <v>5</v>
      </c>
    </row>
    <row r="512" spans="1:6" x14ac:dyDescent="0.35">
      <c r="A512" s="1">
        <v>2036</v>
      </c>
      <c r="B512" s="1">
        <v>53.926528864033457</v>
      </c>
      <c r="C512" s="1">
        <v>72.700034787014516</v>
      </c>
      <c r="D512" s="1">
        <v>80.580689647808484</v>
      </c>
      <c r="E512" s="1" t="s">
        <v>154</v>
      </c>
      <c r="F512" s="1">
        <v>5</v>
      </c>
    </row>
    <row r="513" spans="1:6" x14ac:dyDescent="0.35">
      <c r="A513" s="1">
        <v>2037</v>
      </c>
      <c r="B513" s="1">
        <v>54.289951363715041</v>
      </c>
      <c r="C513" s="1">
        <v>70.971851179962044</v>
      </c>
      <c r="D513" s="1">
        <v>81.035384240349416</v>
      </c>
      <c r="E513" s="1" t="s">
        <v>154</v>
      </c>
      <c r="F513" s="1">
        <v>5</v>
      </c>
    </row>
    <row r="514" spans="1:6" x14ac:dyDescent="0.35">
      <c r="A514" s="1">
        <v>2038</v>
      </c>
      <c r="B514" s="1">
        <v>54.122675227505397</v>
      </c>
      <c r="C514" s="1">
        <v>69.559469077845421</v>
      </c>
      <c r="D514" s="1">
        <v>81.051388885999998</v>
      </c>
      <c r="E514" s="1" t="s">
        <v>154</v>
      </c>
      <c r="F514" s="1">
        <v>5</v>
      </c>
    </row>
    <row r="515" spans="1:6" x14ac:dyDescent="0.35">
      <c r="A515" s="1">
        <v>2039</v>
      </c>
      <c r="B515" s="1">
        <v>55.373703810269369</v>
      </c>
      <c r="C515" s="1">
        <v>70.306723154819849</v>
      </c>
      <c r="D515" s="1">
        <v>80.89268046049709</v>
      </c>
      <c r="E515" s="1" t="s">
        <v>154</v>
      </c>
      <c r="F515" s="1">
        <v>5</v>
      </c>
    </row>
    <row r="516" spans="1:6" x14ac:dyDescent="0.35">
      <c r="A516" s="1">
        <v>2040</v>
      </c>
      <c r="B516" s="1">
        <v>53.096709774871229</v>
      </c>
      <c r="C516" s="1">
        <v>71.738733290089513</v>
      </c>
      <c r="D516" s="1">
        <v>79.010072368515097</v>
      </c>
      <c r="E516" s="1" t="s">
        <v>154</v>
      </c>
      <c r="F516" s="1">
        <v>5</v>
      </c>
    </row>
    <row r="517" spans="1:6" x14ac:dyDescent="0.35">
      <c r="A517" s="1">
        <v>2041</v>
      </c>
      <c r="B517" s="1">
        <v>81.051388885999998</v>
      </c>
      <c r="C517" s="1">
        <v>81.051388885999998</v>
      </c>
      <c r="D517" s="1">
        <v>81.051388885999998</v>
      </c>
      <c r="E517" s="1" t="s">
        <v>154</v>
      </c>
      <c r="F517" s="1">
        <v>5</v>
      </c>
    </row>
    <row r="518" spans="1:6" x14ac:dyDescent="0.35">
      <c r="A518" s="1">
        <v>2042</v>
      </c>
      <c r="B518" s="1">
        <v>66.774407577291626</v>
      </c>
      <c r="C518" s="1">
        <v>71.156091031128256</v>
      </c>
      <c r="D518" s="1">
        <v>78.68693351230641</v>
      </c>
      <c r="E518" s="1" t="s">
        <v>154</v>
      </c>
      <c r="F518" s="1">
        <v>5</v>
      </c>
    </row>
    <row r="519" spans="1:6" x14ac:dyDescent="0.35">
      <c r="A519" s="1">
        <v>2043</v>
      </c>
      <c r="B519" s="1">
        <v>81.051388885999998</v>
      </c>
      <c r="C519" s="1">
        <v>81.051388885999998</v>
      </c>
      <c r="D519" s="1">
        <v>81.051388885999998</v>
      </c>
      <c r="E519" s="1" t="s">
        <v>154</v>
      </c>
      <c r="F519" s="1">
        <v>5</v>
      </c>
    </row>
    <row r="520" spans="1:6" x14ac:dyDescent="0.35">
      <c r="A520" s="1">
        <v>2044</v>
      </c>
      <c r="B520" s="1">
        <v>61.689189597057712</v>
      </c>
      <c r="C520" s="1">
        <v>75.10330800627132</v>
      </c>
      <c r="D520" s="1">
        <v>81.051388885999998</v>
      </c>
      <c r="E520" s="1" t="s">
        <v>154</v>
      </c>
      <c r="F520" s="1">
        <v>5</v>
      </c>
    </row>
    <row r="521" spans="1:6" x14ac:dyDescent="0.35">
      <c r="A521" s="1">
        <v>2045</v>
      </c>
      <c r="B521" s="1">
        <v>60.430418810741557</v>
      </c>
      <c r="C521" s="1">
        <v>75.739050395874713</v>
      </c>
      <c r="D521" s="1">
        <v>81.051388885999998</v>
      </c>
      <c r="E521" s="1" t="s">
        <v>154</v>
      </c>
      <c r="F521" s="1">
        <v>5</v>
      </c>
    </row>
    <row r="522" spans="1:6" x14ac:dyDescent="0.35">
      <c r="A522" s="1">
        <v>2046</v>
      </c>
      <c r="B522" s="1">
        <v>59.022903918440349</v>
      </c>
      <c r="C522" s="1">
        <v>73.248285090796514</v>
      </c>
      <c r="D522" s="1">
        <v>80.702679099601696</v>
      </c>
      <c r="E522" s="1" t="s">
        <v>154</v>
      </c>
      <c r="F522" s="1">
        <v>5</v>
      </c>
    </row>
    <row r="523" spans="1:6" x14ac:dyDescent="0.35">
      <c r="A523" s="1">
        <v>2047</v>
      </c>
      <c r="B523" s="1">
        <v>62.769580865224277</v>
      </c>
      <c r="C523" s="1">
        <v>73.384685418811074</v>
      </c>
      <c r="D523" s="1">
        <v>80.276856369054556</v>
      </c>
      <c r="E523" s="1" t="s">
        <v>154</v>
      </c>
      <c r="F523" s="1">
        <v>5</v>
      </c>
    </row>
    <row r="524" spans="1:6" x14ac:dyDescent="0.35">
      <c r="A524" s="1">
        <v>2048</v>
      </c>
      <c r="B524" s="1">
        <v>64.430478799212736</v>
      </c>
      <c r="C524" s="1">
        <v>70.394956682206342</v>
      </c>
      <c r="D524" s="1">
        <v>80.180704614296914</v>
      </c>
      <c r="E524" s="1" t="s">
        <v>154</v>
      </c>
      <c r="F524" s="1">
        <v>5</v>
      </c>
    </row>
    <row r="525" spans="1:6" x14ac:dyDescent="0.35">
      <c r="A525" s="1">
        <v>2049</v>
      </c>
      <c r="B525" s="1">
        <v>65.265784838077977</v>
      </c>
      <c r="C525" s="1">
        <v>69.932710389064866</v>
      </c>
      <c r="D525" s="1">
        <v>76.557093096578583</v>
      </c>
      <c r="E525" s="1" t="s">
        <v>154</v>
      </c>
      <c r="F525" s="1">
        <v>5</v>
      </c>
    </row>
    <row r="526" spans="1:6" x14ac:dyDescent="0.35">
      <c r="A526" s="1">
        <v>2050</v>
      </c>
      <c r="B526" s="1">
        <v>64.36575690649245</v>
      </c>
      <c r="C526" s="1">
        <v>67.231630263716298</v>
      </c>
      <c r="D526" s="1">
        <v>75.319747783545708</v>
      </c>
      <c r="E526" s="1" t="s">
        <v>154</v>
      </c>
      <c r="F526" s="1">
        <v>5</v>
      </c>
    </row>
    <row r="527" spans="1:6" x14ac:dyDescent="0.35">
      <c r="A527" s="1">
        <v>2026</v>
      </c>
      <c r="B527" s="1">
        <v>31.353088303282519</v>
      </c>
      <c r="C527" s="1">
        <v>32.175907254309323</v>
      </c>
      <c r="D527" s="1">
        <v>32.933616689717361</v>
      </c>
      <c r="E527" s="1" t="s">
        <v>155</v>
      </c>
      <c r="F527" s="1">
        <v>5</v>
      </c>
    </row>
    <row r="528" spans="1:6" x14ac:dyDescent="0.35">
      <c r="A528" s="1">
        <v>2027</v>
      </c>
      <c r="B528" s="1">
        <v>29.580738645382411</v>
      </c>
      <c r="C528" s="1">
        <v>30.886530751726401</v>
      </c>
      <c r="D528" s="1">
        <v>32.29397901849358</v>
      </c>
      <c r="E528" s="1" t="s">
        <v>155</v>
      </c>
      <c r="F528" s="1">
        <v>5</v>
      </c>
    </row>
    <row r="529" spans="1:6" x14ac:dyDescent="0.35">
      <c r="A529" s="1">
        <v>2028</v>
      </c>
      <c r="B529" s="1">
        <v>27.879599089356141</v>
      </c>
      <c r="C529" s="1">
        <v>30.568125657946531</v>
      </c>
      <c r="D529" s="1">
        <v>33.342474173098253</v>
      </c>
      <c r="E529" s="1" t="s">
        <v>155</v>
      </c>
      <c r="F529" s="1">
        <v>5</v>
      </c>
    </row>
    <row r="530" spans="1:6" x14ac:dyDescent="0.35">
      <c r="A530" s="1">
        <v>2029</v>
      </c>
      <c r="B530" s="1">
        <v>32.778779680450462</v>
      </c>
      <c r="C530" s="1">
        <v>42.076739267444488</v>
      </c>
      <c r="D530" s="1">
        <v>54.972446386956761</v>
      </c>
      <c r="E530" s="1" t="s">
        <v>155</v>
      </c>
      <c r="F530" s="1">
        <v>5</v>
      </c>
    </row>
    <row r="531" spans="1:6" x14ac:dyDescent="0.35">
      <c r="A531" s="1">
        <v>2030</v>
      </c>
      <c r="B531" s="1">
        <v>32.049838922575013</v>
      </c>
      <c r="C531" s="1">
        <v>44.05532425836526</v>
      </c>
      <c r="D531" s="1">
        <v>52.246253229809568</v>
      </c>
      <c r="E531" s="1" t="s">
        <v>155</v>
      </c>
      <c r="F531" s="1">
        <v>5</v>
      </c>
    </row>
    <row r="532" spans="1:6" x14ac:dyDescent="0.35">
      <c r="A532" s="1">
        <v>2031</v>
      </c>
      <c r="B532" s="1">
        <v>46.461105247089343</v>
      </c>
      <c r="C532" s="1">
        <v>64.286600200248216</v>
      </c>
      <c r="D532" s="1">
        <v>81.051388885999998</v>
      </c>
      <c r="E532" s="1" t="s">
        <v>155</v>
      </c>
      <c r="F532" s="1">
        <v>5</v>
      </c>
    </row>
    <row r="533" spans="1:6" x14ac:dyDescent="0.35">
      <c r="A533" s="1">
        <v>2032</v>
      </c>
      <c r="B533" s="1">
        <v>43.160784275857758</v>
      </c>
      <c r="C533" s="1">
        <v>56.410285520454522</v>
      </c>
      <c r="D533" s="1">
        <v>71.980606120843973</v>
      </c>
      <c r="E533" s="1" t="s">
        <v>155</v>
      </c>
      <c r="F533" s="1">
        <v>5</v>
      </c>
    </row>
    <row r="534" spans="1:6" x14ac:dyDescent="0.35">
      <c r="A534" s="1">
        <v>2033</v>
      </c>
      <c r="B534" s="1">
        <v>42.698152561273552</v>
      </c>
      <c r="C534" s="1">
        <v>57.388474073470292</v>
      </c>
      <c r="D534" s="1">
        <v>75.411165524256205</v>
      </c>
      <c r="E534" s="1" t="s">
        <v>155</v>
      </c>
      <c r="F534" s="1">
        <v>5</v>
      </c>
    </row>
    <row r="535" spans="1:6" x14ac:dyDescent="0.35">
      <c r="A535" s="1">
        <v>2034</v>
      </c>
      <c r="B535" s="1">
        <v>43.269016021951863</v>
      </c>
      <c r="C535" s="1">
        <v>60.853437410939513</v>
      </c>
      <c r="D535" s="1">
        <v>77.998141673876958</v>
      </c>
      <c r="E535" s="1" t="s">
        <v>155</v>
      </c>
      <c r="F535" s="1">
        <v>5</v>
      </c>
    </row>
    <row r="536" spans="1:6" x14ac:dyDescent="0.35">
      <c r="A536" s="1">
        <v>2035</v>
      </c>
      <c r="B536" s="1">
        <v>41.599998697076842</v>
      </c>
      <c r="C536" s="1">
        <v>58.241715093372541</v>
      </c>
      <c r="D536" s="1">
        <v>73.067672057469068</v>
      </c>
      <c r="E536" s="1" t="s">
        <v>155</v>
      </c>
      <c r="F536" s="1">
        <v>5</v>
      </c>
    </row>
    <row r="537" spans="1:6" x14ac:dyDescent="0.35">
      <c r="A537" s="1">
        <v>2036</v>
      </c>
      <c r="B537" s="1">
        <v>66.893192937231035</v>
      </c>
      <c r="C537" s="1">
        <v>81.051388885999998</v>
      </c>
      <c r="D537" s="1">
        <v>81.051388885999998</v>
      </c>
      <c r="E537" s="1" t="s">
        <v>155</v>
      </c>
      <c r="F537" s="1">
        <v>5</v>
      </c>
    </row>
    <row r="538" spans="1:6" x14ac:dyDescent="0.35">
      <c r="A538" s="1">
        <v>2037</v>
      </c>
      <c r="B538" s="1">
        <v>54.15948780030859</v>
      </c>
      <c r="C538" s="1">
        <v>70.664349034084125</v>
      </c>
      <c r="D538" s="1">
        <v>81.051388885999998</v>
      </c>
      <c r="E538" s="1" t="s">
        <v>155</v>
      </c>
      <c r="F538" s="1">
        <v>5</v>
      </c>
    </row>
    <row r="539" spans="1:6" x14ac:dyDescent="0.35">
      <c r="A539" s="1">
        <v>2038</v>
      </c>
      <c r="B539" s="1">
        <v>53.933447396601878</v>
      </c>
      <c r="C539" s="1">
        <v>67.612504723592764</v>
      </c>
      <c r="D539" s="1">
        <v>81.051388885999998</v>
      </c>
      <c r="E539" s="1" t="s">
        <v>155</v>
      </c>
      <c r="F539" s="1">
        <v>5</v>
      </c>
    </row>
    <row r="540" spans="1:6" x14ac:dyDescent="0.35">
      <c r="A540" s="1">
        <v>2039</v>
      </c>
      <c r="B540" s="1">
        <v>53.557109919000297</v>
      </c>
      <c r="C540" s="1">
        <v>70.407722900630006</v>
      </c>
      <c r="D540" s="1">
        <v>81.051388885999998</v>
      </c>
      <c r="E540" s="1" t="s">
        <v>155</v>
      </c>
      <c r="F540" s="1">
        <v>5</v>
      </c>
    </row>
    <row r="541" spans="1:6" x14ac:dyDescent="0.35">
      <c r="A541" s="1">
        <v>2040</v>
      </c>
      <c r="B541" s="1">
        <v>51.995113484148</v>
      </c>
      <c r="C541" s="1">
        <v>66.916030595369222</v>
      </c>
      <c r="D541" s="1">
        <v>81.051388885999998</v>
      </c>
      <c r="E541" s="1" t="s">
        <v>155</v>
      </c>
      <c r="F541" s="1">
        <v>5</v>
      </c>
    </row>
    <row r="542" spans="1:6" x14ac:dyDescent="0.35">
      <c r="A542" s="1">
        <v>2041</v>
      </c>
      <c r="B542" s="1">
        <v>52.391166188551942</v>
      </c>
      <c r="C542" s="1">
        <v>69.88070701329589</v>
      </c>
      <c r="D542" s="1">
        <v>81.051388885999998</v>
      </c>
      <c r="E542" s="1" t="s">
        <v>155</v>
      </c>
      <c r="F542" s="1">
        <v>5</v>
      </c>
    </row>
    <row r="543" spans="1:6" x14ac:dyDescent="0.35">
      <c r="A543" s="1">
        <v>2042</v>
      </c>
      <c r="B543" s="1">
        <v>49.564100583202801</v>
      </c>
      <c r="C543" s="1">
        <v>69.616853411346852</v>
      </c>
      <c r="D543" s="1">
        <v>81.051388885999998</v>
      </c>
      <c r="E543" s="1" t="s">
        <v>155</v>
      </c>
      <c r="F543" s="1">
        <v>5</v>
      </c>
    </row>
    <row r="544" spans="1:6" x14ac:dyDescent="0.35">
      <c r="A544" s="1">
        <v>2043</v>
      </c>
      <c r="B544" s="1">
        <v>52.260427426494502</v>
      </c>
      <c r="C544" s="1">
        <v>69.562161232626636</v>
      </c>
      <c r="D544" s="1">
        <v>81.051388885999998</v>
      </c>
      <c r="E544" s="1" t="s">
        <v>155</v>
      </c>
      <c r="F544" s="1">
        <v>5</v>
      </c>
    </row>
    <row r="545" spans="1:6" x14ac:dyDescent="0.35">
      <c r="A545" s="1">
        <v>2044</v>
      </c>
      <c r="B545" s="1">
        <v>51.748457911850188</v>
      </c>
      <c r="C545" s="1">
        <v>71.254141954416127</v>
      </c>
      <c r="D545" s="1">
        <v>81.051388885999998</v>
      </c>
      <c r="E545" s="1" t="s">
        <v>155</v>
      </c>
      <c r="F545" s="1">
        <v>5</v>
      </c>
    </row>
    <row r="546" spans="1:6" x14ac:dyDescent="0.35">
      <c r="A546" s="1">
        <v>2045</v>
      </c>
      <c r="B546" s="1">
        <v>52.44641544715887</v>
      </c>
      <c r="C546" s="1">
        <v>72.303415904393944</v>
      </c>
      <c r="D546" s="1">
        <v>81.051388885999998</v>
      </c>
      <c r="E546" s="1" t="s">
        <v>155</v>
      </c>
      <c r="F546" s="1">
        <v>5</v>
      </c>
    </row>
    <row r="547" spans="1:6" x14ac:dyDescent="0.35">
      <c r="A547" s="1">
        <v>2046</v>
      </c>
      <c r="B547" s="1">
        <v>74.557295997704216</v>
      </c>
      <c r="C547" s="1">
        <v>81.051388885999998</v>
      </c>
      <c r="D547" s="1">
        <v>81.051388885999998</v>
      </c>
      <c r="E547" s="1" t="s">
        <v>155</v>
      </c>
      <c r="F547" s="1">
        <v>5</v>
      </c>
    </row>
    <row r="548" spans="1:6" x14ac:dyDescent="0.35">
      <c r="A548" s="1">
        <v>2047</v>
      </c>
      <c r="B548" s="1">
        <v>57.995418414568789</v>
      </c>
      <c r="C548" s="1">
        <v>72.098207138077299</v>
      </c>
      <c r="D548" s="1">
        <v>74.479955282904569</v>
      </c>
      <c r="E548" s="1" t="s">
        <v>155</v>
      </c>
      <c r="F548" s="1">
        <v>5</v>
      </c>
    </row>
    <row r="549" spans="1:6" x14ac:dyDescent="0.35">
      <c r="A549" s="1">
        <v>2048</v>
      </c>
      <c r="B549" s="1">
        <v>81.051388885999998</v>
      </c>
      <c r="C549" s="1">
        <v>81.051388885999998</v>
      </c>
      <c r="D549" s="1">
        <v>81.051388885999998</v>
      </c>
      <c r="E549" s="1" t="s">
        <v>155</v>
      </c>
      <c r="F549" s="1">
        <v>5</v>
      </c>
    </row>
    <row r="550" spans="1:6" x14ac:dyDescent="0.35">
      <c r="A550" s="1">
        <v>2049</v>
      </c>
      <c r="B550" s="1">
        <v>68.207556741116804</v>
      </c>
      <c r="C550" s="1">
        <v>73.180473227143437</v>
      </c>
      <c r="D550" s="1">
        <v>80.459519009582934</v>
      </c>
      <c r="E550" s="1" t="s">
        <v>155</v>
      </c>
      <c r="F550" s="1">
        <v>5</v>
      </c>
    </row>
    <row r="551" spans="1:6" x14ac:dyDescent="0.35">
      <c r="A551" s="1">
        <v>2050</v>
      </c>
      <c r="B551" s="1">
        <v>65.204122150119133</v>
      </c>
      <c r="C551" s="1">
        <v>73.220185006524545</v>
      </c>
      <c r="D551" s="1">
        <v>81.051388885999998</v>
      </c>
      <c r="E551" s="1" t="s">
        <v>155</v>
      </c>
      <c r="F551" s="1">
        <v>5</v>
      </c>
    </row>
    <row r="552" spans="1:6" x14ac:dyDescent="0.35">
      <c r="A552" s="1">
        <v>2026</v>
      </c>
      <c r="B552" s="1">
        <v>29.923172429963241</v>
      </c>
      <c r="C552" s="1">
        <v>30.73116883044684</v>
      </c>
      <c r="D552" s="1">
        <v>32.109157880534873</v>
      </c>
      <c r="E552" s="1" t="s">
        <v>156</v>
      </c>
      <c r="F552" s="1">
        <v>5</v>
      </c>
    </row>
    <row r="553" spans="1:6" x14ac:dyDescent="0.35">
      <c r="A553" s="1">
        <v>2027</v>
      </c>
      <c r="B553" s="1">
        <v>29.868162137796151</v>
      </c>
      <c r="C553" s="1">
        <v>29.983587260776289</v>
      </c>
      <c r="D553" s="1">
        <v>31.99207097584425</v>
      </c>
      <c r="E553" s="1" t="s">
        <v>156</v>
      </c>
      <c r="F553" s="1">
        <v>5</v>
      </c>
    </row>
    <row r="554" spans="1:6" x14ac:dyDescent="0.35">
      <c r="A554" s="1">
        <v>2028</v>
      </c>
      <c r="B554" s="1">
        <v>28.198676380718911</v>
      </c>
      <c r="C554" s="1">
        <v>30.504627150096969</v>
      </c>
      <c r="D554" s="1">
        <v>32.537794144553473</v>
      </c>
      <c r="E554" s="1" t="s">
        <v>156</v>
      </c>
      <c r="F554" s="1">
        <v>5</v>
      </c>
    </row>
    <row r="555" spans="1:6" x14ac:dyDescent="0.35">
      <c r="A555" s="1">
        <v>2029</v>
      </c>
      <c r="B555" s="1">
        <v>29.222934076075241</v>
      </c>
      <c r="C555" s="1">
        <v>30.964364862105441</v>
      </c>
      <c r="D555" s="1">
        <v>34.266632244513822</v>
      </c>
      <c r="E555" s="1" t="s">
        <v>156</v>
      </c>
      <c r="F555" s="1">
        <v>5</v>
      </c>
    </row>
    <row r="556" spans="1:6" x14ac:dyDescent="0.35">
      <c r="A556" s="1">
        <v>2030</v>
      </c>
      <c r="B556" s="1">
        <v>42.198228110053478</v>
      </c>
      <c r="C556" s="1">
        <v>46.851143243979493</v>
      </c>
      <c r="D556" s="1">
        <v>52.352063583295667</v>
      </c>
      <c r="E556" s="1" t="s">
        <v>156</v>
      </c>
      <c r="F556" s="1">
        <v>5</v>
      </c>
    </row>
    <row r="557" spans="1:6" x14ac:dyDescent="0.35">
      <c r="A557" s="1">
        <v>2031</v>
      </c>
      <c r="B557" s="1">
        <v>32.105007251596497</v>
      </c>
      <c r="C557" s="1">
        <v>40.366734869133268</v>
      </c>
      <c r="D557" s="1">
        <v>49.892888700655902</v>
      </c>
      <c r="E557" s="1" t="s">
        <v>156</v>
      </c>
      <c r="F557" s="1">
        <v>5</v>
      </c>
    </row>
    <row r="558" spans="1:6" x14ac:dyDescent="0.35">
      <c r="A558" s="1">
        <v>2032</v>
      </c>
      <c r="B558" s="1">
        <v>33.99635319454805</v>
      </c>
      <c r="C558" s="1">
        <v>41.416541576988678</v>
      </c>
      <c r="D558" s="1">
        <v>52.511257032027359</v>
      </c>
      <c r="E558" s="1" t="s">
        <v>156</v>
      </c>
      <c r="F558" s="1">
        <v>5</v>
      </c>
    </row>
    <row r="559" spans="1:6" x14ac:dyDescent="0.35">
      <c r="A559" s="1">
        <v>2033</v>
      </c>
      <c r="B559" s="1">
        <v>34.804323008590544</v>
      </c>
      <c r="C559" s="1">
        <v>41.826115756199933</v>
      </c>
      <c r="D559" s="1">
        <v>52.13191268092968</v>
      </c>
      <c r="E559" s="1" t="s">
        <v>156</v>
      </c>
      <c r="F559" s="1">
        <v>5</v>
      </c>
    </row>
    <row r="560" spans="1:6" x14ac:dyDescent="0.35">
      <c r="A560" s="1">
        <v>2034</v>
      </c>
      <c r="B560" s="1">
        <v>34.466307293014133</v>
      </c>
      <c r="C560" s="1">
        <v>40.847572832949147</v>
      </c>
      <c r="D560" s="1">
        <v>51.997273590721271</v>
      </c>
      <c r="E560" s="1" t="s">
        <v>156</v>
      </c>
      <c r="F560" s="1">
        <v>5</v>
      </c>
    </row>
    <row r="561" spans="1:6" x14ac:dyDescent="0.35">
      <c r="A561" s="1">
        <v>2035</v>
      </c>
      <c r="B561" s="1">
        <v>34.227446252436813</v>
      </c>
      <c r="C561" s="1">
        <v>40.434144638862968</v>
      </c>
      <c r="D561" s="1">
        <v>50.029418498181023</v>
      </c>
      <c r="E561" s="1" t="s">
        <v>156</v>
      </c>
      <c r="F561" s="1">
        <v>5</v>
      </c>
    </row>
    <row r="562" spans="1:6" x14ac:dyDescent="0.35">
      <c r="A562" s="1">
        <v>2036</v>
      </c>
      <c r="B562" s="1">
        <v>32.925929696070632</v>
      </c>
      <c r="C562" s="1">
        <v>41.269747845054368</v>
      </c>
      <c r="D562" s="1">
        <v>49.890342660873984</v>
      </c>
      <c r="E562" s="1" t="s">
        <v>156</v>
      </c>
      <c r="F562" s="1">
        <v>5</v>
      </c>
    </row>
    <row r="563" spans="1:6" x14ac:dyDescent="0.35">
      <c r="A563" s="1">
        <v>2037</v>
      </c>
      <c r="B563" s="1">
        <v>42.131000769117129</v>
      </c>
      <c r="C563" s="1">
        <v>68.042311108571909</v>
      </c>
      <c r="D563" s="1">
        <v>81.051388885999998</v>
      </c>
      <c r="E563" s="1" t="s">
        <v>156</v>
      </c>
      <c r="F563" s="1">
        <v>5</v>
      </c>
    </row>
    <row r="564" spans="1:6" x14ac:dyDescent="0.35">
      <c r="A564" s="1">
        <v>2038</v>
      </c>
      <c r="B564" s="1">
        <v>41.137774602480533</v>
      </c>
      <c r="C564" s="1">
        <v>58.032908978740601</v>
      </c>
      <c r="D564" s="1">
        <v>77.15999840094311</v>
      </c>
      <c r="E564" s="1" t="s">
        <v>156</v>
      </c>
      <c r="F564" s="1">
        <v>5</v>
      </c>
    </row>
    <row r="565" spans="1:6" x14ac:dyDescent="0.35">
      <c r="A565" s="1">
        <v>2039</v>
      </c>
      <c r="B565" s="1">
        <v>41.950371181673312</v>
      </c>
      <c r="C565" s="1">
        <v>56.870070708008043</v>
      </c>
      <c r="D565" s="1">
        <v>76.8874188948338</v>
      </c>
      <c r="E565" s="1" t="s">
        <v>156</v>
      </c>
      <c r="F565" s="1">
        <v>5</v>
      </c>
    </row>
    <row r="566" spans="1:6" x14ac:dyDescent="0.35">
      <c r="A566" s="1">
        <v>2040</v>
      </c>
      <c r="B566" s="1">
        <v>39.749376880130477</v>
      </c>
      <c r="C566" s="1">
        <v>54.98982041250062</v>
      </c>
      <c r="D566" s="1">
        <v>77.17043947332526</v>
      </c>
      <c r="E566" s="1" t="s">
        <v>156</v>
      </c>
      <c r="F566" s="1">
        <v>5</v>
      </c>
    </row>
    <row r="567" spans="1:6" x14ac:dyDescent="0.35">
      <c r="A567" s="1">
        <v>2041</v>
      </c>
      <c r="B567" s="1">
        <v>40.749990849590148</v>
      </c>
      <c r="C567" s="1">
        <v>56.282409990060849</v>
      </c>
      <c r="D567" s="1">
        <v>73.904866159356573</v>
      </c>
      <c r="E567" s="1" t="s">
        <v>156</v>
      </c>
      <c r="F567" s="1">
        <v>5</v>
      </c>
    </row>
    <row r="568" spans="1:6" x14ac:dyDescent="0.35">
      <c r="A568" s="1">
        <v>2042</v>
      </c>
      <c r="B568" s="1">
        <v>38.889120442659063</v>
      </c>
      <c r="C568" s="1">
        <v>54.917271020517617</v>
      </c>
      <c r="D568" s="1">
        <v>75.030869173387089</v>
      </c>
      <c r="E568" s="1" t="s">
        <v>156</v>
      </c>
      <c r="F568" s="1">
        <v>5</v>
      </c>
    </row>
    <row r="569" spans="1:6" x14ac:dyDescent="0.35">
      <c r="A569" s="1">
        <v>2043</v>
      </c>
      <c r="B569" s="1">
        <v>38.641403638999648</v>
      </c>
      <c r="C569" s="1">
        <v>55.02625119574239</v>
      </c>
      <c r="D569" s="1">
        <v>72.066296441470286</v>
      </c>
      <c r="E569" s="1" t="s">
        <v>156</v>
      </c>
      <c r="F569" s="1">
        <v>5</v>
      </c>
    </row>
    <row r="570" spans="1:6" x14ac:dyDescent="0.35">
      <c r="A570" s="1">
        <v>2044</v>
      </c>
      <c r="B570" s="1">
        <v>38.97034973094808</v>
      </c>
      <c r="C570" s="1">
        <v>53.660930790333367</v>
      </c>
      <c r="D570" s="1">
        <v>71.981629777443999</v>
      </c>
      <c r="E570" s="1" t="s">
        <v>156</v>
      </c>
      <c r="F570" s="1">
        <v>5</v>
      </c>
    </row>
    <row r="571" spans="1:6" x14ac:dyDescent="0.35">
      <c r="A571" s="1">
        <v>2045</v>
      </c>
      <c r="B571" s="1">
        <v>64.25124452803712</v>
      </c>
      <c r="C571" s="1">
        <v>79.507103427045507</v>
      </c>
      <c r="D571" s="1">
        <v>81.051388885999998</v>
      </c>
      <c r="E571" s="1" t="s">
        <v>156</v>
      </c>
      <c r="F571" s="1">
        <v>5</v>
      </c>
    </row>
    <row r="572" spans="1:6" x14ac:dyDescent="0.35">
      <c r="A572" s="1">
        <v>2046</v>
      </c>
      <c r="B572" s="1">
        <v>53.618684670644527</v>
      </c>
      <c r="C572" s="1">
        <v>71.448336911823816</v>
      </c>
      <c r="D572" s="1">
        <v>75.796715108794089</v>
      </c>
      <c r="E572" s="1" t="s">
        <v>156</v>
      </c>
      <c r="F572" s="1">
        <v>5</v>
      </c>
    </row>
    <row r="573" spans="1:6" x14ac:dyDescent="0.35">
      <c r="A573" s="1">
        <v>2047</v>
      </c>
      <c r="B573" s="1">
        <v>75.030334489368926</v>
      </c>
      <c r="C573" s="1">
        <v>81.051388885999998</v>
      </c>
      <c r="D573" s="1">
        <v>81.051388885999998</v>
      </c>
      <c r="E573" s="1" t="s">
        <v>156</v>
      </c>
      <c r="F573" s="1">
        <v>5</v>
      </c>
    </row>
    <row r="574" spans="1:6" x14ac:dyDescent="0.35">
      <c r="A574" s="1">
        <v>2048</v>
      </c>
      <c r="B574" s="1">
        <v>61.525483613312659</v>
      </c>
      <c r="C574" s="1">
        <v>72.491877132894842</v>
      </c>
      <c r="D574" s="1">
        <v>81.051388885999998</v>
      </c>
      <c r="E574" s="1" t="s">
        <v>156</v>
      </c>
      <c r="F574" s="1">
        <v>5</v>
      </c>
    </row>
    <row r="575" spans="1:6" x14ac:dyDescent="0.35">
      <c r="A575" s="1">
        <v>2049</v>
      </c>
      <c r="B575" s="1">
        <v>62.055195012425472</v>
      </c>
      <c r="C575" s="1">
        <v>70.894812793364878</v>
      </c>
      <c r="D575" s="1">
        <v>78.531804212588952</v>
      </c>
      <c r="E575" s="1" t="s">
        <v>156</v>
      </c>
      <c r="F575" s="1">
        <v>5</v>
      </c>
    </row>
    <row r="576" spans="1:6" x14ac:dyDescent="0.35">
      <c r="A576" s="1">
        <v>2050</v>
      </c>
      <c r="B576" s="1">
        <v>81.051388885999998</v>
      </c>
      <c r="C576" s="1">
        <v>81.051388885999998</v>
      </c>
      <c r="D576" s="1">
        <v>81.051388885999998</v>
      </c>
      <c r="E576" s="1" t="s">
        <v>156</v>
      </c>
      <c r="F576" s="1">
        <v>5</v>
      </c>
    </row>
    <row r="577" spans="1:6" x14ac:dyDescent="0.35">
      <c r="A577" s="1">
        <v>2026</v>
      </c>
      <c r="B577" s="1">
        <v>29.152972135832911</v>
      </c>
      <c r="C577" s="1">
        <v>30.395492086845231</v>
      </c>
      <c r="D577" s="1">
        <v>31.51789357416132</v>
      </c>
      <c r="E577" s="1" t="s">
        <v>157</v>
      </c>
      <c r="F577" s="1">
        <v>5</v>
      </c>
    </row>
    <row r="578" spans="1:6" x14ac:dyDescent="0.35">
      <c r="A578" s="1">
        <v>2027</v>
      </c>
      <c r="B578" s="1">
        <v>28.329918353908951</v>
      </c>
      <c r="C578" s="1">
        <v>30.535623879385451</v>
      </c>
      <c r="D578" s="1">
        <v>32.559991467675317</v>
      </c>
      <c r="E578" s="1" t="s">
        <v>157</v>
      </c>
      <c r="F578" s="1">
        <v>5</v>
      </c>
    </row>
    <row r="579" spans="1:6" x14ac:dyDescent="0.35">
      <c r="A579" s="1">
        <v>2028</v>
      </c>
      <c r="B579" s="1">
        <v>28.803124062264551</v>
      </c>
      <c r="C579" s="1">
        <v>30.415031631852081</v>
      </c>
      <c r="D579" s="1">
        <v>31.86696312333742</v>
      </c>
      <c r="E579" s="1" t="s">
        <v>157</v>
      </c>
      <c r="F579" s="1">
        <v>5</v>
      </c>
    </row>
    <row r="580" spans="1:6" x14ac:dyDescent="0.35">
      <c r="A580" s="1">
        <v>2029</v>
      </c>
      <c r="B580" s="1">
        <v>27.688869049289359</v>
      </c>
      <c r="C580" s="1">
        <v>29.67737136042097</v>
      </c>
      <c r="D580" s="1">
        <v>33.406668418500573</v>
      </c>
      <c r="E580" s="1" t="s">
        <v>157</v>
      </c>
      <c r="F580" s="1">
        <v>5</v>
      </c>
    </row>
    <row r="581" spans="1:6" x14ac:dyDescent="0.35">
      <c r="A581" s="1">
        <v>2030</v>
      </c>
      <c r="B581" s="1">
        <v>27.232329553978019</v>
      </c>
      <c r="C581" s="1">
        <v>29.090208255334449</v>
      </c>
      <c r="D581" s="1">
        <v>32.226091493129182</v>
      </c>
      <c r="E581" s="1" t="s">
        <v>157</v>
      </c>
      <c r="F581" s="1">
        <v>5</v>
      </c>
    </row>
    <row r="582" spans="1:6" x14ac:dyDescent="0.35">
      <c r="A582" s="1">
        <v>2031</v>
      </c>
      <c r="B582" s="1">
        <v>28.317584462974789</v>
      </c>
      <c r="C582" s="1">
        <v>28.78967000818438</v>
      </c>
      <c r="D582" s="1">
        <v>32.960843328695468</v>
      </c>
      <c r="E582" s="1" t="s">
        <v>157</v>
      </c>
      <c r="F582" s="1">
        <v>5</v>
      </c>
    </row>
    <row r="583" spans="1:6" x14ac:dyDescent="0.35">
      <c r="A583" s="1">
        <v>2032</v>
      </c>
      <c r="B583" s="1">
        <v>38.523697150785743</v>
      </c>
      <c r="C583" s="1">
        <v>47.466141318931129</v>
      </c>
      <c r="D583" s="1">
        <v>54.343243496234649</v>
      </c>
      <c r="E583" s="1" t="s">
        <v>157</v>
      </c>
      <c r="F583" s="1">
        <v>5</v>
      </c>
    </row>
    <row r="584" spans="1:6" x14ac:dyDescent="0.35">
      <c r="A584" s="1">
        <v>2033</v>
      </c>
      <c r="B584" s="1">
        <v>32.273471465624333</v>
      </c>
      <c r="C584" s="1">
        <v>41.310958360080278</v>
      </c>
      <c r="D584" s="1">
        <v>50.151641686714193</v>
      </c>
      <c r="E584" s="1" t="s">
        <v>157</v>
      </c>
      <c r="F584" s="1">
        <v>5</v>
      </c>
    </row>
    <row r="585" spans="1:6" x14ac:dyDescent="0.35">
      <c r="A585" s="1">
        <v>2034</v>
      </c>
      <c r="B585" s="1">
        <v>32.328412265552473</v>
      </c>
      <c r="C585" s="1">
        <v>41.633182852822472</v>
      </c>
      <c r="D585" s="1">
        <v>50.11006896756836</v>
      </c>
      <c r="E585" s="1" t="s">
        <v>157</v>
      </c>
      <c r="F585" s="1">
        <v>5</v>
      </c>
    </row>
    <row r="586" spans="1:6" x14ac:dyDescent="0.35">
      <c r="A586" s="1">
        <v>2035</v>
      </c>
      <c r="B586" s="1">
        <v>45.776350675510187</v>
      </c>
      <c r="C586" s="1">
        <v>68.641514136396253</v>
      </c>
      <c r="D586" s="1">
        <v>81.051388885999998</v>
      </c>
      <c r="E586" s="1" t="s">
        <v>157</v>
      </c>
      <c r="F586" s="1">
        <v>5</v>
      </c>
    </row>
    <row r="587" spans="1:6" x14ac:dyDescent="0.35">
      <c r="A587" s="1">
        <v>2036</v>
      </c>
      <c r="B587" s="1">
        <v>41.619303121991038</v>
      </c>
      <c r="C587" s="1">
        <v>60.410662732023042</v>
      </c>
      <c r="D587" s="1">
        <v>73.298537571830124</v>
      </c>
      <c r="E587" s="1" t="s">
        <v>157</v>
      </c>
      <c r="F587" s="1">
        <v>5</v>
      </c>
    </row>
    <row r="588" spans="1:6" x14ac:dyDescent="0.35">
      <c r="A588" s="1">
        <v>2037</v>
      </c>
      <c r="B588" s="1">
        <v>41.085911532301573</v>
      </c>
      <c r="C588" s="1">
        <v>58.487276290128058</v>
      </c>
      <c r="D588" s="1">
        <v>71.216520602994407</v>
      </c>
      <c r="E588" s="1" t="s">
        <v>157</v>
      </c>
      <c r="F588" s="1">
        <v>5</v>
      </c>
    </row>
    <row r="589" spans="1:6" x14ac:dyDescent="0.35">
      <c r="A589" s="1">
        <v>2038</v>
      </c>
      <c r="B589" s="1">
        <v>40.220487785018769</v>
      </c>
      <c r="C589" s="1">
        <v>56.870833157915648</v>
      </c>
      <c r="D589" s="1">
        <v>74.495274180285961</v>
      </c>
      <c r="E589" s="1" t="s">
        <v>157</v>
      </c>
      <c r="F589" s="1">
        <v>5</v>
      </c>
    </row>
    <row r="590" spans="1:6" x14ac:dyDescent="0.35">
      <c r="A590" s="1">
        <v>2039</v>
      </c>
      <c r="B590" s="1">
        <v>59.415130525944733</v>
      </c>
      <c r="C590" s="1">
        <v>81.051388885999998</v>
      </c>
      <c r="D590" s="1">
        <v>81.051388885999998</v>
      </c>
      <c r="E590" s="1" t="s">
        <v>157</v>
      </c>
      <c r="F590" s="1">
        <v>5</v>
      </c>
    </row>
    <row r="591" spans="1:6" x14ac:dyDescent="0.35">
      <c r="A591" s="1">
        <v>2040</v>
      </c>
      <c r="B591" s="1">
        <v>54.946826086352793</v>
      </c>
      <c r="C591" s="1">
        <v>69.235929404991978</v>
      </c>
      <c r="D591" s="1">
        <v>71.882799820408351</v>
      </c>
      <c r="E591" s="1" t="s">
        <v>157</v>
      </c>
      <c r="F591" s="1">
        <v>5</v>
      </c>
    </row>
    <row r="592" spans="1:6" x14ac:dyDescent="0.35">
      <c r="A592" s="1">
        <v>2041</v>
      </c>
      <c r="B592" s="1">
        <v>55.255689638814921</v>
      </c>
      <c r="C592" s="1">
        <v>71.342468568818433</v>
      </c>
      <c r="D592" s="1">
        <v>74.345909748581647</v>
      </c>
      <c r="E592" s="1" t="s">
        <v>157</v>
      </c>
      <c r="F592" s="1">
        <v>5</v>
      </c>
    </row>
    <row r="593" spans="1:6" x14ac:dyDescent="0.35">
      <c r="A593" s="1">
        <v>2042</v>
      </c>
      <c r="B593" s="1">
        <v>81.051388885999998</v>
      </c>
      <c r="C593" s="1">
        <v>81.051388885999998</v>
      </c>
      <c r="D593" s="1">
        <v>81.051388885999998</v>
      </c>
      <c r="E593" s="1" t="s">
        <v>157</v>
      </c>
      <c r="F593" s="1">
        <v>5</v>
      </c>
    </row>
    <row r="594" spans="1:6" x14ac:dyDescent="0.35">
      <c r="A594" s="1">
        <v>2043</v>
      </c>
      <c r="B594" s="1">
        <v>67.966830393331065</v>
      </c>
      <c r="C594" s="1">
        <v>71.945208811335348</v>
      </c>
      <c r="D594" s="1">
        <v>79.084813034869384</v>
      </c>
      <c r="E594" s="1" t="s">
        <v>157</v>
      </c>
      <c r="F594" s="1">
        <v>5</v>
      </c>
    </row>
    <row r="595" spans="1:6" x14ac:dyDescent="0.35">
      <c r="A595" s="1">
        <v>2044</v>
      </c>
      <c r="B595" s="1">
        <v>81.051388885999998</v>
      </c>
      <c r="C595" s="1">
        <v>81.051388885999998</v>
      </c>
      <c r="D595" s="1">
        <v>81.051388885999998</v>
      </c>
      <c r="E595" s="1" t="s">
        <v>157</v>
      </c>
      <c r="F595" s="1">
        <v>5</v>
      </c>
    </row>
    <row r="596" spans="1:6" x14ac:dyDescent="0.35">
      <c r="A596" s="1">
        <v>2045</v>
      </c>
      <c r="B596" s="1">
        <v>64.222348222390096</v>
      </c>
      <c r="C596" s="1">
        <v>71.839715075566147</v>
      </c>
      <c r="D596" s="1">
        <v>81.051388885999998</v>
      </c>
      <c r="E596" s="1" t="s">
        <v>157</v>
      </c>
      <c r="F596" s="1">
        <v>5</v>
      </c>
    </row>
    <row r="597" spans="1:6" x14ac:dyDescent="0.35">
      <c r="A597" s="1">
        <v>2046</v>
      </c>
      <c r="B597" s="1">
        <v>62.732178266748598</v>
      </c>
      <c r="C597" s="1">
        <v>72.384116781170476</v>
      </c>
      <c r="D597" s="1">
        <v>81.051388885999998</v>
      </c>
      <c r="E597" s="1" t="s">
        <v>157</v>
      </c>
      <c r="F597" s="1">
        <v>5</v>
      </c>
    </row>
    <row r="598" spans="1:6" x14ac:dyDescent="0.35">
      <c r="A598" s="1">
        <v>2047</v>
      </c>
      <c r="B598" s="1">
        <v>62.776556310133437</v>
      </c>
      <c r="C598" s="1">
        <v>71.970419577995912</v>
      </c>
      <c r="D598" s="1">
        <v>81.051388885999998</v>
      </c>
      <c r="E598" s="1" t="s">
        <v>157</v>
      </c>
      <c r="F598" s="1">
        <v>5</v>
      </c>
    </row>
    <row r="599" spans="1:6" x14ac:dyDescent="0.35">
      <c r="A599" s="1">
        <v>2048</v>
      </c>
      <c r="B599" s="1">
        <v>60.370432043653899</v>
      </c>
      <c r="C599" s="1">
        <v>74.449451363055047</v>
      </c>
      <c r="D599" s="1">
        <v>76.995780260531077</v>
      </c>
      <c r="E599" s="1" t="s">
        <v>157</v>
      </c>
      <c r="F599" s="1">
        <v>5</v>
      </c>
    </row>
    <row r="600" spans="1:6" x14ac:dyDescent="0.35">
      <c r="A600" s="1">
        <v>2049</v>
      </c>
      <c r="B600" s="1">
        <v>61.393809132642097</v>
      </c>
      <c r="C600" s="1">
        <v>73.317057936425741</v>
      </c>
      <c r="D600" s="1">
        <v>81.051388885999998</v>
      </c>
      <c r="E600" s="1" t="s">
        <v>157</v>
      </c>
      <c r="F600" s="1">
        <v>5</v>
      </c>
    </row>
    <row r="601" spans="1:6" x14ac:dyDescent="0.35">
      <c r="A601" s="1">
        <v>2050</v>
      </c>
      <c r="B601" s="1">
        <v>61.390536759175397</v>
      </c>
      <c r="C601" s="1">
        <v>71.2172938074972</v>
      </c>
      <c r="D601" s="1">
        <v>81.051388885999998</v>
      </c>
      <c r="E601" s="1" t="s">
        <v>157</v>
      </c>
      <c r="F601" s="1">
        <v>5</v>
      </c>
    </row>
    <row r="602" spans="1:6" x14ac:dyDescent="0.35">
      <c r="A602" s="1">
        <v>2026</v>
      </c>
      <c r="B602" s="1">
        <v>30.919302130593859</v>
      </c>
      <c r="C602" s="1">
        <v>30.91785807052311</v>
      </c>
      <c r="D602" s="1">
        <v>31.145468286268621</v>
      </c>
      <c r="E602" s="1" t="s">
        <v>158</v>
      </c>
      <c r="F602" s="1">
        <v>5</v>
      </c>
    </row>
    <row r="603" spans="1:6" x14ac:dyDescent="0.35">
      <c r="A603" s="1">
        <v>2027</v>
      </c>
      <c r="B603" s="1">
        <v>37.419647717670713</v>
      </c>
      <c r="C603" s="1">
        <v>50.974930245359069</v>
      </c>
      <c r="D603" s="1">
        <v>46.691149234354633</v>
      </c>
      <c r="E603" s="1" t="s">
        <v>158</v>
      </c>
      <c r="F603" s="1">
        <v>5</v>
      </c>
    </row>
    <row r="604" spans="1:6" x14ac:dyDescent="0.35">
      <c r="A604" s="1">
        <v>2028</v>
      </c>
      <c r="B604" s="1">
        <v>35.843362030843593</v>
      </c>
      <c r="C604" s="1">
        <v>47.938512980553163</v>
      </c>
      <c r="D604" s="1">
        <v>47.79201086378167</v>
      </c>
      <c r="E604" s="1" t="s">
        <v>158</v>
      </c>
      <c r="F604" s="1">
        <v>5</v>
      </c>
    </row>
    <row r="605" spans="1:6" x14ac:dyDescent="0.35">
      <c r="A605" s="1">
        <v>2029</v>
      </c>
      <c r="B605" s="1">
        <v>36.277625668119462</v>
      </c>
      <c r="C605" s="1">
        <v>44.907906934871853</v>
      </c>
      <c r="D605" s="1">
        <v>48.472390609620497</v>
      </c>
      <c r="E605" s="1" t="s">
        <v>158</v>
      </c>
      <c r="F605" s="1">
        <v>5</v>
      </c>
    </row>
    <row r="606" spans="1:6" x14ac:dyDescent="0.35">
      <c r="A606" s="1">
        <v>2030</v>
      </c>
      <c r="B606" s="1">
        <v>34.997300289577787</v>
      </c>
      <c r="C606" s="1">
        <v>43.539740604872783</v>
      </c>
      <c r="D606" s="1">
        <v>50.353165620714627</v>
      </c>
      <c r="E606" s="1" t="s">
        <v>158</v>
      </c>
      <c r="F606" s="1">
        <v>5</v>
      </c>
    </row>
    <row r="607" spans="1:6" x14ac:dyDescent="0.35">
      <c r="A607" s="1">
        <v>2031</v>
      </c>
      <c r="B607" s="1">
        <v>35.540068925698527</v>
      </c>
      <c r="C607" s="1">
        <v>40.481903892104697</v>
      </c>
      <c r="D607" s="1">
        <v>51.751340161377023</v>
      </c>
      <c r="E607" s="1" t="s">
        <v>158</v>
      </c>
      <c r="F607" s="1">
        <v>5</v>
      </c>
    </row>
    <row r="608" spans="1:6" x14ac:dyDescent="0.35">
      <c r="A608" s="1">
        <v>2032</v>
      </c>
      <c r="B608" s="1">
        <v>35.131269288413648</v>
      </c>
      <c r="C608" s="1">
        <v>40.711277604072649</v>
      </c>
      <c r="D608" s="1">
        <v>54.471508931006348</v>
      </c>
      <c r="E608" s="1" t="s">
        <v>158</v>
      </c>
      <c r="F608" s="1">
        <v>5</v>
      </c>
    </row>
    <row r="609" spans="1:6" x14ac:dyDescent="0.35">
      <c r="A609" s="1">
        <v>2033</v>
      </c>
      <c r="B609" s="1">
        <v>44.629746849589857</v>
      </c>
      <c r="C609" s="1">
        <v>67.121549343212322</v>
      </c>
      <c r="D609" s="1">
        <v>81.051388885999998</v>
      </c>
      <c r="E609" s="1" t="s">
        <v>158</v>
      </c>
      <c r="F609" s="1">
        <v>5</v>
      </c>
    </row>
    <row r="610" spans="1:6" x14ac:dyDescent="0.35">
      <c r="A610" s="1">
        <v>2034</v>
      </c>
      <c r="B610" s="1">
        <v>40.398573525287027</v>
      </c>
      <c r="C610" s="1">
        <v>55.497221291795377</v>
      </c>
      <c r="D610" s="1">
        <v>68.438902670400097</v>
      </c>
      <c r="E610" s="1" t="s">
        <v>158</v>
      </c>
      <c r="F610" s="1">
        <v>5</v>
      </c>
    </row>
    <row r="611" spans="1:6" x14ac:dyDescent="0.35">
      <c r="A611" s="1">
        <v>2035</v>
      </c>
      <c r="B611" s="1">
        <v>38.592376271745991</v>
      </c>
      <c r="C611" s="1">
        <v>56.208850142579813</v>
      </c>
      <c r="D611" s="1">
        <v>71.502752484611605</v>
      </c>
      <c r="E611" s="1" t="s">
        <v>158</v>
      </c>
      <c r="F611" s="1">
        <v>5</v>
      </c>
    </row>
    <row r="612" spans="1:6" x14ac:dyDescent="0.35">
      <c r="A612" s="1">
        <v>2036</v>
      </c>
      <c r="B612" s="1">
        <v>37.290412349994106</v>
      </c>
      <c r="C612" s="1">
        <v>55.212396321584293</v>
      </c>
      <c r="D612" s="1">
        <v>72.520828482983589</v>
      </c>
      <c r="E612" s="1" t="s">
        <v>158</v>
      </c>
      <c r="F612" s="1">
        <v>5</v>
      </c>
    </row>
    <row r="613" spans="1:6" x14ac:dyDescent="0.35">
      <c r="A613" s="1">
        <v>2037</v>
      </c>
      <c r="B613" s="1">
        <v>37.325968483647841</v>
      </c>
      <c r="C613" s="1">
        <v>55.647408556447751</v>
      </c>
      <c r="D613" s="1">
        <v>71.412980063357082</v>
      </c>
      <c r="E613" s="1" t="s">
        <v>158</v>
      </c>
      <c r="F613" s="1">
        <v>5</v>
      </c>
    </row>
    <row r="614" spans="1:6" x14ac:dyDescent="0.35">
      <c r="A614" s="1">
        <v>2038</v>
      </c>
      <c r="B614" s="1">
        <v>61.540118188472803</v>
      </c>
      <c r="C614" s="1">
        <v>81.051388885999998</v>
      </c>
      <c r="D614" s="1">
        <v>81.051388885999998</v>
      </c>
      <c r="E614" s="1" t="s">
        <v>158</v>
      </c>
      <c r="F614" s="1">
        <v>5</v>
      </c>
    </row>
    <row r="615" spans="1:6" x14ac:dyDescent="0.35">
      <c r="A615" s="1">
        <v>2039</v>
      </c>
      <c r="B615" s="1">
        <v>61.018300258235101</v>
      </c>
      <c r="C615" s="1">
        <v>70.871325142818606</v>
      </c>
      <c r="D615" s="1">
        <v>77.100427591200415</v>
      </c>
      <c r="E615" s="1" t="s">
        <v>158</v>
      </c>
      <c r="F615" s="1">
        <v>5</v>
      </c>
    </row>
    <row r="616" spans="1:6" x14ac:dyDescent="0.35">
      <c r="A616" s="1">
        <v>2040</v>
      </c>
      <c r="B616" s="1">
        <v>81.051388885999998</v>
      </c>
      <c r="C616" s="1">
        <v>79.041774358116712</v>
      </c>
      <c r="D616" s="1">
        <v>80.837250191498654</v>
      </c>
      <c r="E616" s="1" t="s">
        <v>158</v>
      </c>
      <c r="F616" s="1">
        <v>5</v>
      </c>
    </row>
    <row r="617" spans="1:6" x14ac:dyDescent="0.35">
      <c r="A617" s="1">
        <v>2041</v>
      </c>
      <c r="B617" s="1">
        <v>59.455447188545357</v>
      </c>
      <c r="C617" s="1">
        <v>71.000162914091945</v>
      </c>
      <c r="D617" s="1">
        <v>76.5543355957454</v>
      </c>
      <c r="E617" s="1" t="s">
        <v>158</v>
      </c>
      <c r="F617" s="1">
        <v>5</v>
      </c>
    </row>
    <row r="618" spans="1:6" x14ac:dyDescent="0.35">
      <c r="A618" s="1">
        <v>2042</v>
      </c>
      <c r="B618" s="1">
        <v>60.864821524345849</v>
      </c>
      <c r="C618" s="1">
        <v>71.134903610307603</v>
      </c>
      <c r="D618" s="1">
        <v>77.855221354519841</v>
      </c>
      <c r="E618" s="1" t="s">
        <v>158</v>
      </c>
      <c r="F618" s="1">
        <v>5</v>
      </c>
    </row>
    <row r="619" spans="1:6" x14ac:dyDescent="0.35">
      <c r="A619" s="1">
        <v>2043</v>
      </c>
      <c r="B619" s="1">
        <v>58.619368979132389</v>
      </c>
      <c r="C619" s="1">
        <v>71.192680440652197</v>
      </c>
      <c r="D619" s="1">
        <v>77.858897528109296</v>
      </c>
      <c r="E619" s="1" t="s">
        <v>158</v>
      </c>
      <c r="F619" s="1">
        <v>5</v>
      </c>
    </row>
    <row r="620" spans="1:6" x14ac:dyDescent="0.35">
      <c r="A620" s="1">
        <v>2044</v>
      </c>
      <c r="B620" s="1">
        <v>60.664314314325559</v>
      </c>
      <c r="C620" s="1">
        <v>73.863929740324465</v>
      </c>
      <c r="D620" s="1">
        <v>79.883297245772596</v>
      </c>
      <c r="E620" s="1" t="s">
        <v>158</v>
      </c>
      <c r="F620" s="1">
        <v>5</v>
      </c>
    </row>
    <row r="621" spans="1:6" x14ac:dyDescent="0.35">
      <c r="A621" s="1">
        <v>2045</v>
      </c>
      <c r="B621" s="1">
        <v>61.964152336130837</v>
      </c>
      <c r="C621" s="1">
        <v>70.9708339500216</v>
      </c>
      <c r="D621" s="1">
        <v>78.63445639489666</v>
      </c>
      <c r="E621" s="1" t="s">
        <v>158</v>
      </c>
      <c r="F621" s="1">
        <v>5</v>
      </c>
    </row>
    <row r="622" spans="1:6" x14ac:dyDescent="0.35">
      <c r="A622" s="1">
        <v>2046</v>
      </c>
      <c r="B622" s="1">
        <v>64.814116529032304</v>
      </c>
      <c r="C622" s="1">
        <v>70.51146470303982</v>
      </c>
      <c r="D622" s="1">
        <v>81.051388885999998</v>
      </c>
      <c r="E622" s="1" t="s">
        <v>158</v>
      </c>
      <c r="F622" s="1">
        <v>5</v>
      </c>
    </row>
    <row r="623" spans="1:6" x14ac:dyDescent="0.35">
      <c r="A623" s="1">
        <v>2047</v>
      </c>
      <c r="B623" s="1">
        <v>64.125997478246632</v>
      </c>
      <c r="C623" s="1">
        <v>66.981533777695276</v>
      </c>
      <c r="D623" s="1">
        <v>78.03911152259316</v>
      </c>
      <c r="E623" s="1" t="s">
        <v>158</v>
      </c>
      <c r="F623" s="1">
        <v>5</v>
      </c>
    </row>
    <row r="624" spans="1:6" x14ac:dyDescent="0.35">
      <c r="A624" s="1">
        <v>2048</v>
      </c>
      <c r="B624" s="1">
        <v>63.94231506998014</v>
      </c>
      <c r="C624" s="1">
        <v>68.514440982666827</v>
      </c>
      <c r="D624" s="1">
        <v>79.053588960687279</v>
      </c>
      <c r="E624" s="1" t="s">
        <v>158</v>
      </c>
      <c r="F624" s="1">
        <v>5</v>
      </c>
    </row>
    <row r="625" spans="1:6" x14ac:dyDescent="0.35">
      <c r="A625" s="1">
        <v>2049</v>
      </c>
      <c r="B625" s="1">
        <v>81.051388885999998</v>
      </c>
      <c r="C625" s="1">
        <v>81.051388885999998</v>
      </c>
      <c r="D625" s="1">
        <v>81.051388885999998</v>
      </c>
      <c r="E625" s="1" t="s">
        <v>158</v>
      </c>
      <c r="F625" s="1">
        <v>5</v>
      </c>
    </row>
    <row r="626" spans="1:6" x14ac:dyDescent="0.35">
      <c r="A626" s="1">
        <v>2050</v>
      </c>
      <c r="B626" s="1">
        <v>63.028144317297283</v>
      </c>
      <c r="C626" s="1">
        <v>73.905877525351457</v>
      </c>
      <c r="D626" s="1">
        <v>81.051388885999998</v>
      </c>
      <c r="E626" s="1" t="s">
        <v>158</v>
      </c>
      <c r="F626" s="1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F34AE-A4ED-4B42-B3A7-788BD2F67658}">
  <dimension ref="A1:M43"/>
  <sheetViews>
    <sheetView topLeftCell="A16" workbookViewId="0">
      <selection activeCell="N40" sqref="N40"/>
    </sheetView>
  </sheetViews>
  <sheetFormatPr defaultRowHeight="14.5" x14ac:dyDescent="0.35"/>
  <sheetData>
    <row r="1" spans="1:13" x14ac:dyDescent="0.35">
      <c r="A1" t="s">
        <v>159</v>
      </c>
    </row>
    <row r="2" spans="1:13" x14ac:dyDescent="0.35">
      <c r="B2" t="s">
        <v>160</v>
      </c>
    </row>
    <row r="3" spans="1:13" x14ac:dyDescent="0.35">
      <c r="B3" t="s">
        <v>161</v>
      </c>
    </row>
    <row r="4" spans="1:13" x14ac:dyDescent="0.35">
      <c r="B4" t="s">
        <v>162</v>
      </c>
    </row>
    <row r="6" spans="1:13" x14ac:dyDescent="0.35">
      <c r="B6" s="19" t="s">
        <v>47</v>
      </c>
    </row>
    <row r="7" spans="1:13" x14ac:dyDescent="0.35">
      <c r="B7" s="19" t="s">
        <v>49</v>
      </c>
    </row>
    <row r="8" spans="1:13" x14ac:dyDescent="0.35">
      <c r="B8" s="19" t="s">
        <v>51</v>
      </c>
    </row>
    <row r="10" spans="1:13" x14ac:dyDescent="0.35">
      <c r="B10" s="17" t="s">
        <v>163</v>
      </c>
    </row>
    <row r="11" spans="1:13" x14ac:dyDescent="0.35">
      <c r="B11" s="1" t="s">
        <v>0</v>
      </c>
      <c r="C11" t="s">
        <v>164</v>
      </c>
    </row>
    <row r="12" spans="1:13" x14ac:dyDescent="0.35">
      <c r="B12" s="18">
        <v>2021</v>
      </c>
      <c r="C12">
        <v>17772.602739726026</v>
      </c>
      <c r="M12" s="18"/>
    </row>
    <row r="13" spans="1:13" x14ac:dyDescent="0.35">
      <c r="B13" s="18">
        <v>2022</v>
      </c>
      <c r="C13">
        <v>77390.426999999996</v>
      </c>
      <c r="M13" s="18"/>
    </row>
    <row r="14" spans="1:13" x14ac:dyDescent="0.35">
      <c r="B14" s="18">
        <v>2023</v>
      </c>
      <c r="C14">
        <v>30404.863013698632</v>
      </c>
      <c r="M14" s="18"/>
    </row>
    <row r="15" spans="1:13" x14ac:dyDescent="0.35">
      <c r="B15" s="18">
        <v>2024</v>
      </c>
      <c r="C15">
        <v>12607.049000000001</v>
      </c>
      <c r="M15" s="18"/>
    </row>
    <row r="16" spans="1:13" x14ac:dyDescent="0.35">
      <c r="B16" s="18">
        <v>2025</v>
      </c>
      <c r="C16">
        <v>11168.77</v>
      </c>
      <c r="M16" s="8"/>
    </row>
    <row r="17" spans="2:13" x14ac:dyDescent="0.35">
      <c r="M17" s="8"/>
    </row>
    <row r="24" spans="2:13" x14ac:dyDescent="0.35">
      <c r="B24" s="17" t="s">
        <v>165</v>
      </c>
    </row>
    <row r="25" spans="2:13" x14ac:dyDescent="0.35">
      <c r="B25" s="1" t="s">
        <v>0</v>
      </c>
      <c r="C25" t="s">
        <v>164</v>
      </c>
    </row>
    <row r="26" spans="2:13" x14ac:dyDescent="0.35">
      <c r="B26" s="18">
        <v>2021</v>
      </c>
      <c r="C26">
        <v>2405.1689999999999</v>
      </c>
    </row>
    <row r="27" spans="2:13" x14ac:dyDescent="0.35">
      <c r="B27" s="18">
        <v>2022</v>
      </c>
      <c r="C27">
        <v>4306.5519999999997</v>
      </c>
    </row>
    <row r="28" spans="2:13" x14ac:dyDescent="0.35">
      <c r="B28" s="18">
        <v>2023</v>
      </c>
      <c r="C28">
        <v>2655.6660000000002</v>
      </c>
    </row>
    <row r="29" spans="2:13" x14ac:dyDescent="0.35">
      <c r="B29" s="18">
        <v>2024</v>
      </c>
      <c r="C29">
        <v>2243.0720000000001</v>
      </c>
    </row>
    <row r="30" spans="2:13" x14ac:dyDescent="0.35">
      <c r="B30" s="18">
        <v>2025</v>
      </c>
      <c r="C30">
        <v>2022.0460000000003</v>
      </c>
    </row>
    <row r="37" spans="2:3" x14ac:dyDescent="0.35">
      <c r="B37" s="17" t="s">
        <v>166</v>
      </c>
    </row>
    <row r="38" spans="2:3" x14ac:dyDescent="0.35">
      <c r="B38" s="1" t="s">
        <v>0</v>
      </c>
      <c r="C38" t="s">
        <v>164</v>
      </c>
    </row>
    <row r="39" spans="2:3" x14ac:dyDescent="0.35">
      <c r="B39" s="18">
        <v>2021</v>
      </c>
      <c r="C39">
        <v>1150.7</v>
      </c>
    </row>
    <row r="40" spans="2:3" x14ac:dyDescent="0.35">
      <c r="B40" s="18">
        <v>2022</v>
      </c>
      <c r="C40">
        <v>1668.5150000000001</v>
      </c>
    </row>
    <row r="41" spans="2:3" x14ac:dyDescent="0.35">
      <c r="B41" s="18">
        <v>2023</v>
      </c>
      <c r="C41">
        <v>1573.12254688181</v>
      </c>
    </row>
    <row r="42" spans="2:3" x14ac:dyDescent="0.35">
      <c r="B42" s="18">
        <v>2024</v>
      </c>
      <c r="C42">
        <v>846.25817706062003</v>
      </c>
    </row>
    <row r="43" spans="2:3" x14ac:dyDescent="0.35">
      <c r="B43" s="18">
        <v>2025</v>
      </c>
      <c r="C43">
        <v>685.35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88AE-C124-4576-8F2B-D3B4ADAA904F}">
  <sheetPr>
    <tabColor rgb="FF774936"/>
  </sheetPr>
  <dimension ref="A1:F626"/>
  <sheetViews>
    <sheetView workbookViewId="0">
      <selection activeCell="R19" sqref="R19"/>
    </sheetView>
  </sheetViews>
  <sheetFormatPr defaultRowHeight="14.5" x14ac:dyDescent="0.35"/>
  <cols>
    <col min="1" max="4" width="8.7265625" style="1"/>
    <col min="5" max="5" width="25.54296875" style="1" customWidth="1"/>
    <col min="6" max="6" width="16" style="1" customWidth="1"/>
  </cols>
  <sheetData>
    <row r="1" spans="1:6" x14ac:dyDescent="0.35">
      <c r="A1" s="20" t="s">
        <v>4</v>
      </c>
      <c r="B1" s="20" t="s">
        <v>129</v>
      </c>
      <c r="C1" s="20" t="s">
        <v>130</v>
      </c>
      <c r="D1" s="20" t="s">
        <v>131</v>
      </c>
      <c r="E1" s="20" t="s">
        <v>132</v>
      </c>
      <c r="F1" s="20" t="s">
        <v>133</v>
      </c>
    </row>
    <row r="2" spans="1:6" x14ac:dyDescent="0.35">
      <c r="A2" s="1">
        <v>2026</v>
      </c>
      <c r="B2" s="1">
        <v>720.48864590130813</v>
      </c>
      <c r="C2" s="1">
        <v>720.48864590130813</v>
      </c>
      <c r="D2" s="1">
        <v>928.86507755393563</v>
      </c>
      <c r="E2" s="1" t="s">
        <v>134</v>
      </c>
      <c r="F2" s="1">
        <v>1</v>
      </c>
    </row>
    <row r="3" spans="1:6" x14ac:dyDescent="0.35">
      <c r="A3" s="1">
        <v>2027</v>
      </c>
      <c r="B3" s="1">
        <v>433.12038683897123</v>
      </c>
      <c r="C3" s="1">
        <v>546.3288706151792</v>
      </c>
      <c r="D3" s="1">
        <v>739.86711873032561</v>
      </c>
      <c r="E3" s="1" t="s">
        <v>134</v>
      </c>
      <c r="F3" s="1">
        <v>1</v>
      </c>
    </row>
    <row r="4" spans="1:6" x14ac:dyDescent="0.35">
      <c r="A4" s="1">
        <v>2028</v>
      </c>
      <c r="B4" s="1">
        <v>444.084881633387</v>
      </c>
      <c r="C4" s="1">
        <v>560.15925182077751</v>
      </c>
      <c r="D4" s="1">
        <v>758.59694401304569</v>
      </c>
      <c r="E4" s="1" t="s">
        <v>134</v>
      </c>
      <c r="F4" s="1">
        <v>1</v>
      </c>
    </row>
    <row r="5" spans="1:6" x14ac:dyDescent="0.35">
      <c r="A5" s="1">
        <v>2029</v>
      </c>
      <c r="B5" s="1">
        <v>433.12038683897123</v>
      </c>
      <c r="C5" s="1">
        <v>574.33975079349443</v>
      </c>
      <c r="D5" s="1">
        <v>777.80091708019938</v>
      </c>
      <c r="E5" s="1" t="s">
        <v>134</v>
      </c>
      <c r="F5" s="1">
        <v>1</v>
      </c>
    </row>
    <row r="6" spans="1:6" x14ac:dyDescent="0.35">
      <c r="A6" s="1">
        <v>2030</v>
      </c>
      <c r="B6" s="1">
        <v>422.42660638559443</v>
      </c>
      <c r="C6" s="1">
        <v>588.87923080680218</v>
      </c>
      <c r="D6" s="1">
        <v>797.49104104009598</v>
      </c>
      <c r="E6" s="1" t="s">
        <v>134</v>
      </c>
      <c r="F6" s="1">
        <v>1</v>
      </c>
    </row>
    <row r="7" spans="1:6" x14ac:dyDescent="0.35">
      <c r="A7" s="1">
        <v>2031</v>
      </c>
      <c r="B7" s="1">
        <v>433.12038683897123</v>
      </c>
      <c r="C7" s="1">
        <v>603.78677950900931</v>
      </c>
      <c r="D7" s="1">
        <v>777.80091708019938</v>
      </c>
      <c r="E7" s="1" t="s">
        <v>134</v>
      </c>
      <c r="F7" s="1">
        <v>1</v>
      </c>
    </row>
    <row r="8" spans="1:6" x14ac:dyDescent="0.35">
      <c r="A8" s="1">
        <v>2032</v>
      </c>
      <c r="B8" s="1">
        <v>444.084881633387</v>
      </c>
      <c r="C8" s="1">
        <v>619.07171460333666</v>
      </c>
      <c r="D8" s="1">
        <v>797.49104104009598</v>
      </c>
      <c r="E8" s="1" t="s">
        <v>134</v>
      </c>
      <c r="F8" s="1">
        <v>1</v>
      </c>
    </row>
    <row r="9" spans="1:6" x14ac:dyDescent="0.35">
      <c r="A9" s="1">
        <v>2033</v>
      </c>
      <c r="B9" s="1">
        <v>455.32694393501288</v>
      </c>
      <c r="C9" s="1">
        <v>634.743589671785</v>
      </c>
      <c r="D9" s="1">
        <v>817.67962286117825</v>
      </c>
      <c r="E9" s="1" t="s">
        <v>134</v>
      </c>
      <c r="F9" s="1">
        <v>1</v>
      </c>
    </row>
    <row r="10" spans="1:6" x14ac:dyDescent="0.35">
      <c r="A10" s="1">
        <v>2034</v>
      </c>
      <c r="B10" s="1">
        <v>466.85360039874757</v>
      </c>
      <c r="C10" s="1">
        <v>650.81220014643486</v>
      </c>
      <c r="D10" s="1">
        <v>838.37928106427853</v>
      </c>
      <c r="E10" s="1" t="s">
        <v>134</v>
      </c>
      <c r="F10" s="1">
        <v>1</v>
      </c>
    </row>
    <row r="11" spans="1:6" x14ac:dyDescent="0.35">
      <c r="A11" s="1">
        <v>2035</v>
      </c>
      <c r="B11" s="1">
        <v>478.67205556010549</v>
      </c>
      <c r="C11" s="1">
        <v>667.28758943191053</v>
      </c>
      <c r="D11" s="1">
        <v>859.60295360960481</v>
      </c>
      <c r="E11" s="1" t="s">
        <v>134</v>
      </c>
      <c r="F11" s="1">
        <v>1</v>
      </c>
    </row>
    <row r="12" spans="1:6" x14ac:dyDescent="0.35">
      <c r="A12" s="1">
        <v>2036</v>
      </c>
      <c r="B12" s="1">
        <v>490.78969633828569</v>
      </c>
      <c r="C12" s="1">
        <v>684.18005518283496</v>
      </c>
      <c r="D12" s="1">
        <v>881.36390598338699</v>
      </c>
      <c r="E12" s="1" t="s">
        <v>134</v>
      </c>
      <c r="F12" s="1">
        <v>1</v>
      </c>
    </row>
    <row r="13" spans="1:6" x14ac:dyDescent="0.35">
      <c r="A13" s="1">
        <v>2037</v>
      </c>
      <c r="B13" s="1">
        <v>503.21409665323722</v>
      </c>
      <c r="C13" s="1">
        <v>691.29331957176169</v>
      </c>
      <c r="D13" s="1">
        <v>903.6757394892378</v>
      </c>
      <c r="E13" s="1" t="s">
        <v>134</v>
      </c>
      <c r="F13" s="1">
        <v>1</v>
      </c>
    </row>
    <row r="14" spans="1:6" x14ac:dyDescent="0.35">
      <c r="A14" s="1">
        <v>2038</v>
      </c>
      <c r="B14" s="1">
        <v>498.38006067327677</v>
      </c>
      <c r="C14" s="1">
        <v>674.22522669730893</v>
      </c>
      <c r="D14" s="1">
        <v>926.55239974941026</v>
      </c>
      <c r="E14" s="1" t="s">
        <v>134</v>
      </c>
      <c r="F14" s="1">
        <v>1</v>
      </c>
    </row>
    <row r="15" spans="1:6" x14ac:dyDescent="0.35">
      <c r="A15" s="1">
        <v>2039</v>
      </c>
      <c r="B15" s="1">
        <v>510.99661197619298</v>
      </c>
      <c r="C15" s="1">
        <v>691.29331957176169</v>
      </c>
      <c r="D15" s="1">
        <v>950.00818542126535</v>
      </c>
      <c r="E15" s="1" t="s">
        <v>134</v>
      </c>
      <c r="F15" s="1">
        <v>1</v>
      </c>
    </row>
    <row r="16" spans="1:6" x14ac:dyDescent="0.35">
      <c r="A16" s="1">
        <v>2040</v>
      </c>
      <c r="B16" s="1">
        <v>523.93255279594507</v>
      </c>
      <c r="C16" s="1">
        <v>695.79964358682912</v>
      </c>
      <c r="D16" s="1">
        <v>974.05775713439868</v>
      </c>
      <c r="E16" s="1" t="s">
        <v>134</v>
      </c>
      <c r="F16" s="1">
        <v>1</v>
      </c>
    </row>
    <row r="17" spans="1:6" x14ac:dyDescent="0.35">
      <c r="A17" s="1">
        <v>2041</v>
      </c>
      <c r="B17" s="1">
        <v>510.99661197619292</v>
      </c>
      <c r="C17" s="1">
        <v>713.41389542508432</v>
      </c>
      <c r="D17" s="1">
        <v>998.7161466540108</v>
      </c>
      <c r="E17" s="1" t="s">
        <v>134</v>
      </c>
      <c r="F17" s="1">
        <v>1</v>
      </c>
    </row>
    <row r="18" spans="1:6" x14ac:dyDescent="0.35">
      <c r="A18" s="1">
        <v>2042</v>
      </c>
      <c r="B18" s="1">
        <v>523.93255279594507</v>
      </c>
      <c r="C18" s="1">
        <v>731.47405417157256</v>
      </c>
      <c r="D18" s="1">
        <v>1023.99876627625</v>
      </c>
      <c r="E18" s="1" t="s">
        <v>134</v>
      </c>
      <c r="F18" s="1">
        <v>1</v>
      </c>
    </row>
    <row r="19" spans="1:6" x14ac:dyDescent="0.35">
      <c r="A19" s="1">
        <v>2043</v>
      </c>
      <c r="B19" s="1">
        <v>537.19596851664608</v>
      </c>
      <c r="C19" s="1">
        <v>749.99140801341855</v>
      </c>
      <c r="D19" s="1">
        <v>1049.9214184614</v>
      </c>
      <c r="E19" s="1" t="s">
        <v>134</v>
      </c>
      <c r="F19" s="1">
        <v>1</v>
      </c>
    </row>
    <row r="20" spans="1:6" x14ac:dyDescent="0.35">
      <c r="A20" s="1">
        <v>2044</v>
      </c>
      <c r="B20" s="1">
        <v>550.79514920488225</v>
      </c>
      <c r="C20" s="1">
        <v>768.97753089956439</v>
      </c>
      <c r="D20" s="1">
        <v>1023.99876627625</v>
      </c>
      <c r="E20" s="1" t="s">
        <v>134</v>
      </c>
      <c r="F20" s="1">
        <v>1</v>
      </c>
    </row>
    <row r="21" spans="1:6" x14ac:dyDescent="0.35">
      <c r="A21" s="1">
        <v>2045</v>
      </c>
      <c r="B21" s="1">
        <v>564.73859479127464</v>
      </c>
      <c r="C21" s="1">
        <v>788.44428977486461</v>
      </c>
      <c r="D21" s="1">
        <v>1049.9214184614</v>
      </c>
      <c r="E21" s="1" t="s">
        <v>134</v>
      </c>
      <c r="F21" s="1">
        <v>1</v>
      </c>
    </row>
    <row r="22" spans="1:6" x14ac:dyDescent="0.35">
      <c r="A22" s="1">
        <v>2046</v>
      </c>
      <c r="B22" s="1">
        <v>579.03502038321233</v>
      </c>
      <c r="C22" s="1">
        <v>808.40385199731304</v>
      </c>
      <c r="D22" s="1">
        <v>1076.50030571093</v>
      </c>
      <c r="E22" s="1" t="s">
        <v>134</v>
      </c>
      <c r="F22" s="1">
        <v>1</v>
      </c>
    </row>
    <row r="23" spans="1:6" x14ac:dyDescent="0.35">
      <c r="A23" s="1">
        <v>2047</v>
      </c>
      <c r="B23" s="1">
        <v>564.73859479127464</v>
      </c>
      <c r="C23" s="1">
        <v>788.44428977486461</v>
      </c>
      <c r="D23" s="1">
        <v>1083.709265090954</v>
      </c>
      <c r="E23" s="1" t="s">
        <v>134</v>
      </c>
      <c r="F23" s="1">
        <v>1</v>
      </c>
    </row>
    <row r="24" spans="1:6" x14ac:dyDescent="0.35">
      <c r="A24" s="1">
        <v>2048</v>
      </c>
      <c r="B24" s="1">
        <v>579.03502038321233</v>
      </c>
      <c r="C24" s="1">
        <v>808.40385199731304</v>
      </c>
      <c r="D24" s="1">
        <v>1111.143495750171</v>
      </c>
      <c r="E24" s="1" t="s">
        <v>134</v>
      </c>
      <c r="F24" s="1">
        <v>1</v>
      </c>
    </row>
    <row r="25" spans="1:6" x14ac:dyDescent="0.35">
      <c r="A25" s="1">
        <v>2049</v>
      </c>
      <c r="B25" s="1">
        <v>593.69336171207851</v>
      </c>
      <c r="C25" s="1">
        <v>828.86869294303756</v>
      </c>
      <c r="D25" s="1">
        <v>1139.2722272650219</v>
      </c>
      <c r="E25" s="1" t="s">
        <v>134</v>
      </c>
      <c r="F25" s="1">
        <v>1</v>
      </c>
    </row>
    <row r="26" spans="1:6" x14ac:dyDescent="0.35">
      <c r="A26" s="1">
        <v>2050</v>
      </c>
      <c r="B26" s="1">
        <v>608.72278071837309</v>
      </c>
      <c r="C26" s="1">
        <v>849.85160380381637</v>
      </c>
      <c r="D26" s="1">
        <v>1151.489585329175</v>
      </c>
      <c r="E26" s="1" t="s">
        <v>134</v>
      </c>
      <c r="F26" s="1">
        <v>1</v>
      </c>
    </row>
    <row r="27" spans="1:6" x14ac:dyDescent="0.35">
      <c r="A27" s="1">
        <v>2026</v>
      </c>
      <c r="B27" s="1">
        <v>668.4286482086178</v>
      </c>
      <c r="C27" s="1">
        <v>702.69971785141729</v>
      </c>
      <c r="D27" s="1">
        <v>702.69971785141729</v>
      </c>
      <c r="E27" s="1" t="s">
        <v>135</v>
      </c>
      <c r="F27" s="1">
        <v>1</v>
      </c>
    </row>
    <row r="28" spans="1:6" x14ac:dyDescent="0.35">
      <c r="A28" s="1">
        <v>2027</v>
      </c>
      <c r="B28" s="1">
        <v>685.35</v>
      </c>
      <c r="C28" s="1">
        <v>720.48864590130802</v>
      </c>
      <c r="D28" s="1">
        <v>720.48864590130802</v>
      </c>
      <c r="E28" s="1" t="s">
        <v>135</v>
      </c>
      <c r="F28" s="1">
        <v>1</v>
      </c>
    </row>
    <row r="29" spans="1:6" x14ac:dyDescent="0.35">
      <c r="A29" s="1">
        <v>2028</v>
      </c>
      <c r="B29" s="1">
        <v>702.69971785141729</v>
      </c>
      <c r="C29" s="1">
        <v>738.72790280878223</v>
      </c>
      <c r="D29" s="1">
        <v>738.72790280878223</v>
      </c>
      <c r="E29" s="1" t="s">
        <v>135</v>
      </c>
      <c r="F29" s="1">
        <v>1</v>
      </c>
    </row>
    <row r="30" spans="1:6" x14ac:dyDescent="0.35">
      <c r="A30" s="1">
        <v>2029</v>
      </c>
      <c r="B30" s="1">
        <v>720.48864590130802</v>
      </c>
      <c r="C30" s="1">
        <v>757.42888870314516</v>
      </c>
      <c r="D30" s="1">
        <v>757.42888870314516</v>
      </c>
      <c r="E30" s="1" t="s">
        <v>135</v>
      </c>
      <c r="F30" s="1">
        <v>1</v>
      </c>
    </row>
    <row r="31" spans="1:6" x14ac:dyDescent="0.35">
      <c r="A31" s="1">
        <v>2030</v>
      </c>
      <c r="B31" s="1">
        <v>738.72790280878223</v>
      </c>
      <c r="C31" s="1">
        <v>738.72790280878223</v>
      </c>
      <c r="D31" s="1">
        <v>776.60329230934951</v>
      </c>
      <c r="E31" s="1" t="s">
        <v>135</v>
      </c>
      <c r="F31" s="1">
        <v>1</v>
      </c>
    </row>
    <row r="32" spans="1:6" x14ac:dyDescent="0.35">
      <c r="A32" s="1">
        <v>2031</v>
      </c>
      <c r="B32" s="1">
        <v>776.60329230934951</v>
      </c>
      <c r="C32" s="1">
        <v>776.60329230934951</v>
      </c>
      <c r="D32" s="1">
        <v>1101.542250694441</v>
      </c>
      <c r="E32" s="1" t="s">
        <v>135</v>
      </c>
      <c r="F32" s="1">
        <v>1</v>
      </c>
    </row>
    <row r="33" spans="1:6" x14ac:dyDescent="0.35">
      <c r="A33" s="1">
        <v>2032</v>
      </c>
      <c r="B33" s="1">
        <v>437.51012545103629</v>
      </c>
      <c r="C33" s="1">
        <v>639.31594465407113</v>
      </c>
      <c r="D33" s="1">
        <v>797.86985780263228</v>
      </c>
      <c r="E33" s="1" t="s">
        <v>135</v>
      </c>
      <c r="F33" s="1">
        <v>1</v>
      </c>
    </row>
    <row r="34" spans="1:6" x14ac:dyDescent="0.35">
      <c r="A34" s="1">
        <v>2033</v>
      </c>
      <c r="B34" s="1">
        <v>448.58574700748733</v>
      </c>
      <c r="C34" s="1">
        <v>623.53117773887243</v>
      </c>
      <c r="D34" s="1">
        <v>818.06802941571482</v>
      </c>
      <c r="E34" s="1" t="s">
        <v>135</v>
      </c>
      <c r="F34" s="1">
        <v>1</v>
      </c>
    </row>
    <row r="35" spans="1:6" x14ac:dyDescent="0.35">
      <c r="A35" s="1">
        <v>2034</v>
      </c>
      <c r="B35" s="1">
        <v>459.94174925852269</v>
      </c>
      <c r="C35" s="1">
        <v>639.31594465407102</v>
      </c>
      <c r="D35" s="1">
        <v>838.77752017755563</v>
      </c>
      <c r="E35" s="1" t="s">
        <v>135</v>
      </c>
      <c r="F35" s="1">
        <v>1</v>
      </c>
    </row>
    <row r="36" spans="1:6" x14ac:dyDescent="0.35">
      <c r="A36" s="1">
        <v>2035</v>
      </c>
      <c r="B36" s="1">
        <v>471.58523007521887</v>
      </c>
      <c r="C36" s="1">
        <v>655.50030484617787</v>
      </c>
      <c r="D36" s="1">
        <v>860.01127419403201</v>
      </c>
      <c r="E36" s="1" t="s">
        <v>135</v>
      </c>
      <c r="F36" s="1">
        <v>1</v>
      </c>
    </row>
    <row r="37" spans="1:6" x14ac:dyDescent="0.35">
      <c r="A37" s="1">
        <v>2036</v>
      </c>
      <c r="B37" s="1">
        <v>483.52346701211349</v>
      </c>
      <c r="C37" s="1">
        <v>672.0943740671587</v>
      </c>
      <c r="D37" s="1">
        <v>881.78256325262157</v>
      </c>
      <c r="E37" s="1" t="s">
        <v>135</v>
      </c>
      <c r="F37" s="1">
        <v>1</v>
      </c>
    </row>
    <row r="38" spans="1:6" x14ac:dyDescent="0.35">
      <c r="A38" s="1">
        <v>2037</v>
      </c>
      <c r="B38" s="1">
        <v>495.76392185591487</v>
      </c>
      <c r="C38" s="1">
        <v>655.50030484617787</v>
      </c>
      <c r="D38" s="1">
        <v>904.10499511770149</v>
      </c>
      <c r="E38" s="1" t="s">
        <v>135</v>
      </c>
      <c r="F38" s="1">
        <v>1</v>
      </c>
    </row>
    <row r="39" spans="1:6" x14ac:dyDescent="0.35">
      <c r="A39" s="1">
        <v>2038</v>
      </c>
      <c r="B39" s="1">
        <v>483.52346701211349</v>
      </c>
      <c r="C39" s="1">
        <v>672.0943740671587</v>
      </c>
      <c r="D39" s="1">
        <v>926.99252203584422</v>
      </c>
      <c r="E39" s="1" t="s">
        <v>135</v>
      </c>
      <c r="F39" s="1">
        <v>1</v>
      </c>
    </row>
    <row r="40" spans="1:6" x14ac:dyDescent="0.35">
      <c r="A40" s="1">
        <v>2039</v>
      </c>
      <c r="B40" s="1">
        <v>495.76392185591482</v>
      </c>
      <c r="C40" s="1">
        <v>689.1085241504594</v>
      </c>
      <c r="D40" s="1">
        <v>950.45944945642589</v>
      </c>
      <c r="E40" s="1" t="s">
        <v>135</v>
      </c>
      <c r="F40" s="1">
        <v>1</v>
      </c>
    </row>
    <row r="41" spans="1:6" x14ac:dyDescent="0.35">
      <c r="A41" s="1">
        <v>2040</v>
      </c>
      <c r="B41" s="1">
        <v>508.31424528936083</v>
      </c>
      <c r="C41" s="1">
        <v>706.55338949373959</v>
      </c>
      <c r="D41" s="1">
        <v>974.52044497299755</v>
      </c>
      <c r="E41" s="1" t="s">
        <v>135</v>
      </c>
      <c r="F41" s="1">
        <v>1</v>
      </c>
    </row>
    <row r="42" spans="1:6" x14ac:dyDescent="0.35">
      <c r="A42" s="1">
        <v>2041</v>
      </c>
      <c r="B42" s="1">
        <v>495.76392185591482</v>
      </c>
      <c r="C42" s="1">
        <v>689.1085241504594</v>
      </c>
      <c r="D42" s="1">
        <v>999.19054749100906</v>
      </c>
      <c r="E42" s="1" t="s">
        <v>135</v>
      </c>
      <c r="F42" s="1">
        <v>1</v>
      </c>
    </row>
    <row r="43" spans="1:6" x14ac:dyDescent="0.35">
      <c r="A43" s="1">
        <v>2042</v>
      </c>
      <c r="B43" s="1">
        <v>508.31424528936083</v>
      </c>
      <c r="C43" s="1">
        <v>706.55338949373959</v>
      </c>
      <c r="D43" s="1">
        <v>1024.485176627614</v>
      </c>
      <c r="E43" s="1" t="s">
        <v>135</v>
      </c>
      <c r="F43" s="1">
        <v>1</v>
      </c>
    </row>
    <row r="44" spans="1:6" x14ac:dyDescent="0.35">
      <c r="A44" s="1">
        <v>2043</v>
      </c>
      <c r="B44" s="1">
        <v>521.1822816731451</v>
      </c>
      <c r="C44" s="1">
        <v>724.43987370571733</v>
      </c>
      <c r="D44" s="1">
        <v>999.19054749100906</v>
      </c>
      <c r="E44" s="1" t="s">
        <v>135</v>
      </c>
      <c r="F44" s="1">
        <v>1</v>
      </c>
    </row>
    <row r="45" spans="1:6" x14ac:dyDescent="0.35">
      <c r="A45" s="1">
        <v>2044</v>
      </c>
      <c r="B45" s="1">
        <v>534.37607394889756</v>
      </c>
      <c r="C45" s="1">
        <v>742.77915642127959</v>
      </c>
      <c r="D45" s="1">
        <v>1024.485176627614</v>
      </c>
      <c r="E45" s="1" t="s">
        <v>135</v>
      </c>
      <c r="F45" s="1">
        <v>1</v>
      </c>
    </row>
    <row r="46" spans="1:6" x14ac:dyDescent="0.35">
      <c r="A46" s="1">
        <v>2045</v>
      </c>
      <c r="B46" s="1">
        <v>547.90386866628501</v>
      </c>
      <c r="C46" s="1">
        <v>761.58270028911784</v>
      </c>
      <c r="D46" s="1">
        <v>1050.420142349433</v>
      </c>
      <c r="E46" s="1" t="s">
        <v>135</v>
      </c>
      <c r="F46" s="1">
        <v>1</v>
      </c>
    </row>
    <row r="47" spans="1:6" x14ac:dyDescent="0.35">
      <c r="A47" s="1">
        <v>2046</v>
      </c>
      <c r="B47" s="1">
        <v>561.77412113737284</v>
      </c>
      <c r="C47" s="1">
        <v>780.86225813625686</v>
      </c>
      <c r="D47" s="1">
        <v>1077.011654854296</v>
      </c>
      <c r="E47" s="1" t="s">
        <v>135</v>
      </c>
      <c r="F47" s="1">
        <v>1</v>
      </c>
    </row>
    <row r="48" spans="1:6" x14ac:dyDescent="0.35">
      <c r="A48" s="1">
        <v>2047</v>
      </c>
      <c r="B48" s="1">
        <v>575.99550072147053</v>
      </c>
      <c r="C48" s="1">
        <v>800.62988031395389</v>
      </c>
      <c r="D48" s="1">
        <v>1104.276334703148</v>
      </c>
      <c r="E48" s="1" t="s">
        <v>135</v>
      </c>
      <c r="F48" s="1">
        <v>1</v>
      </c>
    </row>
    <row r="49" spans="1:6" x14ac:dyDescent="0.35">
      <c r="A49" s="1">
        <v>2048</v>
      </c>
      <c r="B49" s="1">
        <v>561.77412113737284</v>
      </c>
      <c r="C49" s="1">
        <v>820.89792222956066</v>
      </c>
      <c r="D49" s="1">
        <v>1132.2312232084321</v>
      </c>
      <c r="E49" s="1" t="s">
        <v>135</v>
      </c>
      <c r="F49" s="1">
        <v>1</v>
      </c>
    </row>
    <row r="50" spans="1:6" x14ac:dyDescent="0.35">
      <c r="A50" s="1">
        <v>2049</v>
      </c>
      <c r="B50" s="1">
        <v>575.99550072147053</v>
      </c>
      <c r="C50" s="1">
        <v>841.67905206905527</v>
      </c>
      <c r="D50" s="1">
        <v>1160.893793085475</v>
      </c>
      <c r="E50" s="1" t="s">
        <v>135</v>
      </c>
      <c r="F50" s="1">
        <v>1</v>
      </c>
    </row>
    <row r="51" spans="1:6" x14ac:dyDescent="0.35">
      <c r="A51" s="1">
        <v>2050</v>
      </c>
      <c r="B51" s="1">
        <v>590.57689624376326</v>
      </c>
      <c r="C51" s="1">
        <v>862.98625871507045</v>
      </c>
      <c r="D51" s="1">
        <v>1132.2312232084321</v>
      </c>
      <c r="E51" s="1" t="s">
        <v>135</v>
      </c>
      <c r="F51" s="1">
        <v>1</v>
      </c>
    </row>
    <row r="52" spans="1:6" x14ac:dyDescent="0.35">
      <c r="A52" s="1">
        <v>2026</v>
      </c>
      <c r="B52" s="1">
        <v>668.4286482086178</v>
      </c>
      <c r="C52" s="1">
        <v>702.69971785141729</v>
      </c>
      <c r="D52" s="1">
        <v>702.69971785141729</v>
      </c>
      <c r="E52" s="1" t="s">
        <v>136</v>
      </c>
      <c r="F52" s="1">
        <v>1</v>
      </c>
    </row>
    <row r="53" spans="1:6" x14ac:dyDescent="0.35">
      <c r="A53" s="1">
        <v>2027</v>
      </c>
      <c r="B53" s="1">
        <v>685.35</v>
      </c>
      <c r="C53" s="1">
        <v>720.48864590130802</v>
      </c>
      <c r="D53" s="1">
        <v>720.48864590130802</v>
      </c>
      <c r="E53" s="1" t="s">
        <v>136</v>
      </c>
      <c r="F53" s="1">
        <v>1</v>
      </c>
    </row>
    <row r="54" spans="1:6" x14ac:dyDescent="0.35">
      <c r="A54" s="1">
        <v>2028</v>
      </c>
      <c r="B54" s="1">
        <v>702.69971785141729</v>
      </c>
      <c r="C54" s="1">
        <v>738.72790280878223</v>
      </c>
      <c r="D54" s="1">
        <v>738.72790280878223</v>
      </c>
      <c r="E54" s="1" t="s">
        <v>136</v>
      </c>
      <c r="F54" s="1">
        <v>1</v>
      </c>
    </row>
    <row r="55" spans="1:6" x14ac:dyDescent="0.35">
      <c r="A55" s="1">
        <v>2029</v>
      </c>
      <c r="B55" s="1">
        <v>720.48864590130802</v>
      </c>
      <c r="C55" s="1">
        <v>720.48864590130802</v>
      </c>
      <c r="D55" s="1">
        <v>757.42888870314516</v>
      </c>
      <c r="E55" s="1" t="s">
        <v>136</v>
      </c>
      <c r="F55" s="1">
        <v>1</v>
      </c>
    </row>
    <row r="56" spans="1:6" x14ac:dyDescent="0.35">
      <c r="A56" s="1">
        <v>2030</v>
      </c>
      <c r="B56" s="1">
        <v>738.72790280878223</v>
      </c>
      <c r="C56" s="1">
        <v>738.72790280878223</v>
      </c>
      <c r="D56" s="1">
        <v>776.60329230934951</v>
      </c>
      <c r="E56" s="1" t="s">
        <v>136</v>
      </c>
      <c r="F56" s="1">
        <v>1</v>
      </c>
    </row>
    <row r="57" spans="1:6" x14ac:dyDescent="0.35">
      <c r="A57" s="1">
        <v>2031</v>
      </c>
      <c r="B57" s="1">
        <v>757.42888870314516</v>
      </c>
      <c r="C57" s="1">
        <v>757.42888870314516</v>
      </c>
      <c r="D57" s="1">
        <v>796.26309825382896</v>
      </c>
      <c r="E57" s="1" t="s">
        <v>136</v>
      </c>
      <c r="F57" s="1">
        <v>1</v>
      </c>
    </row>
    <row r="58" spans="1:6" x14ac:dyDescent="0.35">
      <c r="A58" s="1">
        <v>2032</v>
      </c>
      <c r="B58" s="1">
        <v>738.72790280878223</v>
      </c>
      <c r="C58" s="1">
        <v>776.60329230934951</v>
      </c>
      <c r="D58" s="1">
        <v>816.42059455527976</v>
      </c>
      <c r="E58" s="1" t="s">
        <v>136</v>
      </c>
      <c r="F58" s="1">
        <v>1</v>
      </c>
    </row>
    <row r="59" spans="1:6" x14ac:dyDescent="0.35">
      <c r="A59" s="1">
        <v>2033</v>
      </c>
      <c r="B59" s="1">
        <v>757.42888870314516</v>
      </c>
      <c r="C59" s="1">
        <v>796.26309825382896</v>
      </c>
      <c r="D59" s="1">
        <v>837.08838030507252</v>
      </c>
      <c r="E59" s="1" t="s">
        <v>136</v>
      </c>
      <c r="F59" s="1">
        <v>1</v>
      </c>
    </row>
    <row r="60" spans="1:6" x14ac:dyDescent="0.35">
      <c r="A60" s="1">
        <v>2034</v>
      </c>
      <c r="B60" s="1">
        <v>738.72790280878223</v>
      </c>
      <c r="C60" s="1">
        <v>816.42059455527976</v>
      </c>
      <c r="D60" s="1">
        <v>858.27937354209439</v>
      </c>
      <c r="E60" s="1" t="s">
        <v>136</v>
      </c>
      <c r="F60" s="1">
        <v>1</v>
      </c>
    </row>
    <row r="61" spans="1:6" x14ac:dyDescent="0.35">
      <c r="A61" s="1">
        <v>2035</v>
      </c>
      <c r="B61" s="1">
        <v>757.42888870314516</v>
      </c>
      <c r="C61" s="1">
        <v>837.08838030507252</v>
      </c>
      <c r="D61" s="1">
        <v>880.00681932694386</v>
      </c>
      <c r="E61" s="1" t="s">
        <v>136</v>
      </c>
      <c r="F61" s="1">
        <v>1</v>
      </c>
    </row>
    <row r="62" spans="1:6" x14ac:dyDescent="0.35">
      <c r="A62" s="1">
        <v>2036</v>
      </c>
      <c r="B62" s="1">
        <v>776.60329230934951</v>
      </c>
      <c r="C62" s="1">
        <v>858.27937354209439</v>
      </c>
      <c r="D62" s="1">
        <v>902.28429802052472</v>
      </c>
      <c r="E62" s="1" t="s">
        <v>136</v>
      </c>
      <c r="F62" s="1">
        <v>1</v>
      </c>
    </row>
    <row r="63" spans="1:6" x14ac:dyDescent="0.35">
      <c r="A63" s="1">
        <v>2037</v>
      </c>
      <c r="B63" s="1">
        <v>796.26309825382896</v>
      </c>
      <c r="C63" s="1">
        <v>880.00681932694386</v>
      </c>
      <c r="D63" s="1">
        <v>925.12573377221395</v>
      </c>
      <c r="E63" s="1" t="s">
        <v>136</v>
      </c>
      <c r="F63" s="1">
        <v>1</v>
      </c>
    </row>
    <row r="64" spans="1:6" x14ac:dyDescent="0.35">
      <c r="A64" s="1">
        <v>2038</v>
      </c>
      <c r="B64" s="1">
        <v>837.08838030507263</v>
      </c>
      <c r="C64" s="1">
        <v>925.12573377221406</v>
      </c>
      <c r="D64" s="1">
        <v>1255.731781861125</v>
      </c>
      <c r="E64" s="1" t="s">
        <v>136</v>
      </c>
      <c r="F64" s="1">
        <v>1</v>
      </c>
    </row>
    <row r="65" spans="1:6" x14ac:dyDescent="0.35">
      <c r="A65" s="1">
        <v>2039</v>
      </c>
      <c r="B65" s="1">
        <v>478.75090009393313</v>
      </c>
      <c r="C65" s="1">
        <v>693.94975875524767</v>
      </c>
      <c r="D65" s="1">
        <v>930.33247495416435</v>
      </c>
      <c r="E65" s="1" t="s">
        <v>136</v>
      </c>
      <c r="F65" s="1">
        <v>1</v>
      </c>
    </row>
    <row r="66" spans="1:6" x14ac:dyDescent="0.35">
      <c r="A66" s="1">
        <v>2040</v>
      </c>
      <c r="B66" s="1">
        <v>490.87053683098992</v>
      </c>
      <c r="C66" s="1">
        <v>711.51718053603508</v>
      </c>
      <c r="D66" s="1">
        <v>953.88395368541921</v>
      </c>
      <c r="E66" s="1" t="s">
        <v>136</v>
      </c>
      <c r="F66" s="1">
        <v>1</v>
      </c>
    </row>
    <row r="67" spans="1:6" x14ac:dyDescent="0.35">
      <c r="A67" s="1">
        <v>2041</v>
      </c>
      <c r="B67" s="1">
        <v>503.29698363275747</v>
      </c>
      <c r="C67" s="1">
        <v>729.52932371650661</v>
      </c>
      <c r="D67" s="1">
        <v>978.03164093928433</v>
      </c>
      <c r="E67" s="1" t="s">
        <v>136</v>
      </c>
      <c r="F67" s="1">
        <v>1</v>
      </c>
    </row>
    <row r="68" spans="1:6" x14ac:dyDescent="0.35">
      <c r="A68" s="1">
        <v>2042</v>
      </c>
      <c r="B68" s="1">
        <v>516.03800743300224</v>
      </c>
      <c r="C68" s="1">
        <v>747.99744647249508</v>
      </c>
      <c r="D68" s="1">
        <v>1002.790629806367</v>
      </c>
      <c r="E68" s="1" t="s">
        <v>136</v>
      </c>
      <c r="F68" s="1">
        <v>1</v>
      </c>
    </row>
    <row r="69" spans="1:6" x14ac:dyDescent="0.35">
      <c r="A69" s="1">
        <v>2043</v>
      </c>
      <c r="B69" s="1">
        <v>529.10157178635484</v>
      </c>
      <c r="C69" s="1">
        <v>757.67552717588637</v>
      </c>
      <c r="D69" s="1">
        <v>1028.1763954606829</v>
      </c>
      <c r="E69" s="1" t="s">
        <v>136</v>
      </c>
      <c r="F69" s="1">
        <v>1</v>
      </c>
    </row>
    <row r="70" spans="1:6" x14ac:dyDescent="0.35">
      <c r="A70" s="1">
        <v>2044</v>
      </c>
      <c r="B70" s="1">
        <v>542.49584184579112</v>
      </c>
      <c r="C70" s="1">
        <v>776.85617446475408</v>
      </c>
      <c r="D70" s="1">
        <v>1054.2048048321431</v>
      </c>
      <c r="E70" s="1" t="s">
        <v>136</v>
      </c>
      <c r="F70" s="1">
        <v>1</v>
      </c>
    </row>
    <row r="71" spans="1:6" x14ac:dyDescent="0.35">
      <c r="A71" s="1">
        <v>2045</v>
      </c>
      <c r="B71" s="1">
        <v>556.22918946611878</v>
      </c>
      <c r="C71" s="1">
        <v>796.52238215147611</v>
      </c>
      <c r="D71" s="1">
        <v>1080.892126523901</v>
      </c>
      <c r="E71" s="1" t="s">
        <v>136</v>
      </c>
      <c r="F71" s="1">
        <v>1</v>
      </c>
    </row>
    <row r="72" spans="1:6" x14ac:dyDescent="0.35">
      <c r="A72" s="1">
        <v>2046</v>
      </c>
      <c r="B72" s="1">
        <v>570.31019843665899</v>
      </c>
      <c r="C72" s="1">
        <v>776.85617446475408</v>
      </c>
      <c r="D72" s="1">
        <v>1108.25504098076</v>
      </c>
      <c r="E72" s="1" t="s">
        <v>136</v>
      </c>
      <c r="F72" s="1">
        <v>1</v>
      </c>
    </row>
    <row r="73" spans="1:6" x14ac:dyDescent="0.35">
      <c r="A73" s="1">
        <v>2047</v>
      </c>
      <c r="B73" s="1">
        <v>556.22918946611878</v>
      </c>
      <c r="C73" s="1">
        <v>796.52238215147611</v>
      </c>
      <c r="D73" s="1">
        <v>1136.3106509149941</v>
      </c>
      <c r="E73" s="1" t="s">
        <v>136</v>
      </c>
      <c r="F73" s="1">
        <v>1</v>
      </c>
    </row>
    <row r="74" spans="1:6" x14ac:dyDescent="0.35">
      <c r="A74" s="1">
        <v>2048</v>
      </c>
      <c r="B74" s="1">
        <v>570.31019843665899</v>
      </c>
      <c r="C74" s="1">
        <v>816.68644225604589</v>
      </c>
      <c r="D74" s="1">
        <v>1165.0764919960991</v>
      </c>
      <c r="E74" s="1" t="s">
        <v>136</v>
      </c>
      <c r="F74" s="1">
        <v>1</v>
      </c>
    </row>
    <row r="75" spans="1:6" x14ac:dyDescent="0.35">
      <c r="A75" s="1">
        <v>2049</v>
      </c>
      <c r="B75" s="1">
        <v>584.74766984639393</v>
      </c>
      <c r="C75" s="1">
        <v>837.36095797242467</v>
      </c>
      <c r="D75" s="1">
        <v>1136.3106509149941</v>
      </c>
      <c r="E75" s="1" t="s">
        <v>136</v>
      </c>
      <c r="F75" s="1">
        <v>1</v>
      </c>
    </row>
    <row r="76" spans="1:6" x14ac:dyDescent="0.35">
      <c r="A76" s="1">
        <v>2050</v>
      </c>
      <c r="B76" s="1">
        <v>599.55062758493432</v>
      </c>
      <c r="C76" s="1">
        <v>858.55885154594785</v>
      </c>
      <c r="D76" s="1">
        <v>1165.0764919960991</v>
      </c>
      <c r="E76" s="1" t="s">
        <v>136</v>
      </c>
      <c r="F76" s="1">
        <v>1</v>
      </c>
    </row>
    <row r="77" spans="1:6" x14ac:dyDescent="0.35">
      <c r="A77" s="1">
        <v>2026</v>
      </c>
      <c r="B77" s="1">
        <v>668.4286482086178</v>
      </c>
      <c r="C77" s="1">
        <v>702.69971785141729</v>
      </c>
      <c r="D77" s="1">
        <v>702.69971785141729</v>
      </c>
      <c r="E77" s="1" t="s">
        <v>137</v>
      </c>
      <c r="F77" s="1">
        <v>1</v>
      </c>
    </row>
    <row r="78" spans="1:6" x14ac:dyDescent="0.35">
      <c r="A78" s="1">
        <v>2027</v>
      </c>
      <c r="B78" s="1">
        <v>685.35</v>
      </c>
      <c r="C78" s="1">
        <v>720.48864590130802</v>
      </c>
      <c r="D78" s="1">
        <v>720.48864590130802</v>
      </c>
      <c r="E78" s="1" t="s">
        <v>137</v>
      </c>
      <c r="F78" s="1">
        <v>1</v>
      </c>
    </row>
    <row r="79" spans="1:6" x14ac:dyDescent="0.35">
      <c r="A79" s="1">
        <v>2028</v>
      </c>
      <c r="B79" s="1">
        <v>702.69971785141729</v>
      </c>
      <c r="C79" s="1">
        <v>738.72790280878223</v>
      </c>
      <c r="D79" s="1">
        <v>738.72790280878223</v>
      </c>
      <c r="E79" s="1" t="s">
        <v>137</v>
      </c>
      <c r="F79" s="1">
        <v>1</v>
      </c>
    </row>
    <row r="80" spans="1:6" x14ac:dyDescent="0.35">
      <c r="A80" s="1">
        <v>2029</v>
      </c>
      <c r="B80" s="1">
        <v>720.48864590130802</v>
      </c>
      <c r="C80" s="1">
        <v>720.48864590130802</v>
      </c>
      <c r="D80" s="1">
        <v>757.42888870314516</v>
      </c>
      <c r="E80" s="1" t="s">
        <v>137</v>
      </c>
      <c r="F80" s="1">
        <v>1</v>
      </c>
    </row>
    <row r="81" spans="1:6" x14ac:dyDescent="0.35">
      <c r="A81" s="1">
        <v>2030</v>
      </c>
      <c r="B81" s="1">
        <v>738.72790280878223</v>
      </c>
      <c r="C81" s="1">
        <v>738.72790280878223</v>
      </c>
      <c r="D81" s="1">
        <v>776.60329230934951</v>
      </c>
      <c r="E81" s="1" t="s">
        <v>137</v>
      </c>
      <c r="F81" s="1">
        <v>1</v>
      </c>
    </row>
    <row r="82" spans="1:6" x14ac:dyDescent="0.35">
      <c r="A82" s="1">
        <v>2031</v>
      </c>
      <c r="B82" s="1">
        <v>757.42888870314516</v>
      </c>
      <c r="C82" s="1">
        <v>757.42888870314516</v>
      </c>
      <c r="D82" s="1">
        <v>796.26309825382896</v>
      </c>
      <c r="E82" s="1" t="s">
        <v>137</v>
      </c>
      <c r="F82" s="1">
        <v>1</v>
      </c>
    </row>
    <row r="83" spans="1:6" x14ac:dyDescent="0.35">
      <c r="A83" s="1">
        <v>2032</v>
      </c>
      <c r="B83" s="1">
        <v>738.72790280878223</v>
      </c>
      <c r="C83" s="1">
        <v>776.60329230934951</v>
      </c>
      <c r="D83" s="1">
        <v>816.42059455527976</v>
      </c>
      <c r="E83" s="1" t="s">
        <v>137</v>
      </c>
      <c r="F83" s="1">
        <v>1</v>
      </c>
    </row>
    <row r="84" spans="1:6" x14ac:dyDescent="0.35">
      <c r="A84" s="1">
        <v>2033</v>
      </c>
      <c r="B84" s="1">
        <v>757.42888870314516</v>
      </c>
      <c r="C84" s="1">
        <v>796.26309825382896</v>
      </c>
      <c r="D84" s="1">
        <v>837.08838030507252</v>
      </c>
      <c r="E84" s="1" t="s">
        <v>137</v>
      </c>
      <c r="F84" s="1">
        <v>1</v>
      </c>
    </row>
    <row r="85" spans="1:6" x14ac:dyDescent="0.35">
      <c r="A85" s="1">
        <v>2034</v>
      </c>
      <c r="B85" s="1">
        <v>738.72790280878223</v>
      </c>
      <c r="C85" s="1">
        <v>816.42059455527976</v>
      </c>
      <c r="D85" s="1">
        <v>858.27937354209439</v>
      </c>
      <c r="E85" s="1" t="s">
        <v>137</v>
      </c>
      <c r="F85" s="1">
        <v>1</v>
      </c>
    </row>
    <row r="86" spans="1:6" x14ac:dyDescent="0.35">
      <c r="A86" s="1">
        <v>2035</v>
      </c>
      <c r="B86" s="1">
        <v>757.42888870314516</v>
      </c>
      <c r="C86" s="1">
        <v>837.08838030507252</v>
      </c>
      <c r="D86" s="1">
        <v>880.00681932694386</v>
      </c>
      <c r="E86" s="1" t="s">
        <v>137</v>
      </c>
      <c r="F86" s="1">
        <v>1</v>
      </c>
    </row>
    <row r="87" spans="1:6" x14ac:dyDescent="0.35">
      <c r="A87" s="1">
        <v>2036</v>
      </c>
      <c r="B87" s="1">
        <v>776.60329230934951</v>
      </c>
      <c r="C87" s="1">
        <v>816.42059455527976</v>
      </c>
      <c r="D87" s="1">
        <v>902.28429802052472</v>
      </c>
      <c r="E87" s="1" t="s">
        <v>137</v>
      </c>
      <c r="F87" s="1">
        <v>1</v>
      </c>
    </row>
    <row r="88" spans="1:6" x14ac:dyDescent="0.35">
      <c r="A88" s="1">
        <v>2037</v>
      </c>
      <c r="B88" s="1">
        <v>796.26309825382896</v>
      </c>
      <c r="C88" s="1">
        <v>837.08838030507252</v>
      </c>
      <c r="D88" s="1">
        <v>925.12573377221395</v>
      </c>
      <c r="E88" s="1" t="s">
        <v>137</v>
      </c>
      <c r="F88" s="1">
        <v>1</v>
      </c>
    </row>
    <row r="89" spans="1:6" x14ac:dyDescent="0.35">
      <c r="A89" s="1">
        <v>2038</v>
      </c>
      <c r="B89" s="1">
        <v>816.42059455527976</v>
      </c>
      <c r="C89" s="1">
        <v>858.27937354209439</v>
      </c>
      <c r="D89" s="1">
        <v>948.54540322290825</v>
      </c>
      <c r="E89" s="1" t="s">
        <v>137</v>
      </c>
      <c r="F89" s="1">
        <v>1</v>
      </c>
    </row>
    <row r="90" spans="1:6" x14ac:dyDescent="0.35">
      <c r="A90" s="1">
        <v>2039</v>
      </c>
      <c r="B90" s="1">
        <v>799.55462077174514</v>
      </c>
      <c r="C90" s="1">
        <v>880.00681932694386</v>
      </c>
      <c r="D90" s="1">
        <v>925.12573377221395</v>
      </c>
      <c r="E90" s="1" t="s">
        <v>137</v>
      </c>
      <c r="F90" s="1">
        <v>1</v>
      </c>
    </row>
    <row r="91" spans="1:6" x14ac:dyDescent="0.35">
      <c r="A91" s="1">
        <v>2040</v>
      </c>
      <c r="B91" s="1">
        <v>819.7954423624459</v>
      </c>
      <c r="C91" s="1">
        <v>902.28429802052472</v>
      </c>
      <c r="D91" s="1">
        <v>948.54540322290825</v>
      </c>
      <c r="E91" s="1" t="s">
        <v>137</v>
      </c>
      <c r="F91" s="1">
        <v>1</v>
      </c>
    </row>
    <row r="92" spans="1:6" x14ac:dyDescent="0.35">
      <c r="A92" s="1">
        <v>2041</v>
      </c>
      <c r="B92" s="1">
        <v>840.54866279122871</v>
      </c>
      <c r="C92" s="1">
        <v>925.12573377221395</v>
      </c>
      <c r="D92" s="1">
        <v>925.12573377221395</v>
      </c>
      <c r="E92" s="1" t="s">
        <v>137</v>
      </c>
      <c r="F92" s="1">
        <v>1</v>
      </c>
    </row>
    <row r="93" spans="1:6" x14ac:dyDescent="0.35">
      <c r="A93" s="1">
        <v>2042</v>
      </c>
      <c r="B93" s="1">
        <v>883.64451428993596</v>
      </c>
      <c r="C93" s="1">
        <v>972.55794442838919</v>
      </c>
      <c r="D93" s="1">
        <v>1266.7130423286569</v>
      </c>
      <c r="E93" s="1" t="s">
        <v>137</v>
      </c>
      <c r="F93" s="1">
        <v>1</v>
      </c>
    </row>
    <row r="94" spans="1:6" x14ac:dyDescent="0.35">
      <c r="A94" s="1">
        <v>2043</v>
      </c>
      <c r="B94" s="1">
        <v>524.60442958622616</v>
      </c>
      <c r="C94" s="1">
        <v>762.55505228842071</v>
      </c>
      <c r="D94" s="1">
        <v>1034.9624145771959</v>
      </c>
      <c r="E94" s="1" t="s">
        <v>137</v>
      </c>
      <c r="F94" s="1">
        <v>1</v>
      </c>
    </row>
    <row r="95" spans="1:6" x14ac:dyDescent="0.35">
      <c r="A95" s="1">
        <v>2044</v>
      </c>
      <c r="B95" s="1">
        <v>537.88485394885072</v>
      </c>
      <c r="C95" s="1">
        <v>781.85922534361418</v>
      </c>
      <c r="D95" s="1">
        <v>1061.162612840471</v>
      </c>
      <c r="E95" s="1" t="s">
        <v>137</v>
      </c>
      <c r="F95" s="1">
        <v>1</v>
      </c>
    </row>
    <row r="96" spans="1:6" x14ac:dyDescent="0.35">
      <c r="A96" s="1">
        <v>2045</v>
      </c>
      <c r="B96" s="1">
        <v>551.50147385483069</v>
      </c>
      <c r="C96" s="1">
        <v>762.5550522884206</v>
      </c>
      <c r="D96" s="1">
        <v>1088.026072280546</v>
      </c>
      <c r="E96" s="1" t="s">
        <v>137</v>
      </c>
      <c r="F96" s="1">
        <v>1</v>
      </c>
    </row>
    <row r="97" spans="1:6" x14ac:dyDescent="0.35">
      <c r="A97" s="1">
        <v>2046</v>
      </c>
      <c r="B97" s="1">
        <v>565.46280013486592</v>
      </c>
      <c r="C97" s="1">
        <v>781.85922534361407</v>
      </c>
      <c r="D97" s="1">
        <v>1115.569583434049</v>
      </c>
      <c r="E97" s="1" t="s">
        <v>137</v>
      </c>
      <c r="F97" s="1">
        <v>1</v>
      </c>
    </row>
    <row r="98" spans="1:6" x14ac:dyDescent="0.35">
      <c r="A98" s="1">
        <v>2047</v>
      </c>
      <c r="B98" s="1">
        <v>551.50147385483069</v>
      </c>
      <c r="C98" s="1">
        <v>801.65208586632423</v>
      </c>
      <c r="D98" s="1">
        <v>1143.8103618920679</v>
      </c>
      <c r="E98" s="1" t="s">
        <v>137</v>
      </c>
      <c r="F98" s="1">
        <v>1</v>
      </c>
    </row>
    <row r="99" spans="1:6" x14ac:dyDescent="0.35">
      <c r="A99" s="1">
        <v>2048</v>
      </c>
      <c r="B99" s="1">
        <v>565.46280013486592</v>
      </c>
      <c r="C99" s="1">
        <v>821.94600503869003</v>
      </c>
      <c r="D99" s="1">
        <v>1172.7660590604571</v>
      </c>
      <c r="E99" s="1" t="s">
        <v>137</v>
      </c>
      <c r="F99" s="1">
        <v>1</v>
      </c>
    </row>
    <row r="100" spans="1:6" x14ac:dyDescent="0.35">
      <c r="A100" s="1">
        <v>2049</v>
      </c>
      <c r="B100" s="1">
        <v>579.7775590723611</v>
      </c>
      <c r="C100" s="1">
        <v>842.75366722081731</v>
      </c>
      <c r="D100" s="1">
        <v>1202.454773192532</v>
      </c>
      <c r="E100" s="1" t="s">
        <v>137</v>
      </c>
      <c r="F100" s="1">
        <v>1</v>
      </c>
    </row>
    <row r="101" spans="1:6" x14ac:dyDescent="0.35">
      <c r="A101" s="1">
        <v>2050</v>
      </c>
      <c r="B101" s="1">
        <v>594.45469785763714</v>
      </c>
      <c r="C101" s="1">
        <v>864.08807787891669</v>
      </c>
      <c r="D101" s="1">
        <v>1232.895060701075</v>
      </c>
      <c r="E101" s="1" t="s">
        <v>137</v>
      </c>
      <c r="F101" s="1">
        <v>1</v>
      </c>
    </row>
    <row r="102" spans="1:6" x14ac:dyDescent="0.35">
      <c r="A102" s="1">
        <v>2026</v>
      </c>
      <c r="B102" s="1">
        <v>702.69971785141729</v>
      </c>
      <c r="C102" s="1">
        <v>702.69971785141729</v>
      </c>
      <c r="D102" s="1">
        <v>702.69971785141729</v>
      </c>
      <c r="E102" s="1" t="s">
        <v>138</v>
      </c>
      <c r="F102" s="1">
        <v>1</v>
      </c>
    </row>
    <row r="103" spans="1:6" x14ac:dyDescent="0.35">
      <c r="A103" s="1">
        <v>2027</v>
      </c>
      <c r="B103" s="1">
        <v>720.48864590130802</v>
      </c>
      <c r="C103" s="1">
        <v>720.48864590130802</v>
      </c>
      <c r="D103" s="1">
        <v>720.48864590130802</v>
      </c>
      <c r="E103" s="1" t="s">
        <v>138</v>
      </c>
      <c r="F103" s="1">
        <v>1</v>
      </c>
    </row>
    <row r="104" spans="1:6" x14ac:dyDescent="0.35">
      <c r="A104" s="1">
        <v>2028</v>
      </c>
      <c r="B104" s="1">
        <v>702.69971785141718</v>
      </c>
      <c r="C104" s="1">
        <v>738.72790280878223</v>
      </c>
      <c r="D104" s="1">
        <v>738.72790280878223</v>
      </c>
      <c r="E104" s="1" t="s">
        <v>138</v>
      </c>
      <c r="F104" s="1">
        <v>1</v>
      </c>
    </row>
    <row r="105" spans="1:6" x14ac:dyDescent="0.35">
      <c r="A105" s="1">
        <v>2029</v>
      </c>
      <c r="B105" s="1">
        <v>685.3499999999998</v>
      </c>
      <c r="C105" s="1">
        <v>757.42888870314516</v>
      </c>
      <c r="D105" s="1">
        <v>757.42888870314516</v>
      </c>
      <c r="E105" s="1" t="s">
        <v>138</v>
      </c>
      <c r="F105" s="1">
        <v>1</v>
      </c>
    </row>
    <row r="106" spans="1:6" x14ac:dyDescent="0.35">
      <c r="A106" s="1">
        <v>2030</v>
      </c>
      <c r="B106" s="1">
        <v>702.69971785141706</v>
      </c>
      <c r="C106" s="1">
        <v>776.60329230934951</v>
      </c>
      <c r="D106" s="1">
        <v>776.60329230934951</v>
      </c>
      <c r="E106" s="1" t="s">
        <v>138</v>
      </c>
      <c r="F106" s="1">
        <v>1</v>
      </c>
    </row>
    <row r="107" spans="1:6" x14ac:dyDescent="0.35">
      <c r="A107" s="1">
        <v>2031</v>
      </c>
      <c r="B107" s="1">
        <v>720.48864590130779</v>
      </c>
      <c r="C107" s="1">
        <v>757.42888870314516</v>
      </c>
      <c r="D107" s="1">
        <v>796.26309825382896</v>
      </c>
      <c r="E107" s="1" t="s">
        <v>138</v>
      </c>
      <c r="F107" s="1">
        <v>1</v>
      </c>
    </row>
    <row r="108" spans="1:6" x14ac:dyDescent="0.35">
      <c r="A108" s="1">
        <v>2032</v>
      </c>
      <c r="B108" s="1">
        <v>738.72790280878189</v>
      </c>
      <c r="C108" s="1">
        <v>776.60329230934951</v>
      </c>
      <c r="D108" s="1">
        <v>816.42059455527976</v>
      </c>
      <c r="E108" s="1" t="s">
        <v>138</v>
      </c>
      <c r="F108" s="1">
        <v>1</v>
      </c>
    </row>
    <row r="109" spans="1:6" x14ac:dyDescent="0.35">
      <c r="A109" s="1">
        <v>2033</v>
      </c>
      <c r="B109" s="1">
        <v>757.42888870314482</v>
      </c>
      <c r="C109" s="1">
        <v>796.26309825382896</v>
      </c>
      <c r="D109" s="1">
        <v>837.08838030507252</v>
      </c>
      <c r="E109" s="1" t="s">
        <v>138</v>
      </c>
      <c r="F109" s="1">
        <v>1</v>
      </c>
    </row>
    <row r="110" spans="1:6" x14ac:dyDescent="0.35">
      <c r="A110" s="1">
        <v>2034</v>
      </c>
      <c r="B110" s="1">
        <v>738.72790280878189</v>
      </c>
      <c r="C110" s="1">
        <v>816.42059455527976</v>
      </c>
      <c r="D110" s="1">
        <v>858.27937354209439</v>
      </c>
      <c r="E110" s="1" t="s">
        <v>138</v>
      </c>
      <c r="F110" s="1">
        <v>1</v>
      </c>
    </row>
    <row r="111" spans="1:6" x14ac:dyDescent="0.35">
      <c r="A111" s="1">
        <v>2035</v>
      </c>
      <c r="B111" s="1">
        <v>757.42888870314482</v>
      </c>
      <c r="C111" s="1">
        <v>837.08838030507252</v>
      </c>
      <c r="D111" s="1">
        <v>880.00681932694386</v>
      </c>
      <c r="E111" s="1" t="s">
        <v>138</v>
      </c>
      <c r="F111" s="1">
        <v>1</v>
      </c>
    </row>
    <row r="112" spans="1:6" x14ac:dyDescent="0.35">
      <c r="A112" s="1">
        <v>2036</v>
      </c>
      <c r="B112" s="1">
        <v>776.60329230934917</v>
      </c>
      <c r="C112" s="1">
        <v>840.81612835896908</v>
      </c>
      <c r="D112" s="1">
        <v>902.28429802052472</v>
      </c>
      <c r="E112" s="1" t="s">
        <v>138</v>
      </c>
      <c r="F112" s="1">
        <v>1</v>
      </c>
    </row>
    <row r="113" spans="1:6" x14ac:dyDescent="0.35">
      <c r="A113" s="1">
        <v>2037</v>
      </c>
      <c r="B113" s="1">
        <v>796.26309825382862</v>
      </c>
      <c r="C113" s="1">
        <v>820.05630418178941</v>
      </c>
      <c r="D113" s="1">
        <v>925.12573377221395</v>
      </c>
      <c r="E113" s="1" t="s">
        <v>138</v>
      </c>
      <c r="F113" s="1">
        <v>1</v>
      </c>
    </row>
    <row r="114" spans="1:6" x14ac:dyDescent="0.35">
      <c r="A114" s="1">
        <v>2038</v>
      </c>
      <c r="B114" s="1">
        <v>816.42059455527942</v>
      </c>
      <c r="C114" s="1">
        <v>840.81612835896908</v>
      </c>
      <c r="D114" s="1">
        <v>948.54540322290825</v>
      </c>
      <c r="E114" s="1" t="s">
        <v>138</v>
      </c>
      <c r="F114" s="1">
        <v>1</v>
      </c>
    </row>
    <row r="115" spans="1:6" x14ac:dyDescent="0.35">
      <c r="A115" s="1">
        <v>2039</v>
      </c>
      <c r="B115" s="1">
        <v>796.26309825382862</v>
      </c>
      <c r="C115" s="1">
        <v>862.10148998726004</v>
      </c>
      <c r="D115" s="1">
        <v>972.55794442838919</v>
      </c>
      <c r="E115" s="1" t="s">
        <v>138</v>
      </c>
      <c r="F115" s="1">
        <v>1</v>
      </c>
    </row>
    <row r="116" spans="1:6" x14ac:dyDescent="0.35">
      <c r="A116" s="1">
        <v>2040</v>
      </c>
      <c r="B116" s="1">
        <v>816.42059455527942</v>
      </c>
      <c r="C116" s="1">
        <v>883.92569311057719</v>
      </c>
      <c r="D116" s="1">
        <v>997.1783660085847</v>
      </c>
      <c r="E116" s="1" t="s">
        <v>138</v>
      </c>
      <c r="F116" s="1">
        <v>1</v>
      </c>
    </row>
    <row r="117" spans="1:6" x14ac:dyDescent="0.35">
      <c r="A117" s="1">
        <v>2041</v>
      </c>
      <c r="B117" s="1">
        <v>837.08838030507218</v>
      </c>
      <c r="C117" s="1">
        <v>906.30237856631072</v>
      </c>
      <c r="D117" s="1">
        <v>1022.422056528445</v>
      </c>
      <c r="E117" s="1" t="s">
        <v>138</v>
      </c>
      <c r="F117" s="1">
        <v>1</v>
      </c>
    </row>
    <row r="118" spans="1:6" x14ac:dyDescent="0.35">
      <c r="A118" s="1">
        <v>2042</v>
      </c>
      <c r="B118" s="1">
        <v>858.27937354209405</v>
      </c>
      <c r="C118" s="1">
        <v>929.24553251129339</v>
      </c>
      <c r="D118" s="1">
        <v>1048.304794116297</v>
      </c>
      <c r="E118" s="1" t="s">
        <v>138</v>
      </c>
      <c r="F118" s="1">
        <v>1</v>
      </c>
    </row>
    <row r="119" spans="1:6" x14ac:dyDescent="0.35">
      <c r="A119" s="1">
        <v>2043</v>
      </c>
      <c r="B119" s="1">
        <v>880.0068193269434</v>
      </c>
      <c r="C119" s="1">
        <v>952.76949516360389</v>
      </c>
      <c r="D119" s="1">
        <v>1022.422056528445</v>
      </c>
      <c r="E119" s="1" t="s">
        <v>138</v>
      </c>
      <c r="F119" s="1">
        <v>1</v>
      </c>
    </row>
    <row r="120" spans="1:6" x14ac:dyDescent="0.35">
      <c r="A120" s="1">
        <v>2044</v>
      </c>
      <c r="B120" s="1">
        <v>884.41740402855066</v>
      </c>
      <c r="C120" s="1">
        <v>976.8889697656698</v>
      </c>
      <c r="D120" s="1">
        <v>1048.304794116297</v>
      </c>
      <c r="E120" s="1" t="s">
        <v>138</v>
      </c>
      <c r="F120" s="1">
        <v>1</v>
      </c>
    </row>
    <row r="121" spans="1:6" x14ac:dyDescent="0.35">
      <c r="A121" s="1">
        <v>2045</v>
      </c>
      <c r="B121" s="1">
        <v>862.58106051941206</v>
      </c>
      <c r="C121" s="1">
        <v>952.76949516360389</v>
      </c>
      <c r="D121" s="1">
        <v>1074.842756325688</v>
      </c>
      <c r="E121" s="1" t="s">
        <v>138</v>
      </c>
      <c r="F121" s="1">
        <v>1</v>
      </c>
    </row>
    <row r="122" spans="1:6" x14ac:dyDescent="0.35">
      <c r="A122" s="1">
        <v>2046</v>
      </c>
      <c r="B122" s="1">
        <v>884.41740402855066</v>
      </c>
      <c r="C122" s="1">
        <v>976.8889697656698</v>
      </c>
      <c r="D122" s="1">
        <v>1102.052530246882</v>
      </c>
      <c r="E122" s="1" t="s">
        <v>138</v>
      </c>
      <c r="F122" s="1">
        <v>1</v>
      </c>
    </row>
    <row r="123" spans="1:6" x14ac:dyDescent="0.35">
      <c r="A123" s="1">
        <v>2047</v>
      </c>
      <c r="B123" s="1">
        <v>929.76245398713149</v>
      </c>
      <c r="C123" s="1">
        <v>1026.9751382832001</v>
      </c>
      <c r="D123" s="1">
        <v>1395.6622270913849</v>
      </c>
      <c r="E123" s="1" t="s">
        <v>138</v>
      </c>
      <c r="F123" s="1">
        <v>1</v>
      </c>
    </row>
    <row r="124" spans="1:6" x14ac:dyDescent="0.35">
      <c r="A124" s="1">
        <v>2048</v>
      </c>
      <c r="B124" s="1">
        <v>567.60179861590029</v>
      </c>
      <c r="C124" s="1">
        <v>824.36095240981808</v>
      </c>
      <c r="D124" s="1">
        <v>1166.3228384243989</v>
      </c>
      <c r="E124" s="1" t="s">
        <v>138</v>
      </c>
      <c r="F124" s="1">
        <v>1</v>
      </c>
    </row>
    <row r="125" spans="1:6" x14ac:dyDescent="0.35">
      <c r="A125" s="1">
        <v>2049</v>
      </c>
      <c r="B125" s="1">
        <v>581.97070655774439</v>
      </c>
      <c r="C125" s="1">
        <v>845.22974927570556</v>
      </c>
      <c r="D125" s="1">
        <v>1195.8484416495071</v>
      </c>
      <c r="E125" s="1" t="s">
        <v>138</v>
      </c>
      <c r="F125" s="1">
        <v>1</v>
      </c>
    </row>
    <row r="126" spans="1:6" x14ac:dyDescent="0.35">
      <c r="A126" s="1">
        <v>2050</v>
      </c>
      <c r="B126" s="1">
        <v>596.70336513594066</v>
      </c>
      <c r="C126" s="1">
        <v>824.36095240981797</v>
      </c>
      <c r="D126" s="1">
        <v>1166.3228384243989</v>
      </c>
      <c r="E126" s="1" t="s">
        <v>138</v>
      </c>
      <c r="F126" s="1">
        <v>1</v>
      </c>
    </row>
    <row r="127" spans="1:6" x14ac:dyDescent="0.35">
      <c r="A127" s="1">
        <v>2026</v>
      </c>
      <c r="B127" s="1">
        <v>668.4286482086178</v>
      </c>
      <c r="C127" s="1">
        <v>702.69971785141729</v>
      </c>
      <c r="D127" s="1">
        <v>702.69971785141729</v>
      </c>
      <c r="E127" s="1" t="s">
        <v>139</v>
      </c>
      <c r="F127" s="1">
        <v>2</v>
      </c>
    </row>
    <row r="128" spans="1:6" x14ac:dyDescent="0.35">
      <c r="A128" s="1">
        <v>2027</v>
      </c>
      <c r="B128" s="1">
        <v>685.35</v>
      </c>
      <c r="C128" s="1">
        <v>720.48864590130802</v>
      </c>
      <c r="D128" s="1">
        <v>720.48864590130802</v>
      </c>
      <c r="E128" s="1" t="s">
        <v>139</v>
      </c>
      <c r="F128" s="1">
        <v>2</v>
      </c>
    </row>
    <row r="129" spans="1:6" x14ac:dyDescent="0.35">
      <c r="A129" s="1">
        <v>2028</v>
      </c>
      <c r="B129" s="1">
        <v>702.69971785141729</v>
      </c>
      <c r="C129" s="1">
        <v>738.72790280878223</v>
      </c>
      <c r="D129" s="1">
        <v>734.53861982048386</v>
      </c>
      <c r="E129" s="1" t="s">
        <v>139</v>
      </c>
      <c r="F129" s="1">
        <v>2</v>
      </c>
    </row>
    <row r="130" spans="1:6" x14ac:dyDescent="0.35">
      <c r="A130" s="1">
        <v>2029</v>
      </c>
      <c r="B130" s="1">
        <v>738.72790280878223</v>
      </c>
      <c r="C130" s="1">
        <v>776.60329230934951</v>
      </c>
      <c r="D130" s="1">
        <v>982.72426648768703</v>
      </c>
      <c r="E130" s="1" t="s">
        <v>139</v>
      </c>
      <c r="F130" s="1">
        <v>2</v>
      </c>
    </row>
    <row r="131" spans="1:6" x14ac:dyDescent="0.35">
      <c r="A131" s="1">
        <v>2030</v>
      </c>
      <c r="B131" s="1">
        <v>423.06256963717141</v>
      </c>
      <c r="C131" s="1">
        <v>597.79156296385281</v>
      </c>
      <c r="D131" s="1">
        <v>800.6655905379871</v>
      </c>
      <c r="E131" s="1" t="s">
        <v>139</v>
      </c>
      <c r="F131" s="1">
        <v>2</v>
      </c>
    </row>
    <row r="132" spans="1:6" x14ac:dyDescent="0.35">
      <c r="A132" s="1">
        <v>2031</v>
      </c>
      <c r="B132" s="1">
        <v>433.77244957691101</v>
      </c>
      <c r="C132" s="1">
        <v>612.92472842876941</v>
      </c>
      <c r="D132" s="1">
        <v>820.93453646221928</v>
      </c>
      <c r="E132" s="1" t="s">
        <v>139</v>
      </c>
      <c r="F132" s="1">
        <v>2</v>
      </c>
    </row>
    <row r="133" spans="1:6" x14ac:dyDescent="0.35">
      <c r="A133" s="1">
        <v>2032</v>
      </c>
      <c r="B133" s="1">
        <v>440.28943245034668</v>
      </c>
      <c r="C133" s="1">
        <v>607.33976499210678</v>
      </c>
      <c r="D133" s="1">
        <v>832.78220375644446</v>
      </c>
      <c r="E133" s="1" t="s">
        <v>139</v>
      </c>
      <c r="F133" s="1">
        <v>2</v>
      </c>
    </row>
    <row r="134" spans="1:6" x14ac:dyDescent="0.35">
      <c r="A134" s="1">
        <v>2033</v>
      </c>
      <c r="B134" s="1">
        <v>451.43541249845958</v>
      </c>
      <c r="C134" s="1">
        <v>622.71464434216023</v>
      </c>
      <c r="D134" s="1">
        <v>853.86418561513835</v>
      </c>
      <c r="E134" s="1" t="s">
        <v>139</v>
      </c>
      <c r="F134" s="1">
        <v>2</v>
      </c>
    </row>
    <row r="135" spans="1:6" x14ac:dyDescent="0.35">
      <c r="A135" s="1">
        <v>2034</v>
      </c>
      <c r="B135" s="1">
        <v>440.28943245034668</v>
      </c>
      <c r="C135" s="1">
        <v>638.47874061600885</v>
      </c>
      <c r="D135" s="1">
        <v>875.4798603854789</v>
      </c>
      <c r="E135" s="1" t="s">
        <v>139</v>
      </c>
      <c r="F135" s="1">
        <v>2</v>
      </c>
    </row>
    <row r="136" spans="1:6" x14ac:dyDescent="0.35">
      <c r="A136" s="1">
        <v>2035</v>
      </c>
      <c r="B136" s="1">
        <v>451.43541249845958</v>
      </c>
      <c r="C136" s="1">
        <v>654.64190688698864</v>
      </c>
      <c r="D136" s="1">
        <v>897.64273856784746</v>
      </c>
      <c r="E136" s="1" t="s">
        <v>139</v>
      </c>
      <c r="F136" s="1">
        <v>2</v>
      </c>
    </row>
    <row r="137" spans="1:6" x14ac:dyDescent="0.35">
      <c r="A137" s="1">
        <v>2036</v>
      </c>
      <c r="B137" s="1">
        <v>462.86355437485332</v>
      </c>
      <c r="C137" s="1">
        <v>671.2142456601747</v>
      </c>
      <c r="D137" s="1">
        <v>920.36667268257088</v>
      </c>
      <c r="E137" s="1" t="s">
        <v>139</v>
      </c>
      <c r="F137" s="1">
        <v>2</v>
      </c>
    </row>
    <row r="138" spans="1:6" x14ac:dyDescent="0.35">
      <c r="A138" s="1">
        <v>2037</v>
      </c>
      <c r="B138" s="1">
        <v>486.59507628015552</v>
      </c>
      <c r="C138" s="1">
        <v>719.9493255628978</v>
      </c>
      <c r="D138" s="1">
        <v>967.55488105895961</v>
      </c>
      <c r="E138" s="1" t="s">
        <v>139</v>
      </c>
      <c r="F138" s="1">
        <v>2</v>
      </c>
    </row>
    <row r="139" spans="1:6" x14ac:dyDescent="0.35">
      <c r="A139" s="1">
        <v>2038</v>
      </c>
      <c r="B139" s="1">
        <v>336.37403622326838</v>
      </c>
      <c r="C139" s="1">
        <v>552.2589615903114</v>
      </c>
      <c r="D139" s="1">
        <v>859.04401424283594</v>
      </c>
      <c r="E139" s="1" t="s">
        <v>139</v>
      </c>
      <c r="F139" s="1">
        <v>2</v>
      </c>
    </row>
    <row r="140" spans="1:6" x14ac:dyDescent="0.35">
      <c r="A140" s="1">
        <v>2039</v>
      </c>
      <c r="B140" s="1">
        <v>344.88938549154898</v>
      </c>
      <c r="C140" s="1">
        <v>566.23946376366609</v>
      </c>
      <c r="D140" s="1">
        <v>880.79081699918254</v>
      </c>
      <c r="E140" s="1" t="s">
        <v>139</v>
      </c>
      <c r="F140" s="1">
        <v>2</v>
      </c>
    </row>
    <row r="141" spans="1:6" x14ac:dyDescent="0.35">
      <c r="A141" s="1">
        <v>2040</v>
      </c>
      <c r="B141" s="1">
        <v>353.6203018528638</v>
      </c>
      <c r="C141" s="1">
        <v>580.57388403453126</v>
      </c>
      <c r="D141" s="1">
        <v>903.08814268832703</v>
      </c>
      <c r="E141" s="1" t="s">
        <v>139</v>
      </c>
      <c r="F141" s="1">
        <v>2</v>
      </c>
    </row>
    <row r="142" spans="1:6" x14ac:dyDescent="0.35">
      <c r="A142" s="1">
        <v>2041</v>
      </c>
      <c r="B142" s="1">
        <v>362.57224241415389</v>
      </c>
      <c r="C142" s="1">
        <v>566.23946376366609</v>
      </c>
      <c r="D142" s="1">
        <v>880.79081699918254</v>
      </c>
      <c r="E142" s="1" t="s">
        <v>139</v>
      </c>
      <c r="F142" s="1">
        <v>2</v>
      </c>
    </row>
    <row r="143" spans="1:6" x14ac:dyDescent="0.35">
      <c r="A143" s="1">
        <v>2042</v>
      </c>
      <c r="B143" s="1">
        <v>371.75080242968068</v>
      </c>
      <c r="C143" s="1">
        <v>580.57388403453126</v>
      </c>
      <c r="D143" s="1">
        <v>903.08814268832703</v>
      </c>
      <c r="E143" s="1" t="s">
        <v>139</v>
      </c>
      <c r="F143" s="1">
        <v>2</v>
      </c>
    </row>
    <row r="144" spans="1:6" x14ac:dyDescent="0.35">
      <c r="A144" s="1">
        <v>2043</v>
      </c>
      <c r="B144" s="1">
        <v>381.16171879824122</v>
      </c>
      <c r="C144" s="1">
        <v>595.27118188220118</v>
      </c>
      <c r="D144" s="1">
        <v>925.94992786466457</v>
      </c>
      <c r="E144" s="1" t="s">
        <v>139</v>
      </c>
      <c r="F144" s="1">
        <v>2</v>
      </c>
    </row>
    <row r="145" spans="1:6" x14ac:dyDescent="0.35">
      <c r="A145" s="1">
        <v>2044</v>
      </c>
      <c r="B145" s="1">
        <v>390.8108736489171</v>
      </c>
      <c r="C145" s="1">
        <v>610.34054359626828</v>
      </c>
      <c r="D145" s="1">
        <v>949.39046188814473</v>
      </c>
      <c r="E145" s="1" t="s">
        <v>139</v>
      </c>
      <c r="F145" s="1">
        <v>2</v>
      </c>
    </row>
    <row r="146" spans="1:6" x14ac:dyDescent="0.35">
      <c r="A146" s="1">
        <v>2045</v>
      </c>
      <c r="B146" s="1">
        <v>400.70429801759678</v>
      </c>
      <c r="C146" s="1">
        <v>625.79138801835325</v>
      </c>
      <c r="D146" s="1">
        <v>973.42439585558634</v>
      </c>
      <c r="E146" s="1" t="s">
        <v>139</v>
      </c>
      <c r="F146" s="1">
        <v>2</v>
      </c>
    </row>
    <row r="147" spans="1:6" x14ac:dyDescent="0.35">
      <c r="A147" s="1">
        <v>2046</v>
      </c>
      <c r="B147" s="1">
        <v>410.84817561656888</v>
      </c>
      <c r="C147" s="1">
        <v>610.34054359626828</v>
      </c>
      <c r="D147" s="1">
        <v>998.06675175808982</v>
      </c>
      <c r="E147" s="1" t="s">
        <v>139</v>
      </c>
      <c r="F147" s="1">
        <v>2</v>
      </c>
    </row>
    <row r="148" spans="1:6" x14ac:dyDescent="0.35">
      <c r="A148" s="1">
        <v>2047</v>
      </c>
      <c r="B148" s="1">
        <v>421.24884669954412</v>
      </c>
      <c r="C148" s="1">
        <v>625.79138801835325</v>
      </c>
      <c r="D148" s="1">
        <v>1023.332931870271</v>
      </c>
      <c r="E148" s="1" t="s">
        <v>139</v>
      </c>
      <c r="F148" s="1">
        <v>2</v>
      </c>
    </row>
    <row r="149" spans="1:6" x14ac:dyDescent="0.35">
      <c r="A149" s="1">
        <v>2048</v>
      </c>
      <c r="B149" s="1">
        <v>431.91281202451972</v>
      </c>
      <c r="C149" s="1">
        <v>641.63337242918749</v>
      </c>
      <c r="D149" s="1">
        <v>1000.203561639151</v>
      </c>
      <c r="E149" s="1" t="s">
        <v>139</v>
      </c>
      <c r="F149" s="1">
        <v>2</v>
      </c>
    </row>
    <row r="150" spans="1:6" x14ac:dyDescent="0.35">
      <c r="A150" s="1">
        <v>2049</v>
      </c>
      <c r="B150" s="1">
        <v>432.49506763826741</v>
      </c>
      <c r="C150" s="1">
        <v>657.87639858472812</v>
      </c>
      <c r="D150" s="1">
        <v>1025.523835351009</v>
      </c>
      <c r="E150" s="1" t="s">
        <v>139</v>
      </c>
      <c r="F150" s="1">
        <v>2</v>
      </c>
    </row>
    <row r="151" spans="1:6" x14ac:dyDescent="0.35">
      <c r="A151" s="1">
        <v>2050</v>
      </c>
      <c r="B151" s="1">
        <v>433.75376670429557</v>
      </c>
      <c r="C151" s="1">
        <v>674.53061890507774</v>
      </c>
      <c r="D151" s="1">
        <v>1051.4850948435951</v>
      </c>
      <c r="E151" s="1" t="s">
        <v>139</v>
      </c>
      <c r="F151" s="1">
        <v>2</v>
      </c>
    </row>
    <row r="152" spans="1:6" x14ac:dyDescent="0.35">
      <c r="A152" s="1">
        <v>2026</v>
      </c>
      <c r="B152" s="1">
        <v>668.4286482086178</v>
      </c>
      <c r="C152" s="1">
        <v>702.69971785141729</v>
      </c>
      <c r="D152" s="1">
        <v>668.4286482086178</v>
      </c>
      <c r="E152" s="1" t="s">
        <v>140</v>
      </c>
      <c r="F152" s="1">
        <v>2</v>
      </c>
    </row>
    <row r="153" spans="1:6" x14ac:dyDescent="0.35">
      <c r="A153" s="1">
        <v>2027</v>
      </c>
      <c r="B153" s="1">
        <v>685.35</v>
      </c>
      <c r="C153" s="1">
        <v>720.48864590130802</v>
      </c>
      <c r="D153" s="1">
        <v>685.35</v>
      </c>
      <c r="E153" s="1" t="s">
        <v>140</v>
      </c>
      <c r="F153" s="1">
        <v>2</v>
      </c>
    </row>
    <row r="154" spans="1:6" x14ac:dyDescent="0.35">
      <c r="A154" s="1">
        <v>2028</v>
      </c>
      <c r="B154" s="1">
        <v>702.69971785141729</v>
      </c>
      <c r="C154" s="1">
        <v>738.72790280878223</v>
      </c>
      <c r="D154" s="1">
        <v>702.69971785141729</v>
      </c>
      <c r="E154" s="1" t="s">
        <v>140</v>
      </c>
      <c r="F154" s="1">
        <v>2</v>
      </c>
    </row>
    <row r="155" spans="1:6" x14ac:dyDescent="0.35">
      <c r="A155" s="1">
        <v>2029</v>
      </c>
      <c r="B155" s="1">
        <v>720.48864590130802</v>
      </c>
      <c r="C155" s="1">
        <v>757.42888870314516</v>
      </c>
      <c r="D155" s="1">
        <v>720.48864590130802</v>
      </c>
      <c r="E155" s="1" t="s">
        <v>140</v>
      </c>
      <c r="F155" s="1">
        <v>2</v>
      </c>
    </row>
    <row r="156" spans="1:6" x14ac:dyDescent="0.35">
      <c r="A156" s="1">
        <v>2030</v>
      </c>
      <c r="B156" s="1">
        <v>757.42888870314505</v>
      </c>
      <c r="C156" s="1">
        <v>843.10245837581658</v>
      </c>
      <c r="D156" s="1">
        <v>1126.7368871179301</v>
      </c>
      <c r="E156" s="1" t="s">
        <v>140</v>
      </c>
      <c r="F156" s="1">
        <v>2</v>
      </c>
    </row>
    <row r="157" spans="1:6" x14ac:dyDescent="0.35">
      <c r="A157" s="1">
        <v>2031</v>
      </c>
      <c r="B157" s="1">
        <v>431.04673081383493</v>
      </c>
      <c r="C157" s="1">
        <v>602.27296583794021</v>
      </c>
      <c r="D157" s="1">
        <v>819.87194830339581</v>
      </c>
      <c r="E157" s="1" t="s">
        <v>140</v>
      </c>
      <c r="F157" s="1">
        <v>2</v>
      </c>
    </row>
    <row r="158" spans="1:6" x14ac:dyDescent="0.35">
      <c r="A158" s="1">
        <v>2032</v>
      </c>
      <c r="B158" s="1">
        <v>441.95873075604823</v>
      </c>
      <c r="C158" s="1">
        <v>617.51957855673288</v>
      </c>
      <c r="D158" s="1">
        <v>840.62710548929454</v>
      </c>
      <c r="E158" s="1" t="s">
        <v>140</v>
      </c>
      <c r="F158" s="1">
        <v>2</v>
      </c>
    </row>
    <row r="159" spans="1:6" x14ac:dyDescent="0.35">
      <c r="A159" s="1">
        <v>2033</v>
      </c>
      <c r="B159" s="1">
        <v>453.14696929196123</v>
      </c>
      <c r="C159" s="1">
        <v>633.15216111409109</v>
      </c>
      <c r="D159" s="1">
        <v>861.90768198085777</v>
      </c>
      <c r="E159" s="1" t="s">
        <v>140</v>
      </c>
      <c r="F159" s="1">
        <v>2</v>
      </c>
    </row>
    <row r="160" spans="1:6" x14ac:dyDescent="0.35">
      <c r="A160" s="1">
        <v>2034</v>
      </c>
      <c r="B160" s="1">
        <v>464.61843943486679</v>
      </c>
      <c r="C160" s="1">
        <v>649.18048438299695</v>
      </c>
      <c r="D160" s="1">
        <v>883.72697883113426</v>
      </c>
      <c r="E160" s="1" t="s">
        <v>140</v>
      </c>
      <c r="F160" s="1">
        <v>2</v>
      </c>
    </row>
    <row r="161" spans="1:6" x14ac:dyDescent="0.35">
      <c r="A161" s="1">
        <v>2035</v>
      </c>
      <c r="B161" s="1">
        <v>476.38031122703262</v>
      </c>
      <c r="C161" s="1">
        <v>665.61456658725967</v>
      </c>
      <c r="D161" s="1">
        <v>906.09863381093385</v>
      </c>
      <c r="E161" s="1" t="s">
        <v>140</v>
      </c>
      <c r="F161" s="1">
        <v>2</v>
      </c>
    </row>
    <row r="162" spans="1:6" x14ac:dyDescent="0.35">
      <c r="A162" s="1">
        <v>2036</v>
      </c>
      <c r="B162" s="1">
        <v>488.43993622120979</v>
      </c>
      <c r="C162" s="1">
        <v>682.46467956323158</v>
      </c>
      <c r="D162" s="1">
        <v>929.03662993287799</v>
      </c>
      <c r="E162" s="1" t="s">
        <v>140</v>
      </c>
      <c r="F162" s="1">
        <v>2</v>
      </c>
    </row>
    <row r="163" spans="1:6" x14ac:dyDescent="0.35">
      <c r="A163" s="1">
        <v>2037</v>
      </c>
      <c r="B163" s="1">
        <v>500.80485207559411</v>
      </c>
      <c r="C163" s="1">
        <v>699.7413551800405</v>
      </c>
      <c r="D163" s="1">
        <v>906.09863381093385</v>
      </c>
      <c r="E163" s="1" t="s">
        <v>140</v>
      </c>
      <c r="F163" s="1">
        <v>2</v>
      </c>
    </row>
    <row r="164" spans="1:6" x14ac:dyDescent="0.35">
      <c r="A164" s="1">
        <v>2038</v>
      </c>
      <c r="B164" s="1">
        <v>488.43993622120979</v>
      </c>
      <c r="C164" s="1">
        <v>717.45539192235037</v>
      </c>
      <c r="D164" s="1">
        <v>929.03662993287799</v>
      </c>
      <c r="E164" s="1" t="s">
        <v>140</v>
      </c>
      <c r="F164" s="1">
        <v>2</v>
      </c>
    </row>
    <row r="165" spans="1:6" x14ac:dyDescent="0.35">
      <c r="A165" s="1">
        <v>2039</v>
      </c>
      <c r="B165" s="1">
        <v>500.80485207559411</v>
      </c>
      <c r="C165" s="1">
        <v>735.61786163976603</v>
      </c>
      <c r="D165" s="1">
        <v>952.55530419123795</v>
      </c>
      <c r="E165" s="1" t="s">
        <v>140</v>
      </c>
      <c r="F165" s="1">
        <v>2</v>
      </c>
    </row>
    <row r="166" spans="1:6" x14ac:dyDescent="0.35">
      <c r="A166" s="1">
        <v>2040</v>
      </c>
      <c r="B166" s="1">
        <v>513.48278726510659</v>
      </c>
      <c r="C166" s="1">
        <v>717.45539192235037</v>
      </c>
      <c r="D166" s="1">
        <v>976.66935652302311</v>
      </c>
      <c r="E166" s="1" t="s">
        <v>140</v>
      </c>
      <c r="F166" s="1">
        <v>2</v>
      </c>
    </row>
    <row r="167" spans="1:6" x14ac:dyDescent="0.35">
      <c r="A167" s="1">
        <v>2041</v>
      </c>
      <c r="B167" s="1">
        <v>526.4816659119424</v>
      </c>
      <c r="C167" s="1">
        <v>735.61786163976603</v>
      </c>
      <c r="D167" s="1">
        <v>1001.39385899592</v>
      </c>
      <c r="E167" s="1" t="s">
        <v>140</v>
      </c>
      <c r="F167" s="1">
        <v>2</v>
      </c>
    </row>
    <row r="168" spans="1:6" x14ac:dyDescent="0.35">
      <c r="A168" s="1">
        <v>2042</v>
      </c>
      <c r="B168" s="1">
        <v>539.80961273840535</v>
      </c>
      <c r="C168" s="1">
        <v>754.24011646709937</v>
      </c>
      <c r="D168" s="1">
        <v>1026.7442652288239</v>
      </c>
      <c r="E168" s="1" t="s">
        <v>140</v>
      </c>
      <c r="F168" s="1">
        <v>2</v>
      </c>
    </row>
    <row r="169" spans="1:6" x14ac:dyDescent="0.35">
      <c r="A169" s="1">
        <v>2043</v>
      </c>
      <c r="B169" s="1">
        <v>553.47495814512331</v>
      </c>
      <c r="C169" s="1">
        <v>773.33379591982327</v>
      </c>
      <c r="D169" s="1">
        <v>1052.736420050858</v>
      </c>
      <c r="E169" s="1" t="s">
        <v>140</v>
      </c>
      <c r="F169" s="1">
        <v>2</v>
      </c>
    </row>
    <row r="170" spans="1:6" x14ac:dyDescent="0.35">
      <c r="A170" s="1">
        <v>2044</v>
      </c>
      <c r="B170" s="1">
        <v>567.48624341782033</v>
      </c>
      <c r="C170" s="1">
        <v>792.91083416914762</v>
      </c>
      <c r="D170" s="1">
        <v>1079.3865694049009</v>
      </c>
      <c r="E170" s="1" t="s">
        <v>140</v>
      </c>
      <c r="F170" s="1">
        <v>2</v>
      </c>
    </row>
    <row r="171" spans="1:6" x14ac:dyDescent="0.35">
      <c r="A171" s="1">
        <v>2045</v>
      </c>
      <c r="B171" s="1">
        <v>581.85222606589787</v>
      </c>
      <c r="C171" s="1">
        <v>812.98346750126507</v>
      </c>
      <c r="D171" s="1">
        <v>1106.711370501836</v>
      </c>
      <c r="E171" s="1" t="s">
        <v>140</v>
      </c>
      <c r="F171" s="1">
        <v>2</v>
      </c>
    </row>
    <row r="172" spans="1:6" x14ac:dyDescent="0.35">
      <c r="A172" s="1">
        <v>2046</v>
      </c>
      <c r="B172" s="1">
        <v>567.48624341782033</v>
      </c>
      <c r="C172" s="1">
        <v>833.56424196542764</v>
      </c>
      <c r="D172" s="1">
        <v>1119.5091500215781</v>
      </c>
      <c r="E172" s="1" t="s">
        <v>140</v>
      </c>
      <c r="F172" s="1">
        <v>2</v>
      </c>
    </row>
    <row r="173" spans="1:6" x14ac:dyDescent="0.35">
      <c r="A173" s="1">
        <v>2047</v>
      </c>
      <c r="B173" s="1">
        <v>596.58188529616325</v>
      </c>
      <c r="C173" s="1">
        <v>876.3019945508446</v>
      </c>
      <c r="D173" s="1">
        <v>1279.5117612862971</v>
      </c>
      <c r="E173" s="1" t="s">
        <v>140</v>
      </c>
      <c r="F173" s="1">
        <v>2</v>
      </c>
    </row>
    <row r="174" spans="1:6" x14ac:dyDescent="0.35">
      <c r="A174" s="1">
        <v>2048</v>
      </c>
      <c r="B174" s="1">
        <v>393.14326864482422</v>
      </c>
      <c r="C174" s="1">
        <v>651.67274061175704</v>
      </c>
      <c r="D174" s="1">
        <v>1097.461978822437</v>
      </c>
      <c r="E174" s="1" t="s">
        <v>140</v>
      </c>
      <c r="F174" s="1">
        <v>2</v>
      </c>
    </row>
    <row r="175" spans="1:6" x14ac:dyDescent="0.35">
      <c r="A175" s="1">
        <v>2049</v>
      </c>
      <c r="B175" s="1">
        <v>403.07268023759849</v>
      </c>
      <c r="C175" s="1">
        <v>668.16991458282848</v>
      </c>
      <c r="D175" s="1">
        <v>1125.2443610873049</v>
      </c>
      <c r="E175" s="1" t="s">
        <v>140</v>
      </c>
      <c r="F175" s="1">
        <v>2</v>
      </c>
    </row>
    <row r="176" spans="1:6" x14ac:dyDescent="0.35">
      <c r="A176" s="1">
        <v>2050</v>
      </c>
      <c r="B176" s="1">
        <v>413.27651371791791</v>
      </c>
      <c r="C176" s="1">
        <v>685.08471650129013</v>
      </c>
      <c r="D176" s="1">
        <v>1153.7300577076639</v>
      </c>
      <c r="E176" s="1" t="s">
        <v>140</v>
      </c>
      <c r="F176" s="1">
        <v>2</v>
      </c>
    </row>
    <row r="177" spans="1:6" x14ac:dyDescent="0.35">
      <c r="A177" s="1">
        <v>2026</v>
      </c>
      <c r="B177" s="1">
        <v>668.4286482086178</v>
      </c>
      <c r="C177" s="1">
        <v>702.69971785141729</v>
      </c>
      <c r="D177" s="1">
        <v>702.69971785141729</v>
      </c>
      <c r="E177" s="1" t="s">
        <v>141</v>
      </c>
      <c r="F177" s="1">
        <v>2</v>
      </c>
    </row>
    <row r="178" spans="1:6" x14ac:dyDescent="0.35">
      <c r="A178" s="1">
        <v>2027</v>
      </c>
      <c r="B178" s="1">
        <v>685.35</v>
      </c>
      <c r="C178" s="1">
        <v>720.48864590130802</v>
      </c>
      <c r="D178" s="1">
        <v>720.48864590130802</v>
      </c>
      <c r="E178" s="1" t="s">
        <v>141</v>
      </c>
      <c r="F178" s="1">
        <v>2</v>
      </c>
    </row>
    <row r="179" spans="1:6" x14ac:dyDescent="0.35">
      <c r="A179" s="1">
        <v>2028</v>
      </c>
      <c r="B179" s="1">
        <v>702.69971785141729</v>
      </c>
      <c r="C179" s="1">
        <v>738.72790280878223</v>
      </c>
      <c r="D179" s="1">
        <v>738.72790280878223</v>
      </c>
      <c r="E179" s="1" t="s">
        <v>141</v>
      </c>
      <c r="F179" s="1">
        <v>2</v>
      </c>
    </row>
    <row r="180" spans="1:6" x14ac:dyDescent="0.35">
      <c r="A180" s="1">
        <v>2029</v>
      </c>
      <c r="B180" s="1">
        <v>720.48864590130802</v>
      </c>
      <c r="C180" s="1">
        <v>757.42888870314516</v>
      </c>
      <c r="D180" s="1">
        <v>757.42888870314516</v>
      </c>
      <c r="E180" s="1" t="s">
        <v>141</v>
      </c>
      <c r="F180" s="1">
        <v>2</v>
      </c>
    </row>
    <row r="181" spans="1:6" x14ac:dyDescent="0.35">
      <c r="A181" s="1">
        <v>2030</v>
      </c>
      <c r="B181" s="1">
        <v>738.72790280878223</v>
      </c>
      <c r="C181" s="1">
        <v>776.60329230934951</v>
      </c>
      <c r="D181" s="1">
        <v>776.60329230934951</v>
      </c>
      <c r="E181" s="1" t="s">
        <v>141</v>
      </c>
      <c r="F181" s="1">
        <v>2</v>
      </c>
    </row>
    <row r="182" spans="1:6" x14ac:dyDescent="0.35">
      <c r="A182" s="1">
        <v>2031</v>
      </c>
      <c r="B182" s="1">
        <v>776.60329230934951</v>
      </c>
      <c r="C182" s="1">
        <v>816.42059455527976</v>
      </c>
      <c r="D182" s="1">
        <v>1058.058212153039</v>
      </c>
      <c r="E182" s="1" t="s">
        <v>141</v>
      </c>
      <c r="F182" s="1">
        <v>2</v>
      </c>
    </row>
    <row r="183" spans="1:6" x14ac:dyDescent="0.35">
      <c r="A183" s="1">
        <v>2032</v>
      </c>
      <c r="B183" s="1">
        <v>442.96478035025189</v>
      </c>
      <c r="C183" s="1">
        <v>607.55334708386295</v>
      </c>
      <c r="D183" s="1">
        <v>802.11426377059274</v>
      </c>
      <c r="E183" s="1" t="s">
        <v>141</v>
      </c>
      <c r="F183" s="1">
        <v>2</v>
      </c>
    </row>
    <row r="184" spans="1:6" x14ac:dyDescent="0.35">
      <c r="A184" s="1">
        <v>2033</v>
      </c>
      <c r="B184" s="1">
        <v>454.17848715289568</v>
      </c>
      <c r="C184" s="1">
        <v>622.93363329031115</v>
      </c>
      <c r="D184" s="1">
        <v>822.4198830323088</v>
      </c>
      <c r="E184" s="1" t="s">
        <v>141</v>
      </c>
      <c r="F184" s="1">
        <v>2</v>
      </c>
    </row>
    <row r="185" spans="1:6" x14ac:dyDescent="0.35">
      <c r="A185" s="1">
        <v>2034</v>
      </c>
      <c r="B185" s="1">
        <v>465.67607029477398</v>
      </c>
      <c r="C185" s="1">
        <v>638.70327329577572</v>
      </c>
      <c r="D185" s="1">
        <v>843.23954149295844</v>
      </c>
      <c r="E185" s="1" t="s">
        <v>141</v>
      </c>
      <c r="F185" s="1">
        <v>2</v>
      </c>
    </row>
    <row r="186" spans="1:6" x14ac:dyDescent="0.35">
      <c r="A186" s="1">
        <v>2035</v>
      </c>
      <c r="B186" s="1">
        <v>477.46471613962859</v>
      </c>
      <c r="C186" s="1">
        <v>654.87212363860556</v>
      </c>
      <c r="D186" s="1">
        <v>864.58625211681681</v>
      </c>
      <c r="E186" s="1" t="s">
        <v>141</v>
      </c>
      <c r="F186" s="1">
        <v>2</v>
      </c>
    </row>
    <row r="187" spans="1:6" x14ac:dyDescent="0.35">
      <c r="A187" s="1">
        <v>2036</v>
      </c>
      <c r="B187" s="1">
        <v>501.94485561697451</v>
      </c>
      <c r="C187" s="1">
        <v>688.44813540365203</v>
      </c>
      <c r="D187" s="1">
        <v>1095.335687777527</v>
      </c>
      <c r="E187" s="1" t="s">
        <v>141</v>
      </c>
      <c r="F187" s="1">
        <v>2</v>
      </c>
    </row>
    <row r="188" spans="1:6" x14ac:dyDescent="0.35">
      <c r="A188" s="1">
        <v>2037</v>
      </c>
      <c r="B188" s="1">
        <v>351.1856472753563</v>
      </c>
      <c r="C188" s="1">
        <v>524.72057137457602</v>
      </c>
      <c r="D188" s="1">
        <v>818.78650501193908</v>
      </c>
      <c r="E188" s="1" t="s">
        <v>141</v>
      </c>
      <c r="F188" s="1">
        <v>2</v>
      </c>
    </row>
    <row r="189" spans="1:6" x14ac:dyDescent="0.35">
      <c r="A189" s="1">
        <v>2038</v>
      </c>
      <c r="B189" s="1">
        <v>360.07595426258149</v>
      </c>
      <c r="C189" s="1">
        <v>538.00393588057057</v>
      </c>
      <c r="D189" s="1">
        <v>839.51418407009214</v>
      </c>
      <c r="E189" s="1" t="s">
        <v>141</v>
      </c>
      <c r="F189" s="1">
        <v>2</v>
      </c>
    </row>
    <row r="190" spans="1:6" x14ac:dyDescent="0.35">
      <c r="A190" s="1">
        <v>2039</v>
      </c>
      <c r="B190" s="1">
        <v>369.19132044268753</v>
      </c>
      <c r="C190" s="1">
        <v>551.62357036000435</v>
      </c>
      <c r="D190" s="1">
        <v>860.76658682179402</v>
      </c>
      <c r="E190" s="1" t="s">
        <v>141</v>
      </c>
      <c r="F190" s="1">
        <v>2</v>
      </c>
    </row>
    <row r="191" spans="1:6" x14ac:dyDescent="0.35">
      <c r="A191" s="1">
        <v>2040</v>
      </c>
      <c r="B191" s="1">
        <v>378.53744321626709</v>
      </c>
      <c r="C191" s="1">
        <v>565.58798752778364</v>
      </c>
      <c r="D191" s="1">
        <v>882.55699671058903</v>
      </c>
      <c r="E191" s="1" t="s">
        <v>141</v>
      </c>
      <c r="F191" s="1">
        <v>2</v>
      </c>
    </row>
    <row r="192" spans="1:6" x14ac:dyDescent="0.35">
      <c r="A192" s="1">
        <v>2041</v>
      </c>
      <c r="B192" s="1">
        <v>388.1201642142961</v>
      </c>
      <c r="C192" s="1">
        <v>579.9059155992187</v>
      </c>
      <c r="D192" s="1">
        <v>904.89903345199559</v>
      </c>
      <c r="E192" s="1" t="s">
        <v>141</v>
      </c>
      <c r="F192" s="1">
        <v>2</v>
      </c>
    </row>
    <row r="193" spans="1:6" x14ac:dyDescent="0.35">
      <c r="A193" s="1">
        <v>2042</v>
      </c>
      <c r="B193" s="1">
        <v>397.9454729493421</v>
      </c>
      <c r="C193" s="1">
        <v>594.58630374544214</v>
      </c>
      <c r="D193" s="1">
        <v>927.80666154627204</v>
      </c>
      <c r="E193" s="1" t="s">
        <v>141</v>
      </c>
      <c r="F193" s="1">
        <v>2</v>
      </c>
    </row>
    <row r="194" spans="1:6" x14ac:dyDescent="0.35">
      <c r="A194" s="1">
        <v>2043</v>
      </c>
      <c r="B194" s="1">
        <v>408.01951055920563</v>
      </c>
      <c r="C194" s="1">
        <v>609.63832768693271</v>
      </c>
      <c r="D194" s="1">
        <v>951.29419900668393</v>
      </c>
      <c r="E194" s="1" t="s">
        <v>141</v>
      </c>
      <c r="F194" s="1">
        <v>2</v>
      </c>
    </row>
    <row r="195" spans="1:6" x14ac:dyDescent="0.35">
      <c r="A195" s="1">
        <v>2044</v>
      </c>
      <c r="B195" s="1">
        <v>418.3485736453303</v>
      </c>
      <c r="C195" s="1">
        <v>594.58630374544214</v>
      </c>
      <c r="D195" s="1">
        <v>975.37632630872815</v>
      </c>
      <c r="E195" s="1" t="s">
        <v>141</v>
      </c>
      <c r="F195" s="1">
        <v>2</v>
      </c>
    </row>
    <row r="196" spans="1:6" x14ac:dyDescent="0.35">
      <c r="A196" s="1">
        <v>2045</v>
      </c>
      <c r="B196" s="1">
        <v>428.93911820838468</v>
      </c>
      <c r="C196" s="1">
        <v>609.63832768693271</v>
      </c>
      <c r="D196" s="1">
        <v>1000.068095565908</v>
      </c>
      <c r="E196" s="1" t="s">
        <v>141</v>
      </c>
      <c r="F196" s="1">
        <v>2</v>
      </c>
    </row>
    <row r="197" spans="1:6" x14ac:dyDescent="0.35">
      <c r="A197" s="1">
        <v>2046</v>
      </c>
      <c r="B197" s="1">
        <v>439.79776368347223</v>
      </c>
      <c r="C197" s="1">
        <v>625.07139542863865</v>
      </c>
      <c r="D197" s="1">
        <v>1025.384939937795</v>
      </c>
      <c r="E197" s="1" t="s">
        <v>141</v>
      </c>
      <c r="F197" s="1">
        <v>2</v>
      </c>
    </row>
    <row r="198" spans="1:6" x14ac:dyDescent="0.35">
      <c r="A198" s="1">
        <v>2047</v>
      </c>
      <c r="B198" s="1">
        <v>428.93911820838468</v>
      </c>
      <c r="C198" s="1">
        <v>640.89515314028756</v>
      </c>
      <c r="D198" s="1">
        <v>1051.342683276255</v>
      </c>
      <c r="E198" s="1" t="s">
        <v>141</v>
      </c>
      <c r="F198" s="1">
        <v>2</v>
      </c>
    </row>
    <row r="199" spans="1:6" x14ac:dyDescent="0.35">
      <c r="A199" s="1">
        <v>2048</v>
      </c>
      <c r="B199" s="1">
        <v>438.75853208713562</v>
      </c>
      <c r="C199" s="1">
        <v>657.11949118555629</v>
      </c>
      <c r="D199" s="1">
        <v>1077.9575500158701</v>
      </c>
      <c r="E199" s="1" t="s">
        <v>141</v>
      </c>
      <c r="F199" s="1">
        <v>2</v>
      </c>
    </row>
    <row r="200" spans="1:6" x14ac:dyDescent="0.35">
      <c r="A200" s="1">
        <v>2049</v>
      </c>
      <c r="B200" s="1">
        <v>427.92554533158449</v>
      </c>
      <c r="C200" s="1">
        <v>673.75455030387002</v>
      </c>
      <c r="D200" s="1">
        <v>1105.24617531474</v>
      </c>
      <c r="E200" s="1" t="s">
        <v>141</v>
      </c>
      <c r="F200" s="1">
        <v>2</v>
      </c>
    </row>
    <row r="201" spans="1:6" x14ac:dyDescent="0.35">
      <c r="A201" s="1">
        <v>2050</v>
      </c>
      <c r="B201" s="1">
        <v>438.75853208713562</v>
      </c>
      <c r="C201" s="1">
        <v>657.11949118555629</v>
      </c>
      <c r="D201" s="1">
        <v>1133.225615451996</v>
      </c>
      <c r="E201" s="1" t="s">
        <v>141</v>
      </c>
      <c r="F201" s="1">
        <v>2</v>
      </c>
    </row>
    <row r="202" spans="1:6" x14ac:dyDescent="0.35">
      <c r="A202" s="1">
        <v>2026</v>
      </c>
      <c r="B202" s="1">
        <v>668.4286482086178</v>
      </c>
      <c r="C202" s="1">
        <v>702.69971785141729</v>
      </c>
      <c r="D202" s="1">
        <v>702.69971785141729</v>
      </c>
      <c r="E202" s="1" t="s">
        <v>142</v>
      </c>
      <c r="F202" s="1">
        <v>2</v>
      </c>
    </row>
    <row r="203" spans="1:6" x14ac:dyDescent="0.35">
      <c r="A203" s="1">
        <v>2027</v>
      </c>
      <c r="B203" s="1">
        <v>685.35</v>
      </c>
      <c r="C203" s="1">
        <v>720.48864590130802</v>
      </c>
      <c r="D203" s="1">
        <v>720.48864590130802</v>
      </c>
      <c r="E203" s="1" t="s">
        <v>142</v>
      </c>
      <c r="F203" s="1">
        <v>2</v>
      </c>
    </row>
    <row r="204" spans="1:6" x14ac:dyDescent="0.35">
      <c r="A204" s="1">
        <v>2028</v>
      </c>
      <c r="B204" s="1">
        <v>702.69971785141729</v>
      </c>
      <c r="C204" s="1">
        <v>738.72790280878223</v>
      </c>
      <c r="D204" s="1">
        <v>738.72790280878223</v>
      </c>
      <c r="E204" s="1" t="s">
        <v>142</v>
      </c>
      <c r="F204" s="1">
        <v>2</v>
      </c>
    </row>
    <row r="205" spans="1:6" x14ac:dyDescent="0.35">
      <c r="A205" s="1">
        <v>2029</v>
      </c>
      <c r="B205" s="1">
        <v>720.48864590130802</v>
      </c>
      <c r="C205" s="1">
        <v>757.42888870314516</v>
      </c>
      <c r="D205" s="1">
        <v>757.42888870314516</v>
      </c>
      <c r="E205" s="1" t="s">
        <v>142</v>
      </c>
      <c r="F205" s="1">
        <v>2</v>
      </c>
    </row>
    <row r="206" spans="1:6" x14ac:dyDescent="0.35">
      <c r="A206" s="1">
        <v>2030</v>
      </c>
      <c r="B206" s="1">
        <v>707.02090283345274</v>
      </c>
      <c r="C206" s="1">
        <v>776.60329230934951</v>
      </c>
      <c r="D206" s="1">
        <v>776.60329230934951</v>
      </c>
      <c r="E206" s="1" t="s">
        <v>142</v>
      </c>
      <c r="F206" s="1">
        <v>2</v>
      </c>
    </row>
    <row r="207" spans="1:6" x14ac:dyDescent="0.35">
      <c r="A207" s="1">
        <v>2031</v>
      </c>
      <c r="B207" s="1">
        <v>724.91922220197205</v>
      </c>
      <c r="C207" s="1">
        <v>757.42888870314516</v>
      </c>
      <c r="D207" s="1">
        <v>796.26309825382896</v>
      </c>
      <c r="E207" s="1" t="s">
        <v>142</v>
      </c>
      <c r="F207" s="1">
        <v>2</v>
      </c>
    </row>
    <row r="208" spans="1:6" x14ac:dyDescent="0.35">
      <c r="A208" s="1">
        <v>2032</v>
      </c>
      <c r="B208" s="1">
        <v>735.81038451604377</v>
      </c>
      <c r="C208" s="1">
        <v>776.60329230934951</v>
      </c>
      <c r="D208" s="1">
        <v>816.42059455527976</v>
      </c>
      <c r="E208" s="1" t="s">
        <v>142</v>
      </c>
      <c r="F208" s="1">
        <v>2</v>
      </c>
    </row>
    <row r="209" spans="1:6" x14ac:dyDescent="0.35">
      <c r="A209" s="1">
        <v>2033</v>
      </c>
      <c r="B209" s="1">
        <v>754.43751308319372</v>
      </c>
      <c r="C209" s="1">
        <v>796.26309825382896</v>
      </c>
      <c r="D209" s="1">
        <v>837.08838030507252</v>
      </c>
      <c r="E209" s="1" t="s">
        <v>142</v>
      </c>
      <c r="F209" s="1">
        <v>2</v>
      </c>
    </row>
    <row r="210" spans="1:6" x14ac:dyDescent="0.35">
      <c r="A210" s="1">
        <v>2034</v>
      </c>
      <c r="B210" s="1">
        <v>735.81038451604365</v>
      </c>
      <c r="C210" s="1">
        <v>816.42059455527976</v>
      </c>
      <c r="D210" s="1">
        <v>858.27937354209439</v>
      </c>
      <c r="E210" s="1" t="s">
        <v>142</v>
      </c>
      <c r="F210" s="1">
        <v>2</v>
      </c>
    </row>
    <row r="211" spans="1:6" x14ac:dyDescent="0.35">
      <c r="A211" s="1">
        <v>2035</v>
      </c>
      <c r="B211" s="1">
        <v>773.53618965504506</v>
      </c>
      <c r="C211" s="1">
        <v>858.27937354209439</v>
      </c>
      <c r="D211" s="1">
        <v>1144.6701311207589</v>
      </c>
      <c r="E211" s="1" t="s">
        <v>142</v>
      </c>
      <c r="F211" s="1">
        <v>2</v>
      </c>
    </row>
    <row r="212" spans="1:6" x14ac:dyDescent="0.35">
      <c r="A212" s="1">
        <v>2036</v>
      </c>
      <c r="B212" s="1">
        <v>460.09862843635551</v>
      </c>
      <c r="C212" s="1">
        <v>667.42864928339418</v>
      </c>
      <c r="D212" s="1">
        <v>949.09363549474551</v>
      </c>
      <c r="E212" s="1" t="s">
        <v>142</v>
      </c>
      <c r="F212" s="1">
        <v>2</v>
      </c>
    </row>
    <row r="213" spans="1:6" x14ac:dyDescent="0.35">
      <c r="A213" s="1">
        <v>2037</v>
      </c>
      <c r="B213" s="1">
        <v>471.74608066834628</v>
      </c>
      <c r="C213" s="1">
        <v>684.32468598146011</v>
      </c>
      <c r="D213" s="1">
        <v>925.66043014103059</v>
      </c>
      <c r="E213" s="1" t="s">
        <v>142</v>
      </c>
      <c r="F213" s="1">
        <v>2</v>
      </c>
    </row>
    <row r="214" spans="1:6" x14ac:dyDescent="0.35">
      <c r="A214" s="1">
        <v>2038</v>
      </c>
      <c r="B214" s="1">
        <v>483.68838955739238</v>
      </c>
      <c r="C214" s="1">
        <v>701.64844788492269</v>
      </c>
      <c r="D214" s="1">
        <v>902.80579268895713</v>
      </c>
      <c r="E214" s="1" t="s">
        <v>142</v>
      </c>
      <c r="F214" s="1">
        <v>2</v>
      </c>
    </row>
    <row r="215" spans="1:6" x14ac:dyDescent="0.35">
      <c r="A215" s="1">
        <v>2039</v>
      </c>
      <c r="B215" s="1">
        <v>495.93301943530469</v>
      </c>
      <c r="C215" s="1">
        <v>719.41076290890794</v>
      </c>
      <c r="D215" s="1">
        <v>925.66043014103059</v>
      </c>
      <c r="E215" s="1" t="s">
        <v>142</v>
      </c>
      <c r="F215" s="1">
        <v>2</v>
      </c>
    </row>
    <row r="216" spans="1:6" x14ac:dyDescent="0.35">
      <c r="A216" s="1">
        <v>2040</v>
      </c>
      <c r="B216" s="1">
        <v>508.48762359435341</v>
      </c>
      <c r="C216" s="1">
        <v>737.62273307851831</v>
      </c>
      <c r="D216" s="1">
        <v>938.4583968147075</v>
      </c>
      <c r="E216" s="1" t="s">
        <v>142</v>
      </c>
      <c r="F216" s="1">
        <v>2</v>
      </c>
    </row>
    <row r="217" spans="1:6" x14ac:dyDescent="0.35">
      <c r="A217" s="1">
        <v>2041</v>
      </c>
      <c r="B217" s="1">
        <v>534.55834154967488</v>
      </c>
      <c r="C217" s="1">
        <v>817.96352413879902</v>
      </c>
      <c r="D217" s="1">
        <v>1194.9536607888811</v>
      </c>
      <c r="E217" s="1" t="s">
        <v>142</v>
      </c>
      <c r="F217" s="1">
        <v>2</v>
      </c>
    </row>
    <row r="218" spans="1:6" x14ac:dyDescent="0.35">
      <c r="A218" s="1">
        <v>2042</v>
      </c>
      <c r="B218" s="1">
        <v>351.86922206036053</v>
      </c>
      <c r="C218" s="1">
        <v>573.02833981083018</v>
      </c>
      <c r="D218" s="1">
        <v>965.79113131418217</v>
      </c>
      <c r="E218" s="1" t="s">
        <v>142</v>
      </c>
      <c r="F218" s="1">
        <v>2</v>
      </c>
    </row>
    <row r="219" spans="1:6" x14ac:dyDescent="0.35">
      <c r="A219" s="1">
        <v>2043</v>
      </c>
      <c r="B219" s="1">
        <v>360.7768338256555</v>
      </c>
      <c r="C219" s="1">
        <v>587.53462129705474</v>
      </c>
      <c r="D219" s="1">
        <v>990.2402502048252</v>
      </c>
      <c r="E219" s="1" t="s">
        <v>142</v>
      </c>
      <c r="F219" s="1">
        <v>2</v>
      </c>
    </row>
    <row r="220" spans="1:6" x14ac:dyDescent="0.35">
      <c r="A220" s="1">
        <v>2044</v>
      </c>
      <c r="B220" s="1">
        <v>369.90994285637379</v>
      </c>
      <c r="C220" s="1">
        <v>602.40813104746439</v>
      </c>
      <c r="D220" s="1">
        <v>965.79113131418217</v>
      </c>
      <c r="E220" s="1" t="s">
        <v>142</v>
      </c>
      <c r="F220" s="1">
        <v>2</v>
      </c>
    </row>
    <row r="221" spans="1:6" x14ac:dyDescent="0.35">
      <c r="A221" s="1">
        <v>2045</v>
      </c>
      <c r="B221" s="1">
        <v>379.27425764296748</v>
      </c>
      <c r="C221" s="1">
        <v>617.65816548982684</v>
      </c>
      <c r="D221" s="1">
        <v>990.2402502048252</v>
      </c>
      <c r="E221" s="1" t="s">
        <v>142</v>
      </c>
      <c r="F221" s="1">
        <v>2</v>
      </c>
    </row>
    <row r="222" spans="1:6" x14ac:dyDescent="0.35">
      <c r="A222" s="1">
        <v>2046</v>
      </c>
      <c r="B222" s="1">
        <v>388.87563118701252</v>
      </c>
      <c r="C222" s="1">
        <v>629.87228410087721</v>
      </c>
      <c r="D222" s="1">
        <v>1015.308301486901</v>
      </c>
      <c r="E222" s="1" t="s">
        <v>142</v>
      </c>
      <c r="F222" s="1">
        <v>2</v>
      </c>
    </row>
    <row r="223" spans="1:6" x14ac:dyDescent="0.35">
      <c r="A223" s="1">
        <v>2047</v>
      </c>
      <c r="B223" s="1">
        <v>398.72006465952512</v>
      </c>
      <c r="C223" s="1">
        <v>645.81757688788821</v>
      </c>
      <c r="D223" s="1">
        <v>1041.010953508495</v>
      </c>
      <c r="E223" s="1" t="s">
        <v>142</v>
      </c>
      <c r="F223" s="1">
        <v>2</v>
      </c>
    </row>
    <row r="224" spans="1:6" x14ac:dyDescent="0.35">
      <c r="A224" s="1">
        <v>2048</v>
      </c>
      <c r="B224" s="1">
        <v>408.81371115188898</v>
      </c>
      <c r="C224" s="1">
        <v>662.16652668359973</v>
      </c>
      <c r="D224" s="1">
        <v>1015.308301486901</v>
      </c>
      <c r="E224" s="1" t="s">
        <v>142</v>
      </c>
      <c r="F224" s="1">
        <v>2</v>
      </c>
    </row>
    <row r="225" spans="1:6" x14ac:dyDescent="0.35">
      <c r="A225" s="1">
        <v>2049</v>
      </c>
      <c r="B225" s="1">
        <v>409.36482719121068</v>
      </c>
      <c r="C225" s="1">
        <v>668.36946928726252</v>
      </c>
      <c r="D225" s="1">
        <v>1041.010953508495</v>
      </c>
      <c r="E225" s="1" t="s">
        <v>142</v>
      </c>
      <c r="F225" s="1">
        <v>2</v>
      </c>
    </row>
    <row r="226" spans="1:6" x14ac:dyDescent="0.35">
      <c r="A226" s="1">
        <v>2050</v>
      </c>
      <c r="B226" s="1">
        <v>410.55620985474968</v>
      </c>
      <c r="C226" s="1">
        <v>685.28932295711809</v>
      </c>
      <c r="D226" s="1">
        <v>1015.308301486901</v>
      </c>
      <c r="E226" s="1" t="s">
        <v>142</v>
      </c>
      <c r="F226" s="1">
        <v>2</v>
      </c>
    </row>
    <row r="227" spans="1:6" x14ac:dyDescent="0.35">
      <c r="A227" s="1">
        <v>2026</v>
      </c>
      <c r="B227" s="1">
        <v>668.4286482086178</v>
      </c>
      <c r="C227" s="1">
        <v>702.69971785141729</v>
      </c>
      <c r="D227" s="1">
        <v>702.69971785141729</v>
      </c>
      <c r="E227" s="1" t="s">
        <v>143</v>
      </c>
      <c r="F227" s="1">
        <v>2</v>
      </c>
    </row>
    <row r="228" spans="1:6" x14ac:dyDescent="0.35">
      <c r="A228" s="1">
        <v>2027</v>
      </c>
      <c r="B228" s="1">
        <v>685.35</v>
      </c>
      <c r="C228" s="1">
        <v>720.48864590130802</v>
      </c>
      <c r="D228" s="1">
        <v>720.48864590130802</v>
      </c>
      <c r="E228" s="1" t="s">
        <v>143</v>
      </c>
      <c r="F228" s="1">
        <v>2</v>
      </c>
    </row>
    <row r="229" spans="1:6" x14ac:dyDescent="0.35">
      <c r="A229" s="1">
        <v>2028</v>
      </c>
      <c r="B229" s="1">
        <v>702.69971785141729</v>
      </c>
      <c r="C229" s="1">
        <v>738.72790280878223</v>
      </c>
      <c r="D229" s="1">
        <v>738.72790280878223</v>
      </c>
      <c r="E229" s="1" t="s">
        <v>143</v>
      </c>
      <c r="F229" s="1">
        <v>2</v>
      </c>
    </row>
    <row r="230" spans="1:6" x14ac:dyDescent="0.35">
      <c r="A230" s="1">
        <v>2029</v>
      </c>
      <c r="B230" s="1">
        <v>720.48864590130802</v>
      </c>
      <c r="C230" s="1">
        <v>720.48864590130802</v>
      </c>
      <c r="D230" s="1">
        <v>757.42888870314516</v>
      </c>
      <c r="E230" s="1" t="s">
        <v>143</v>
      </c>
      <c r="F230" s="1">
        <v>2</v>
      </c>
    </row>
    <row r="231" spans="1:6" x14ac:dyDescent="0.35">
      <c r="A231" s="1">
        <v>2030</v>
      </c>
      <c r="B231" s="1">
        <v>738.72790280878223</v>
      </c>
      <c r="C231" s="1">
        <v>738.72790280878223</v>
      </c>
      <c r="D231" s="1">
        <v>776.60329230934951</v>
      </c>
      <c r="E231" s="1" t="s">
        <v>143</v>
      </c>
      <c r="F231" s="1">
        <v>2</v>
      </c>
    </row>
    <row r="232" spans="1:6" x14ac:dyDescent="0.35">
      <c r="A232" s="1">
        <v>2031</v>
      </c>
      <c r="B232" s="1">
        <v>757.42888870314516</v>
      </c>
      <c r="C232" s="1">
        <v>757.42888870314516</v>
      </c>
      <c r="D232" s="1">
        <v>796.26309825382896</v>
      </c>
      <c r="E232" s="1" t="s">
        <v>143</v>
      </c>
      <c r="F232" s="1">
        <v>2</v>
      </c>
    </row>
    <row r="233" spans="1:6" x14ac:dyDescent="0.35">
      <c r="A233" s="1">
        <v>2032</v>
      </c>
      <c r="B233" s="1">
        <v>738.72790280878223</v>
      </c>
      <c r="C233" s="1">
        <v>776.60329230934951</v>
      </c>
      <c r="D233" s="1">
        <v>816.42059455527976</v>
      </c>
      <c r="E233" s="1" t="s">
        <v>143</v>
      </c>
      <c r="F233" s="1">
        <v>2</v>
      </c>
    </row>
    <row r="234" spans="1:6" x14ac:dyDescent="0.35">
      <c r="A234" s="1">
        <v>2033</v>
      </c>
      <c r="B234" s="1">
        <v>757.42888870314516</v>
      </c>
      <c r="C234" s="1">
        <v>796.26309825382896</v>
      </c>
      <c r="D234" s="1">
        <v>837.08838030507252</v>
      </c>
      <c r="E234" s="1" t="s">
        <v>143</v>
      </c>
      <c r="F234" s="1">
        <v>2</v>
      </c>
    </row>
    <row r="235" spans="1:6" x14ac:dyDescent="0.35">
      <c r="A235" s="1">
        <v>2034</v>
      </c>
      <c r="B235" s="1">
        <v>738.72790280878223</v>
      </c>
      <c r="C235" s="1">
        <v>816.42059455527976</v>
      </c>
      <c r="D235" s="1">
        <v>858.27937354209439</v>
      </c>
      <c r="E235" s="1" t="s">
        <v>143</v>
      </c>
      <c r="F235" s="1">
        <v>2</v>
      </c>
    </row>
    <row r="236" spans="1:6" x14ac:dyDescent="0.35">
      <c r="A236" s="1">
        <v>2035</v>
      </c>
      <c r="B236" s="1">
        <v>757.42888870314516</v>
      </c>
      <c r="C236" s="1">
        <v>837.08838030507252</v>
      </c>
      <c r="D236" s="1">
        <v>880.00681932694386</v>
      </c>
      <c r="E236" s="1" t="s">
        <v>143</v>
      </c>
      <c r="F236" s="1">
        <v>2</v>
      </c>
    </row>
    <row r="237" spans="1:6" x14ac:dyDescent="0.35">
      <c r="A237" s="1">
        <v>2036</v>
      </c>
      <c r="B237" s="1">
        <v>776.60329230934951</v>
      </c>
      <c r="C237" s="1">
        <v>816.42059455527976</v>
      </c>
      <c r="D237" s="1">
        <v>902.28429802052472</v>
      </c>
      <c r="E237" s="1" t="s">
        <v>143</v>
      </c>
      <c r="F237" s="1">
        <v>2</v>
      </c>
    </row>
    <row r="238" spans="1:6" x14ac:dyDescent="0.35">
      <c r="A238" s="1">
        <v>2037</v>
      </c>
      <c r="B238" s="1">
        <v>796.26309825382896</v>
      </c>
      <c r="C238" s="1">
        <v>837.08838030507252</v>
      </c>
      <c r="D238" s="1">
        <v>925.12573377221395</v>
      </c>
      <c r="E238" s="1" t="s">
        <v>143</v>
      </c>
      <c r="F238" s="1">
        <v>2</v>
      </c>
    </row>
    <row r="239" spans="1:6" x14ac:dyDescent="0.35">
      <c r="A239" s="1">
        <v>2038</v>
      </c>
      <c r="B239" s="1">
        <v>816.42059455527976</v>
      </c>
      <c r="C239" s="1">
        <v>858.27937354209439</v>
      </c>
      <c r="D239" s="1">
        <v>948.54540322290825</v>
      </c>
      <c r="E239" s="1" t="s">
        <v>143</v>
      </c>
      <c r="F239" s="1">
        <v>2</v>
      </c>
    </row>
    <row r="240" spans="1:6" x14ac:dyDescent="0.35">
      <c r="A240" s="1">
        <v>2039</v>
      </c>
      <c r="B240" s="1">
        <v>799.55462077174514</v>
      </c>
      <c r="C240" s="1">
        <v>880.00681932694386</v>
      </c>
      <c r="D240" s="1">
        <v>925.12573377221395</v>
      </c>
      <c r="E240" s="1" t="s">
        <v>143</v>
      </c>
      <c r="F240" s="1">
        <v>2</v>
      </c>
    </row>
    <row r="241" spans="1:6" x14ac:dyDescent="0.35">
      <c r="A241" s="1">
        <v>2040</v>
      </c>
      <c r="B241" s="1">
        <v>819.7954423624459</v>
      </c>
      <c r="C241" s="1">
        <v>902.28429802052472</v>
      </c>
      <c r="D241" s="1">
        <v>948.54540322290825</v>
      </c>
      <c r="E241" s="1" t="s">
        <v>143</v>
      </c>
      <c r="F241" s="1">
        <v>2</v>
      </c>
    </row>
    <row r="242" spans="1:6" x14ac:dyDescent="0.35">
      <c r="A242" s="1">
        <v>2041</v>
      </c>
      <c r="B242" s="1">
        <v>840.54866279122871</v>
      </c>
      <c r="C242" s="1">
        <v>925.12573377221395</v>
      </c>
      <c r="D242" s="1">
        <v>925.12573377221395</v>
      </c>
      <c r="E242" s="1" t="s">
        <v>143</v>
      </c>
      <c r="F242" s="1">
        <v>2</v>
      </c>
    </row>
    <row r="243" spans="1:6" x14ac:dyDescent="0.35">
      <c r="A243" s="1">
        <v>2042</v>
      </c>
      <c r="B243" s="1">
        <v>883.64451428993596</v>
      </c>
      <c r="C243" s="1">
        <v>972.55794442838919</v>
      </c>
      <c r="D243" s="1">
        <v>1266.7130423286569</v>
      </c>
      <c r="E243" s="1" t="s">
        <v>143</v>
      </c>
      <c r="F243" s="1">
        <v>2</v>
      </c>
    </row>
    <row r="244" spans="1:6" x14ac:dyDescent="0.35">
      <c r="A244" s="1">
        <v>2043</v>
      </c>
      <c r="B244" s="1">
        <v>524.60442958622616</v>
      </c>
      <c r="C244" s="1">
        <v>762.55505228842071</v>
      </c>
      <c r="D244" s="1">
        <v>1034.9624145771959</v>
      </c>
      <c r="E244" s="1" t="s">
        <v>143</v>
      </c>
      <c r="F244" s="1">
        <v>2</v>
      </c>
    </row>
    <row r="245" spans="1:6" x14ac:dyDescent="0.35">
      <c r="A245" s="1">
        <v>2044</v>
      </c>
      <c r="B245" s="1">
        <v>537.88485394885072</v>
      </c>
      <c r="C245" s="1">
        <v>781.85922534361418</v>
      </c>
      <c r="D245" s="1">
        <v>1061.162612840471</v>
      </c>
      <c r="E245" s="1" t="s">
        <v>143</v>
      </c>
      <c r="F245" s="1">
        <v>2</v>
      </c>
    </row>
    <row r="246" spans="1:6" x14ac:dyDescent="0.35">
      <c r="A246" s="1">
        <v>2045</v>
      </c>
      <c r="B246" s="1">
        <v>551.50147385483069</v>
      </c>
      <c r="C246" s="1">
        <v>762.5550522884206</v>
      </c>
      <c r="D246" s="1">
        <v>1088.026072280546</v>
      </c>
      <c r="E246" s="1" t="s">
        <v>143</v>
      </c>
      <c r="F246" s="1">
        <v>2</v>
      </c>
    </row>
    <row r="247" spans="1:6" x14ac:dyDescent="0.35">
      <c r="A247" s="1">
        <v>2046</v>
      </c>
      <c r="B247" s="1">
        <v>565.46280013486592</v>
      </c>
      <c r="C247" s="1">
        <v>781.85922534361407</v>
      </c>
      <c r="D247" s="1">
        <v>1115.569583434049</v>
      </c>
      <c r="E247" s="1" t="s">
        <v>143</v>
      </c>
      <c r="F247" s="1">
        <v>2</v>
      </c>
    </row>
    <row r="248" spans="1:6" x14ac:dyDescent="0.35">
      <c r="A248" s="1">
        <v>2047</v>
      </c>
      <c r="B248" s="1">
        <v>551.50147385483069</v>
      </c>
      <c r="C248" s="1">
        <v>801.65208586632423</v>
      </c>
      <c r="D248" s="1">
        <v>1143.8103618920679</v>
      </c>
      <c r="E248" s="1" t="s">
        <v>143</v>
      </c>
      <c r="F248" s="1">
        <v>2</v>
      </c>
    </row>
    <row r="249" spans="1:6" x14ac:dyDescent="0.35">
      <c r="A249" s="1">
        <v>2048</v>
      </c>
      <c r="B249" s="1">
        <v>565.46280013486592</v>
      </c>
      <c r="C249" s="1">
        <v>821.94600503869003</v>
      </c>
      <c r="D249" s="1">
        <v>1172.7660590604571</v>
      </c>
      <c r="E249" s="1" t="s">
        <v>143</v>
      </c>
      <c r="F249" s="1">
        <v>2</v>
      </c>
    </row>
    <row r="250" spans="1:6" x14ac:dyDescent="0.35">
      <c r="A250" s="1">
        <v>2049</v>
      </c>
      <c r="B250" s="1">
        <v>579.7775590723611</v>
      </c>
      <c r="C250" s="1">
        <v>842.75366722081731</v>
      </c>
      <c r="D250" s="1">
        <v>1202.454773192532</v>
      </c>
      <c r="E250" s="1" t="s">
        <v>143</v>
      </c>
      <c r="F250" s="1">
        <v>2</v>
      </c>
    </row>
    <row r="251" spans="1:6" x14ac:dyDescent="0.35">
      <c r="A251" s="1">
        <v>2050</v>
      </c>
      <c r="B251" s="1">
        <v>609.50339018021612</v>
      </c>
      <c r="C251" s="1">
        <v>885.96257171414356</v>
      </c>
      <c r="D251" s="1">
        <v>1264.105947756696</v>
      </c>
      <c r="E251" s="1" t="s">
        <v>143</v>
      </c>
      <c r="F251" s="1">
        <v>2</v>
      </c>
    </row>
    <row r="252" spans="1:6" x14ac:dyDescent="0.35">
      <c r="A252" s="1">
        <v>2026</v>
      </c>
      <c r="B252" s="1">
        <v>668.4286482086178</v>
      </c>
      <c r="C252" s="1">
        <v>702.69971785141729</v>
      </c>
      <c r="D252" s="1">
        <v>702.69971785141729</v>
      </c>
      <c r="E252" s="1" t="s">
        <v>144</v>
      </c>
      <c r="F252" s="1">
        <v>3</v>
      </c>
    </row>
    <row r="253" spans="1:6" x14ac:dyDescent="0.35">
      <c r="A253" s="1">
        <v>2027</v>
      </c>
      <c r="B253" s="1">
        <v>685.35</v>
      </c>
      <c r="C253" s="1">
        <v>712.80888245642564</v>
      </c>
      <c r="D253" s="1">
        <v>720.48864590130802</v>
      </c>
      <c r="E253" s="1" t="s">
        <v>144</v>
      </c>
      <c r="F253" s="1">
        <v>3</v>
      </c>
    </row>
    <row r="254" spans="1:6" x14ac:dyDescent="0.35">
      <c r="A254" s="1">
        <v>2028</v>
      </c>
      <c r="B254" s="1">
        <v>702.69971785141729</v>
      </c>
      <c r="C254" s="1">
        <v>730.85372522669354</v>
      </c>
      <c r="D254" s="1">
        <v>738.72790280878223</v>
      </c>
      <c r="E254" s="1" t="s">
        <v>144</v>
      </c>
      <c r="F254" s="1">
        <v>3</v>
      </c>
    </row>
    <row r="255" spans="1:6" x14ac:dyDescent="0.35">
      <c r="A255" s="1">
        <v>2029</v>
      </c>
      <c r="B255" s="1">
        <v>720.48864590130802</v>
      </c>
      <c r="C255" s="1">
        <v>749.3553753665351</v>
      </c>
      <c r="D255" s="1">
        <v>757.42888870314516</v>
      </c>
      <c r="E255" s="1" t="s">
        <v>144</v>
      </c>
      <c r="F255" s="1">
        <v>3</v>
      </c>
    </row>
    <row r="256" spans="1:6" x14ac:dyDescent="0.35">
      <c r="A256" s="1">
        <v>2030</v>
      </c>
      <c r="B256" s="1">
        <v>702.69971785141718</v>
      </c>
      <c r="C256" s="1">
        <v>768.32539700956761</v>
      </c>
      <c r="D256" s="1">
        <v>776.60329230934951</v>
      </c>
      <c r="E256" s="1" t="s">
        <v>144</v>
      </c>
      <c r="F256" s="1">
        <v>3</v>
      </c>
    </row>
    <row r="257" spans="1:6" x14ac:dyDescent="0.35">
      <c r="A257" s="1">
        <v>2031</v>
      </c>
      <c r="B257" s="1">
        <v>720.4886459013079</v>
      </c>
      <c r="C257" s="1">
        <v>787.77564703684448</v>
      </c>
      <c r="D257" s="1">
        <v>796.26309825382896</v>
      </c>
      <c r="E257" s="1" t="s">
        <v>144</v>
      </c>
      <c r="F257" s="1">
        <v>3</v>
      </c>
    </row>
    <row r="258" spans="1:6" x14ac:dyDescent="0.35">
      <c r="A258" s="1">
        <v>2032</v>
      </c>
      <c r="B258" s="1">
        <v>717.40122912018307</v>
      </c>
      <c r="C258" s="1">
        <v>807.71828248779207</v>
      </c>
      <c r="D258" s="1">
        <v>816.42059455527976</v>
      </c>
      <c r="E258" s="1" t="s">
        <v>144</v>
      </c>
      <c r="F258" s="1">
        <v>3</v>
      </c>
    </row>
    <row r="259" spans="1:6" x14ac:dyDescent="0.35">
      <c r="A259" s="1">
        <v>2033</v>
      </c>
      <c r="B259" s="1">
        <v>735.56232769973394</v>
      </c>
      <c r="C259" s="1">
        <v>828.16576815875521</v>
      </c>
      <c r="D259" s="1">
        <v>837.08838030507252</v>
      </c>
      <c r="E259" s="1" t="s">
        <v>144</v>
      </c>
      <c r="F259" s="1">
        <v>3</v>
      </c>
    </row>
    <row r="260" spans="1:6" x14ac:dyDescent="0.35">
      <c r="A260" s="1">
        <v>2034</v>
      </c>
      <c r="B260" s="1">
        <v>754.18317667868212</v>
      </c>
      <c r="C260" s="1">
        <v>849.13088439390026</v>
      </c>
      <c r="D260" s="1">
        <v>858.27937354209439</v>
      </c>
      <c r="E260" s="1" t="s">
        <v>144</v>
      </c>
      <c r="F260" s="1">
        <v>3</v>
      </c>
    </row>
    <row r="261" spans="1:6" x14ac:dyDescent="0.35">
      <c r="A261" s="1">
        <v>2035</v>
      </c>
      <c r="B261" s="1">
        <v>773.27541469379958</v>
      </c>
      <c r="C261" s="1">
        <v>870.62673507334671</v>
      </c>
      <c r="D261" s="1">
        <v>880.00681932694386</v>
      </c>
      <c r="E261" s="1" t="s">
        <v>144</v>
      </c>
      <c r="F261" s="1">
        <v>3</v>
      </c>
    </row>
    <row r="262" spans="1:6" x14ac:dyDescent="0.35">
      <c r="A262" s="1">
        <v>2036</v>
      </c>
      <c r="B262" s="1">
        <v>754.18317667868212</v>
      </c>
      <c r="C262" s="1">
        <v>849.13088439390026</v>
      </c>
      <c r="D262" s="1">
        <v>902.28429802052472</v>
      </c>
      <c r="E262" s="1" t="s">
        <v>144</v>
      </c>
      <c r="F262" s="1">
        <v>3</v>
      </c>
    </row>
    <row r="263" spans="1:6" x14ac:dyDescent="0.35">
      <c r="A263" s="1">
        <v>2037</v>
      </c>
      <c r="B263" s="1">
        <v>792.85097501535085</v>
      </c>
      <c r="C263" s="1">
        <v>892.66675580351853</v>
      </c>
      <c r="D263" s="1">
        <v>1134.883858075751</v>
      </c>
      <c r="E263" s="1" t="s">
        <v>144</v>
      </c>
      <c r="F263" s="1">
        <v>3</v>
      </c>
    </row>
    <row r="264" spans="1:6" x14ac:dyDescent="0.35">
      <c r="A264" s="1">
        <v>2038</v>
      </c>
      <c r="B264" s="1">
        <v>468.42292058724769</v>
      </c>
      <c r="C264" s="1">
        <v>696.08906976102526</v>
      </c>
      <c r="D264" s="1">
        <v>972.48131583472423</v>
      </c>
      <c r="E264" s="1" t="s">
        <v>144</v>
      </c>
      <c r="F264" s="1">
        <v>3</v>
      </c>
    </row>
    <row r="265" spans="1:6" x14ac:dyDescent="0.35">
      <c r="A265" s="1">
        <v>2039</v>
      </c>
      <c r="B265" s="1">
        <v>549.44937871913851</v>
      </c>
      <c r="C265" s="1">
        <v>731.77831954303974</v>
      </c>
      <c r="D265" s="1">
        <v>1022.341499102769</v>
      </c>
      <c r="E265" s="1" t="s">
        <v>144</v>
      </c>
      <c r="F265" s="1">
        <v>3</v>
      </c>
    </row>
    <row r="266" spans="1:6" x14ac:dyDescent="0.35">
      <c r="A266" s="1">
        <v>2040</v>
      </c>
      <c r="B266" s="1">
        <v>338.89921116141579</v>
      </c>
      <c r="C266" s="1">
        <v>638.40304418187964</v>
      </c>
      <c r="D266" s="1">
        <v>1002.097781086974</v>
      </c>
      <c r="E266" s="1" t="s">
        <v>144</v>
      </c>
      <c r="F266" s="1">
        <v>3</v>
      </c>
    </row>
    <row r="267" spans="1:6" x14ac:dyDescent="0.35">
      <c r="A267" s="1">
        <v>2041</v>
      </c>
      <c r="B267" s="1">
        <v>356.27494527863132</v>
      </c>
      <c r="C267" s="1">
        <v>671.13466818687596</v>
      </c>
      <c r="D267" s="1">
        <v>1124.7888485176311</v>
      </c>
      <c r="E267" s="1" t="s">
        <v>144</v>
      </c>
      <c r="F267" s="1">
        <v>3</v>
      </c>
    </row>
    <row r="268" spans="1:6" x14ac:dyDescent="0.35">
      <c r="A268" s="1">
        <v>2042</v>
      </c>
      <c r="B268" s="1">
        <v>242.16544025066119</v>
      </c>
      <c r="C268" s="1">
        <v>468.29201148534798</v>
      </c>
      <c r="D268" s="1">
        <v>864.67537299849937</v>
      </c>
      <c r="E268" s="1" t="s">
        <v>144</v>
      </c>
      <c r="F268" s="1">
        <v>3</v>
      </c>
    </row>
    <row r="269" spans="1:6" x14ac:dyDescent="0.35">
      <c r="A269" s="1">
        <v>2043</v>
      </c>
      <c r="B269" s="1">
        <v>236.1863542271748</v>
      </c>
      <c r="C269" s="1">
        <v>480.14688019672678</v>
      </c>
      <c r="D269" s="1">
        <v>857.16554867403374</v>
      </c>
      <c r="E269" s="1" t="s">
        <v>144</v>
      </c>
      <c r="F269" s="1">
        <v>3</v>
      </c>
    </row>
    <row r="270" spans="1:6" x14ac:dyDescent="0.35">
      <c r="A270" s="1">
        <v>2044</v>
      </c>
      <c r="B270" s="1">
        <v>242.16544025066119</v>
      </c>
      <c r="C270" s="1">
        <v>492.30185633833548</v>
      </c>
      <c r="D270" s="1">
        <v>878.86479784810513</v>
      </c>
      <c r="E270" s="1" t="s">
        <v>144</v>
      </c>
      <c r="F270" s="1">
        <v>3</v>
      </c>
    </row>
    <row r="271" spans="1:6" x14ac:dyDescent="0.35">
      <c r="A271" s="1">
        <v>2045</v>
      </c>
      <c r="B271" s="1">
        <v>248.29588755745809</v>
      </c>
      <c r="C271" s="1">
        <v>504.76453716594051</v>
      </c>
      <c r="D271" s="1">
        <v>901.11336613030767</v>
      </c>
      <c r="E271" s="1" t="s">
        <v>144</v>
      </c>
      <c r="F271" s="1">
        <v>3</v>
      </c>
    </row>
    <row r="272" spans="1:6" x14ac:dyDescent="0.35">
      <c r="A272" s="1">
        <v>2046</v>
      </c>
      <c r="B272" s="1">
        <v>254.58152787669519</v>
      </c>
      <c r="C272" s="1">
        <v>517.54271226075389</v>
      </c>
      <c r="D272" s="1">
        <v>923.92515960007017</v>
      </c>
      <c r="E272" s="1" t="s">
        <v>144</v>
      </c>
      <c r="F272" s="1">
        <v>3</v>
      </c>
    </row>
    <row r="273" spans="1:6" x14ac:dyDescent="0.35">
      <c r="A273" s="1">
        <v>2047</v>
      </c>
      <c r="B273" s="1">
        <v>261.02628993818689</v>
      </c>
      <c r="C273" s="1">
        <v>530.64436839817472</v>
      </c>
      <c r="D273" s="1">
        <v>947.31443637089808</v>
      </c>
      <c r="E273" s="1" t="s">
        <v>144</v>
      </c>
      <c r="F273" s="1">
        <v>3</v>
      </c>
    </row>
    <row r="274" spans="1:6" x14ac:dyDescent="0.35">
      <c r="A274" s="1">
        <v>2048</v>
      </c>
      <c r="B274" s="1">
        <v>261.1424592550444</v>
      </c>
      <c r="C274" s="1">
        <v>517.54271226075389</v>
      </c>
      <c r="D274" s="1">
        <v>925.61786853721685</v>
      </c>
      <c r="E274" s="1" t="s">
        <v>144</v>
      </c>
      <c r="F274" s="1">
        <v>3</v>
      </c>
    </row>
    <row r="275" spans="1:6" x14ac:dyDescent="0.35">
      <c r="A275" s="1">
        <v>2049</v>
      </c>
      <c r="B275" s="1">
        <v>267.7533120851316</v>
      </c>
      <c r="C275" s="1">
        <v>530.64436839817472</v>
      </c>
      <c r="D275" s="1">
        <v>949.04999643880149</v>
      </c>
      <c r="E275" s="1" t="s">
        <v>144</v>
      </c>
      <c r="F275" s="1">
        <v>3</v>
      </c>
    </row>
    <row r="276" spans="1:6" x14ac:dyDescent="0.35">
      <c r="A276" s="1">
        <v>2050</v>
      </c>
      <c r="B276" s="1">
        <v>274.53151945138171</v>
      </c>
      <c r="C276" s="1">
        <v>544.07769453978392</v>
      </c>
      <c r="D276" s="1">
        <v>973.07531148235853</v>
      </c>
      <c r="E276" s="1" t="s">
        <v>144</v>
      </c>
      <c r="F276" s="1">
        <v>3</v>
      </c>
    </row>
    <row r="277" spans="1:6" x14ac:dyDescent="0.35">
      <c r="A277" s="1">
        <v>2026</v>
      </c>
      <c r="B277" s="1">
        <v>720.48864590130813</v>
      </c>
      <c r="C277" s="1">
        <v>720.48864590130813</v>
      </c>
      <c r="D277" s="1">
        <v>1106.4587025209121</v>
      </c>
      <c r="E277" s="1" t="s">
        <v>145</v>
      </c>
      <c r="F277" s="1">
        <v>3</v>
      </c>
    </row>
    <row r="278" spans="1:6" x14ac:dyDescent="0.35">
      <c r="A278" s="1">
        <v>2027</v>
      </c>
      <c r="B278" s="1">
        <v>434.2016527474089</v>
      </c>
      <c r="C278" s="1">
        <v>589.51038132441158</v>
      </c>
      <c r="D278" s="1">
        <v>748.45242122387685</v>
      </c>
      <c r="E278" s="1" t="s">
        <v>145</v>
      </c>
      <c r="F278" s="1">
        <v>3</v>
      </c>
    </row>
    <row r="279" spans="1:6" x14ac:dyDescent="0.35">
      <c r="A279" s="1">
        <v>2028</v>
      </c>
      <c r="B279" s="1">
        <v>445.19351991861578</v>
      </c>
      <c r="C279" s="1">
        <v>604.43390767804112</v>
      </c>
      <c r="D279" s="1">
        <v>767.39958447395986</v>
      </c>
      <c r="E279" s="1" t="s">
        <v>145</v>
      </c>
      <c r="F279" s="1">
        <v>3</v>
      </c>
    </row>
    <row r="280" spans="1:6" x14ac:dyDescent="0.35">
      <c r="A280" s="1">
        <v>2029</v>
      </c>
      <c r="B280" s="1">
        <v>456.46364753205017</v>
      </c>
      <c r="C280" s="1">
        <v>619.73522489996219</v>
      </c>
      <c r="D280" s="1">
        <v>748.45242122387674</v>
      </c>
      <c r="E280" s="1" t="s">
        <v>145</v>
      </c>
      <c r="F280" s="1">
        <v>3</v>
      </c>
    </row>
    <row r="281" spans="1:6" x14ac:dyDescent="0.35">
      <c r="A281" s="1">
        <v>2030</v>
      </c>
      <c r="B281" s="1">
        <v>468.01907978434451</v>
      </c>
      <c r="C281" s="1">
        <v>635.42389681153873</v>
      </c>
      <c r="D281" s="1">
        <v>767.39958447395975</v>
      </c>
      <c r="E281" s="1" t="s">
        <v>145</v>
      </c>
      <c r="F281" s="1">
        <v>3</v>
      </c>
    </row>
    <row r="282" spans="1:6" x14ac:dyDescent="0.35">
      <c r="A282" s="1">
        <v>2031</v>
      </c>
      <c r="B282" s="1">
        <v>492.01493112978568</v>
      </c>
      <c r="C282" s="1">
        <v>668.00277666459192</v>
      </c>
      <c r="D282" s="1">
        <v>1020.0592801961</v>
      </c>
      <c r="E282" s="1" t="s">
        <v>145</v>
      </c>
      <c r="F282" s="1">
        <v>3</v>
      </c>
    </row>
    <row r="283" spans="1:6" x14ac:dyDescent="0.35">
      <c r="A283" s="1">
        <v>2032</v>
      </c>
      <c r="B283" s="1">
        <v>301.95927619532671</v>
      </c>
      <c r="C283" s="1">
        <v>492.41134868972341</v>
      </c>
      <c r="D283" s="1">
        <v>743.68680543347466</v>
      </c>
      <c r="E283" s="1" t="s">
        <v>145</v>
      </c>
      <c r="F283" s="1">
        <v>3</v>
      </c>
    </row>
    <row r="284" spans="1:6" x14ac:dyDescent="0.35">
      <c r="A284" s="1">
        <v>2033</v>
      </c>
      <c r="B284" s="1">
        <v>309.60341166568071</v>
      </c>
      <c r="C284" s="1">
        <v>504.87680132940028</v>
      </c>
      <c r="D284" s="1">
        <v>762.51332654545058</v>
      </c>
      <c r="E284" s="1" t="s">
        <v>145</v>
      </c>
      <c r="F284" s="1">
        <v>3</v>
      </c>
    </row>
    <row r="285" spans="1:6" x14ac:dyDescent="0.35">
      <c r="A285" s="1">
        <v>2034</v>
      </c>
      <c r="B285" s="1">
        <v>317.44105934677168</v>
      </c>
      <c r="C285" s="1">
        <v>517.65781840504212</v>
      </c>
      <c r="D285" s="1">
        <v>781.81644330843187</v>
      </c>
      <c r="E285" s="1" t="s">
        <v>145</v>
      </c>
      <c r="F285" s="1">
        <v>3</v>
      </c>
    </row>
    <row r="286" spans="1:6" x14ac:dyDescent="0.35">
      <c r="A286" s="1">
        <v>2035</v>
      </c>
      <c r="B286" s="1">
        <v>325.47711802353763</v>
      </c>
      <c r="C286" s="1">
        <v>504.87680132940022</v>
      </c>
      <c r="D286" s="1">
        <v>801.60822079876516</v>
      </c>
      <c r="E286" s="1" t="s">
        <v>145</v>
      </c>
      <c r="F286" s="1">
        <v>3</v>
      </c>
    </row>
    <row r="287" spans="1:6" x14ac:dyDescent="0.35">
      <c r="A287" s="1">
        <v>2036</v>
      </c>
      <c r="B287" s="1">
        <v>333.71661049424722</v>
      </c>
      <c r="C287" s="1">
        <v>517.65781840504212</v>
      </c>
      <c r="D287" s="1">
        <v>821.90102952165887</v>
      </c>
      <c r="E287" s="1" t="s">
        <v>145</v>
      </c>
      <c r="F287" s="1">
        <v>3</v>
      </c>
    </row>
    <row r="288" spans="1:6" x14ac:dyDescent="0.35">
      <c r="A288" s="1">
        <v>2037</v>
      </c>
      <c r="B288" s="1">
        <v>342.16468670991298</v>
      </c>
      <c r="C288" s="1">
        <v>530.76238846837862</v>
      </c>
      <c r="D288" s="1">
        <v>842.70755314315181</v>
      </c>
      <c r="E288" s="1" t="s">
        <v>145</v>
      </c>
      <c r="F288" s="1">
        <v>3</v>
      </c>
    </row>
    <row r="289" spans="1:6" x14ac:dyDescent="0.35">
      <c r="A289" s="1">
        <v>2038</v>
      </c>
      <c r="B289" s="1">
        <v>333.71661049424722</v>
      </c>
      <c r="C289" s="1">
        <v>544.19870230228935</v>
      </c>
      <c r="D289" s="1">
        <v>864.04079641781721</v>
      </c>
      <c r="E289" s="1" t="s">
        <v>145</v>
      </c>
      <c r="F289" s="1">
        <v>3</v>
      </c>
    </row>
    <row r="290" spans="1:6" x14ac:dyDescent="0.35">
      <c r="A290" s="1">
        <v>2039</v>
      </c>
      <c r="B290" s="1">
        <v>342.16468670991298</v>
      </c>
      <c r="C290" s="1">
        <v>557.97515804030957</v>
      </c>
      <c r="D290" s="1">
        <v>842.7075531431517</v>
      </c>
      <c r="E290" s="1" t="s">
        <v>145</v>
      </c>
      <c r="F290" s="1">
        <v>3</v>
      </c>
    </row>
    <row r="291" spans="1:6" x14ac:dyDescent="0.35">
      <c r="A291" s="1">
        <v>2040</v>
      </c>
      <c r="B291" s="1">
        <v>350.82662699317791</v>
      </c>
      <c r="C291" s="1">
        <v>572.1003664157372</v>
      </c>
      <c r="D291" s="1">
        <v>864.04079641781709</v>
      </c>
      <c r="E291" s="1" t="s">
        <v>145</v>
      </c>
      <c r="F291" s="1">
        <v>3</v>
      </c>
    </row>
    <row r="292" spans="1:6" x14ac:dyDescent="0.35">
      <c r="A292" s="1">
        <v>2041</v>
      </c>
      <c r="B292" s="1">
        <v>359.70784533868903</v>
      </c>
      <c r="C292" s="1">
        <v>586.58315614362152</v>
      </c>
      <c r="D292" s="1">
        <v>885.91409331715761</v>
      </c>
      <c r="E292" s="1" t="s">
        <v>145</v>
      </c>
      <c r="F292" s="1">
        <v>3</v>
      </c>
    </row>
    <row r="293" spans="1:6" x14ac:dyDescent="0.35">
      <c r="A293" s="1">
        <v>2042</v>
      </c>
      <c r="B293" s="1">
        <v>378.15046094426089</v>
      </c>
      <c r="C293" s="1">
        <v>649.98255695217154</v>
      </c>
      <c r="D293" s="1">
        <v>931.33588017649959</v>
      </c>
      <c r="E293" s="1" t="s">
        <v>145</v>
      </c>
      <c r="F293" s="1">
        <v>3</v>
      </c>
    </row>
    <row r="294" spans="1:6" x14ac:dyDescent="0.35">
      <c r="A294" s="1">
        <v>2043</v>
      </c>
      <c r="B294" s="1">
        <v>285.79448508649762</v>
      </c>
      <c r="C294" s="1">
        <v>451.00939004703952</v>
      </c>
      <c r="D294" s="1">
        <v>909.11590723624568</v>
      </c>
      <c r="E294" s="1" t="s">
        <v>145</v>
      </c>
      <c r="F294" s="1">
        <v>3</v>
      </c>
    </row>
    <row r="295" spans="1:6" x14ac:dyDescent="0.35">
      <c r="A295" s="1">
        <v>2044</v>
      </c>
      <c r="B295" s="1">
        <v>278.73819410789463</v>
      </c>
      <c r="C295" s="1">
        <v>462.42674711372939</v>
      </c>
      <c r="D295" s="1">
        <v>932.13028599860672</v>
      </c>
      <c r="E295" s="1" t="s">
        <v>145</v>
      </c>
      <c r="F295" s="1">
        <v>3</v>
      </c>
    </row>
    <row r="296" spans="1:6" x14ac:dyDescent="0.35">
      <c r="A296" s="1">
        <v>2045</v>
      </c>
      <c r="B296" s="1">
        <v>285.79448508649762</v>
      </c>
      <c r="C296" s="1">
        <v>468.23989002609102</v>
      </c>
      <c r="D296" s="1">
        <v>955.72727653313177</v>
      </c>
      <c r="E296" s="1" t="s">
        <v>145</v>
      </c>
      <c r="F296" s="1">
        <v>3</v>
      </c>
    </row>
    <row r="297" spans="1:6" x14ac:dyDescent="0.35">
      <c r="A297" s="1">
        <v>2046</v>
      </c>
      <c r="B297" s="1">
        <v>293.02940692167931</v>
      </c>
      <c r="C297" s="1">
        <v>480.09343927644682</v>
      </c>
      <c r="D297" s="1">
        <v>979.92162772705217</v>
      </c>
      <c r="E297" s="1" t="s">
        <v>145</v>
      </c>
      <c r="F297" s="1">
        <v>3</v>
      </c>
    </row>
    <row r="298" spans="1:6" x14ac:dyDescent="0.35">
      <c r="A298" s="1">
        <v>2047</v>
      </c>
      <c r="B298" s="1">
        <v>300.44748167510352</v>
      </c>
      <c r="C298" s="1">
        <v>492.24706255471762</v>
      </c>
      <c r="D298" s="1">
        <v>967.35585715614661</v>
      </c>
      <c r="E298" s="1" t="s">
        <v>145</v>
      </c>
      <c r="F298" s="1">
        <v>3</v>
      </c>
    </row>
    <row r="299" spans="1:6" x14ac:dyDescent="0.35">
      <c r="A299" s="1">
        <v>2048</v>
      </c>
      <c r="B299" s="1">
        <v>293.02940692167931</v>
      </c>
      <c r="C299" s="1">
        <v>504.70835627108642</v>
      </c>
      <c r="D299" s="1">
        <v>991.84458727006665</v>
      </c>
      <c r="E299" s="1" t="s">
        <v>145</v>
      </c>
      <c r="F299" s="1">
        <v>3</v>
      </c>
    </row>
    <row r="300" spans="1:6" x14ac:dyDescent="0.35">
      <c r="A300" s="1">
        <v>2049</v>
      </c>
      <c r="B300" s="1">
        <v>300.44748167510352</v>
      </c>
      <c r="C300" s="1">
        <v>517.48510913977532</v>
      </c>
      <c r="D300" s="1">
        <v>1016.9532525383109</v>
      </c>
      <c r="E300" s="1" t="s">
        <v>145</v>
      </c>
      <c r="F300" s="1">
        <v>3</v>
      </c>
    </row>
    <row r="301" spans="1:6" x14ac:dyDescent="0.35">
      <c r="A301" s="1">
        <v>2050</v>
      </c>
      <c r="B301" s="1">
        <v>293.02940692167931</v>
      </c>
      <c r="C301" s="1">
        <v>530.58530704724592</v>
      </c>
      <c r="D301" s="1">
        <v>991.84458727006665</v>
      </c>
      <c r="E301" s="1" t="s">
        <v>145</v>
      </c>
      <c r="F301" s="1">
        <v>3</v>
      </c>
    </row>
    <row r="302" spans="1:6" x14ac:dyDescent="0.35">
      <c r="A302" s="1">
        <v>2026</v>
      </c>
      <c r="B302" s="1">
        <v>668.4286482086178</v>
      </c>
      <c r="C302" s="1">
        <v>702.69971785141729</v>
      </c>
      <c r="D302" s="1">
        <v>702.69971785141729</v>
      </c>
      <c r="E302" s="1" t="s">
        <v>146</v>
      </c>
      <c r="F302" s="1">
        <v>3</v>
      </c>
    </row>
    <row r="303" spans="1:6" x14ac:dyDescent="0.35">
      <c r="A303" s="1">
        <v>2027</v>
      </c>
      <c r="B303" s="1">
        <v>685.35</v>
      </c>
      <c r="C303" s="1">
        <v>720.48864590130802</v>
      </c>
      <c r="D303" s="1">
        <v>720.48864590130802</v>
      </c>
      <c r="E303" s="1" t="s">
        <v>146</v>
      </c>
      <c r="F303" s="1">
        <v>3</v>
      </c>
    </row>
    <row r="304" spans="1:6" x14ac:dyDescent="0.35">
      <c r="A304" s="1">
        <v>2028</v>
      </c>
      <c r="B304" s="1">
        <v>702.69971785141729</v>
      </c>
      <c r="C304" s="1">
        <v>738.72790280878223</v>
      </c>
      <c r="D304" s="1">
        <v>738.72790280878223</v>
      </c>
      <c r="E304" s="1" t="s">
        <v>146</v>
      </c>
      <c r="F304" s="1">
        <v>3</v>
      </c>
    </row>
    <row r="305" spans="1:6" x14ac:dyDescent="0.35">
      <c r="A305" s="1">
        <v>2029</v>
      </c>
      <c r="B305" s="1">
        <v>720.48864590130802</v>
      </c>
      <c r="C305" s="1">
        <v>757.42888870314516</v>
      </c>
      <c r="D305" s="1">
        <v>757.42888870314516</v>
      </c>
      <c r="E305" s="1" t="s">
        <v>146</v>
      </c>
      <c r="F305" s="1">
        <v>3</v>
      </c>
    </row>
    <row r="306" spans="1:6" x14ac:dyDescent="0.35">
      <c r="A306" s="1">
        <v>2030</v>
      </c>
      <c r="B306" s="1">
        <v>702.69971785141718</v>
      </c>
      <c r="C306" s="1">
        <v>776.60329230934951</v>
      </c>
      <c r="D306" s="1">
        <v>776.60329230934951</v>
      </c>
      <c r="E306" s="1" t="s">
        <v>146</v>
      </c>
      <c r="F306" s="1">
        <v>3</v>
      </c>
    </row>
    <row r="307" spans="1:6" x14ac:dyDescent="0.35">
      <c r="A307" s="1">
        <v>2031</v>
      </c>
      <c r="B307" s="1">
        <v>720.4886459013079</v>
      </c>
      <c r="C307" s="1">
        <v>757.42888870314516</v>
      </c>
      <c r="D307" s="1">
        <v>796.26309825382896</v>
      </c>
      <c r="E307" s="1" t="s">
        <v>146</v>
      </c>
      <c r="F307" s="1">
        <v>3</v>
      </c>
    </row>
    <row r="308" spans="1:6" x14ac:dyDescent="0.35">
      <c r="A308" s="1">
        <v>2032</v>
      </c>
      <c r="B308" s="1">
        <v>702.69971785141706</v>
      </c>
      <c r="C308" s="1">
        <v>776.60329230934951</v>
      </c>
      <c r="D308" s="1">
        <v>816.42059455527976</v>
      </c>
      <c r="E308" s="1" t="s">
        <v>146</v>
      </c>
      <c r="F308" s="1">
        <v>3</v>
      </c>
    </row>
    <row r="309" spans="1:6" x14ac:dyDescent="0.35">
      <c r="A309" s="1">
        <v>2033</v>
      </c>
      <c r="B309" s="1">
        <v>720.48864590130779</v>
      </c>
      <c r="C309" s="1">
        <v>796.26309825382896</v>
      </c>
      <c r="D309" s="1">
        <v>837.08838030507252</v>
      </c>
      <c r="E309" s="1" t="s">
        <v>146</v>
      </c>
      <c r="F309" s="1">
        <v>3</v>
      </c>
    </row>
    <row r="310" spans="1:6" x14ac:dyDescent="0.35">
      <c r="A310" s="1">
        <v>2034</v>
      </c>
      <c r="B310" s="1">
        <v>757.42888870314482</v>
      </c>
      <c r="C310" s="1">
        <v>837.08838030507263</v>
      </c>
      <c r="D310" s="1">
        <v>880.00681932694386</v>
      </c>
      <c r="E310" s="1" t="s">
        <v>146</v>
      </c>
      <c r="F310" s="1">
        <v>3</v>
      </c>
    </row>
    <row r="311" spans="1:6" x14ac:dyDescent="0.35">
      <c r="A311" s="1">
        <v>2035</v>
      </c>
      <c r="B311" s="1">
        <v>469.32474915114437</v>
      </c>
      <c r="C311" s="1">
        <v>654.41455975172505</v>
      </c>
      <c r="D311" s="1">
        <v>846.66591301340895</v>
      </c>
      <c r="E311" s="1" t="s">
        <v>146</v>
      </c>
      <c r="F311" s="1">
        <v>3</v>
      </c>
    </row>
    <row r="312" spans="1:6" x14ac:dyDescent="0.35">
      <c r="A312" s="1">
        <v>2036</v>
      </c>
      <c r="B312" s="1">
        <v>481.20576174100302</v>
      </c>
      <c r="C312" s="1">
        <v>670.98114320478101</v>
      </c>
      <c r="D312" s="1">
        <v>868.09936264526903</v>
      </c>
      <c r="E312" s="1" t="s">
        <v>146</v>
      </c>
      <c r="F312" s="1">
        <v>3</v>
      </c>
    </row>
    <row r="313" spans="1:6" x14ac:dyDescent="0.35">
      <c r="A313" s="1">
        <v>2037</v>
      </c>
      <c r="B313" s="1">
        <v>493.38754359652609</v>
      </c>
      <c r="C313" s="1">
        <v>687.96711171462914</v>
      </c>
      <c r="D313" s="1">
        <v>890.07540263781391</v>
      </c>
      <c r="E313" s="1" t="s">
        <v>146</v>
      </c>
      <c r="F313" s="1">
        <v>3</v>
      </c>
    </row>
    <row r="314" spans="1:6" x14ac:dyDescent="0.35">
      <c r="A314" s="1">
        <v>2038</v>
      </c>
      <c r="B314" s="1">
        <v>505.87770872792402</v>
      </c>
      <c r="C314" s="1">
        <v>670.98114320478101</v>
      </c>
      <c r="D314" s="1">
        <v>912.6077687314197</v>
      </c>
      <c r="E314" s="1" t="s">
        <v>146</v>
      </c>
      <c r="F314" s="1">
        <v>3</v>
      </c>
    </row>
    <row r="315" spans="1:6" x14ac:dyDescent="0.35">
      <c r="A315" s="1">
        <v>2039</v>
      </c>
      <c r="B315" s="1">
        <v>518.6840638949933</v>
      </c>
      <c r="C315" s="1">
        <v>687.96711171462914</v>
      </c>
      <c r="D315" s="1">
        <v>935.71054438838564</v>
      </c>
      <c r="E315" s="1" t="s">
        <v>146</v>
      </c>
      <c r="F315" s="1">
        <v>3</v>
      </c>
    </row>
    <row r="316" spans="1:6" x14ac:dyDescent="0.35">
      <c r="A316" s="1">
        <v>2040</v>
      </c>
      <c r="B316" s="1">
        <v>531.81461348659559</v>
      </c>
      <c r="C316" s="1">
        <v>705.38308206452814</v>
      </c>
      <c r="D316" s="1">
        <v>959.39816959555651</v>
      </c>
      <c r="E316" s="1" t="s">
        <v>146</v>
      </c>
      <c r="F316" s="1">
        <v>3</v>
      </c>
    </row>
    <row r="317" spans="1:6" x14ac:dyDescent="0.35">
      <c r="A317" s="1">
        <v>2041</v>
      </c>
      <c r="B317" s="1">
        <v>545.27756452366134</v>
      </c>
      <c r="C317" s="1">
        <v>723.23993980288481</v>
      </c>
      <c r="D317" s="1">
        <v>983.68544988978442</v>
      </c>
      <c r="E317" s="1" t="s">
        <v>146</v>
      </c>
      <c r="F317" s="1">
        <v>3</v>
      </c>
    </row>
    <row r="318" spans="1:6" x14ac:dyDescent="0.35">
      <c r="A318" s="1">
        <v>2042</v>
      </c>
      <c r="B318" s="1">
        <v>559.08133178884486</v>
      </c>
      <c r="C318" s="1">
        <v>741.54884604707547</v>
      </c>
      <c r="D318" s="1">
        <v>1008.587565611871</v>
      </c>
      <c r="E318" s="1" t="s">
        <v>146</v>
      </c>
      <c r="F318" s="1">
        <v>3</v>
      </c>
    </row>
    <row r="319" spans="1:6" x14ac:dyDescent="0.35">
      <c r="A319" s="1">
        <v>2043</v>
      </c>
      <c r="B319" s="1">
        <v>573.23454308603766</v>
      </c>
      <c r="C319" s="1">
        <v>760.32124445950831</v>
      </c>
      <c r="D319" s="1">
        <v>1034.120081394776</v>
      </c>
      <c r="E319" s="1" t="s">
        <v>146</v>
      </c>
      <c r="F319" s="1">
        <v>3</v>
      </c>
    </row>
    <row r="320" spans="1:6" x14ac:dyDescent="0.35">
      <c r="A320" s="1">
        <v>2044</v>
      </c>
      <c r="B320" s="1">
        <v>559.08133178884486</v>
      </c>
      <c r="C320" s="1">
        <v>779.56886840028449</v>
      </c>
      <c r="D320" s="1">
        <v>1060.2989558920169</v>
      </c>
      <c r="E320" s="1" t="s">
        <v>146</v>
      </c>
      <c r="F320" s="1">
        <v>3</v>
      </c>
    </row>
    <row r="321" spans="1:6" x14ac:dyDescent="0.35">
      <c r="A321" s="1">
        <v>2045</v>
      </c>
      <c r="B321" s="1">
        <v>573.23454308603766</v>
      </c>
      <c r="C321" s="1">
        <v>799.30374826093032</v>
      </c>
      <c r="D321" s="1">
        <v>1087.1405517523499</v>
      </c>
      <c r="E321" s="1" t="s">
        <v>146</v>
      </c>
      <c r="F321" s="1">
        <v>3</v>
      </c>
    </row>
    <row r="322" spans="1:6" x14ac:dyDescent="0.35">
      <c r="A322" s="1">
        <v>2046</v>
      </c>
      <c r="B322" s="1">
        <v>587.7460446330266</v>
      </c>
      <c r="C322" s="1">
        <v>819.53821898378351</v>
      </c>
      <c r="D322" s="1">
        <v>1114.661645846955</v>
      </c>
      <c r="E322" s="1" t="s">
        <v>146</v>
      </c>
      <c r="F322" s="1">
        <v>3</v>
      </c>
    </row>
    <row r="323" spans="1:6" x14ac:dyDescent="0.35">
      <c r="A323" s="1">
        <v>2047</v>
      </c>
      <c r="B323" s="1">
        <v>573.23454308603766</v>
      </c>
      <c r="C323" s="1">
        <v>840.28492777173381</v>
      </c>
      <c r="D323" s="1">
        <v>1142.879439755528</v>
      </c>
      <c r="E323" s="1" t="s">
        <v>146</v>
      </c>
      <c r="F323" s="1">
        <v>3</v>
      </c>
    </row>
    <row r="324" spans="1:6" x14ac:dyDescent="0.35">
      <c r="A324" s="1">
        <v>2048</v>
      </c>
      <c r="B324" s="1">
        <v>602.62490659066805</v>
      </c>
      <c r="C324" s="1">
        <v>905.11232944408368</v>
      </c>
      <c r="D324" s="1">
        <v>1443.812556288379</v>
      </c>
      <c r="E324" s="1" t="s">
        <v>146</v>
      </c>
      <c r="F324" s="1">
        <v>3</v>
      </c>
    </row>
    <row r="325" spans="1:6" x14ac:dyDescent="0.35">
      <c r="A325" s="1">
        <v>2049</v>
      </c>
      <c r="B325" s="1">
        <v>437.64378216501967</v>
      </c>
      <c r="C325" s="1">
        <v>667.82938080902352</v>
      </c>
      <c r="D325" s="1">
        <v>1075.679676858377</v>
      </c>
      <c r="E325" s="1" t="s">
        <v>146</v>
      </c>
      <c r="F325" s="1">
        <v>3</v>
      </c>
    </row>
    <row r="326" spans="1:6" x14ac:dyDescent="0.35">
      <c r="A326" s="1">
        <v>2050</v>
      </c>
      <c r="B326" s="1">
        <v>460.08225869877009</v>
      </c>
      <c r="C326" s="1">
        <v>751.2707232007682</v>
      </c>
      <c r="D326" s="1">
        <v>1289.389375838442</v>
      </c>
      <c r="E326" s="1" t="s">
        <v>146</v>
      </c>
      <c r="F326" s="1">
        <v>3</v>
      </c>
    </row>
    <row r="327" spans="1:6" x14ac:dyDescent="0.35">
      <c r="A327" s="1">
        <v>2026</v>
      </c>
      <c r="B327" s="1">
        <v>668.4286482086178</v>
      </c>
      <c r="C327" s="1">
        <v>702.69971785141729</v>
      </c>
      <c r="D327" s="1">
        <v>702.69971785141729</v>
      </c>
      <c r="E327" s="1" t="s">
        <v>147</v>
      </c>
      <c r="F327" s="1">
        <v>3</v>
      </c>
    </row>
    <row r="328" spans="1:6" x14ac:dyDescent="0.35">
      <c r="A328" s="1">
        <v>2027</v>
      </c>
      <c r="B328" s="1">
        <v>685.35</v>
      </c>
      <c r="C328" s="1">
        <v>720.48864590130802</v>
      </c>
      <c r="D328" s="1">
        <v>685.34999999999991</v>
      </c>
      <c r="E328" s="1" t="s">
        <v>147</v>
      </c>
      <c r="F328" s="1">
        <v>3</v>
      </c>
    </row>
    <row r="329" spans="1:6" x14ac:dyDescent="0.35">
      <c r="A329" s="1">
        <v>2028</v>
      </c>
      <c r="B329" s="1">
        <v>702.69971785141729</v>
      </c>
      <c r="C329" s="1">
        <v>736.72066723763919</v>
      </c>
      <c r="D329" s="1">
        <v>702.69971785141718</v>
      </c>
      <c r="E329" s="1" t="s">
        <v>147</v>
      </c>
      <c r="F329" s="1">
        <v>3</v>
      </c>
    </row>
    <row r="330" spans="1:6" x14ac:dyDescent="0.35">
      <c r="A330" s="1">
        <v>2029</v>
      </c>
      <c r="B330" s="1">
        <v>738.72790280878223</v>
      </c>
      <c r="C330" s="1">
        <v>774.49314356978903</v>
      </c>
      <c r="D330" s="1">
        <v>916.99279612908924</v>
      </c>
      <c r="E330" s="1" t="s">
        <v>147</v>
      </c>
      <c r="F330" s="1">
        <v>3</v>
      </c>
    </row>
    <row r="331" spans="1:6" x14ac:dyDescent="0.35">
      <c r="A331" s="1">
        <v>2030</v>
      </c>
      <c r="B331" s="1">
        <v>402.92915931890508</v>
      </c>
      <c r="C331" s="1">
        <v>615.38635321558604</v>
      </c>
      <c r="D331" s="1">
        <v>768.89910469914173</v>
      </c>
      <c r="E331" s="1" t="s">
        <v>147</v>
      </c>
      <c r="F331" s="1">
        <v>3</v>
      </c>
    </row>
    <row r="332" spans="1:6" x14ac:dyDescent="0.35">
      <c r="A332" s="1">
        <v>2031</v>
      </c>
      <c r="B332" s="1">
        <v>413.12935954987</v>
      </c>
      <c r="C332" s="1">
        <v>630.96493291632737</v>
      </c>
      <c r="D332" s="1">
        <v>788.363878205726</v>
      </c>
      <c r="E332" s="1" t="s">
        <v>147</v>
      </c>
      <c r="F332" s="1">
        <v>3</v>
      </c>
    </row>
    <row r="333" spans="1:6" x14ac:dyDescent="0.35">
      <c r="A333" s="1">
        <v>2032</v>
      </c>
      <c r="B333" s="1">
        <v>423.58777907905511</v>
      </c>
      <c r="C333" s="1">
        <v>615.38635321558604</v>
      </c>
      <c r="D333" s="1">
        <v>808.32140479961015</v>
      </c>
      <c r="E333" s="1" t="s">
        <v>147</v>
      </c>
      <c r="F333" s="1">
        <v>3</v>
      </c>
    </row>
    <row r="334" spans="1:6" x14ac:dyDescent="0.35">
      <c r="A334" s="1">
        <v>2033</v>
      </c>
      <c r="B334" s="1">
        <v>434.3109547591165</v>
      </c>
      <c r="C334" s="1">
        <v>630.96493291632737</v>
      </c>
      <c r="D334" s="1">
        <v>828.78415858458789</v>
      </c>
      <c r="E334" s="1" t="s">
        <v>147</v>
      </c>
      <c r="F334" s="1">
        <v>3</v>
      </c>
    </row>
    <row r="335" spans="1:6" x14ac:dyDescent="0.35">
      <c r="A335" s="1">
        <v>2034</v>
      </c>
      <c r="B335" s="1">
        <v>445.30558892392332</v>
      </c>
      <c r="C335" s="1">
        <v>646.93788623979242</v>
      </c>
      <c r="D335" s="1">
        <v>849.76492944789413</v>
      </c>
      <c r="E335" s="1" t="s">
        <v>147</v>
      </c>
      <c r="F335" s="1">
        <v>3</v>
      </c>
    </row>
    <row r="336" spans="1:6" x14ac:dyDescent="0.35">
      <c r="A336" s="1">
        <v>2035</v>
      </c>
      <c r="B336" s="1">
        <v>456.57855357773423</v>
      </c>
      <c r="C336" s="1">
        <v>663.315196801772</v>
      </c>
      <c r="D336" s="1">
        <v>871.27683105430037</v>
      </c>
      <c r="E336" s="1" t="s">
        <v>147</v>
      </c>
      <c r="F336" s="1">
        <v>3</v>
      </c>
    </row>
    <row r="337" spans="1:6" x14ac:dyDescent="0.35">
      <c r="A337" s="1">
        <v>2036</v>
      </c>
      <c r="B337" s="1">
        <v>468.13689469042401</v>
      </c>
      <c r="C337" s="1">
        <v>680.10710095449406</v>
      </c>
      <c r="D337" s="1">
        <v>849.76492944789413</v>
      </c>
      <c r="E337" s="1" t="s">
        <v>147</v>
      </c>
      <c r="F337" s="1">
        <v>3</v>
      </c>
    </row>
    <row r="338" spans="1:6" x14ac:dyDescent="0.35">
      <c r="A338" s="1">
        <v>2037</v>
      </c>
      <c r="B338" s="1">
        <v>479.98783660144392</v>
      </c>
      <c r="C338" s="1">
        <v>663.31519680177189</v>
      </c>
      <c r="D338" s="1">
        <v>871.27683105430037</v>
      </c>
      <c r="E338" s="1" t="s">
        <v>147</v>
      </c>
      <c r="F338" s="1">
        <v>3</v>
      </c>
    </row>
    <row r="339" spans="1:6" x14ac:dyDescent="0.35">
      <c r="A339" s="1">
        <v>2038</v>
      </c>
      <c r="B339" s="1">
        <v>492.13878653526928</v>
      </c>
      <c r="C339" s="1">
        <v>680.10710095449394</v>
      </c>
      <c r="D339" s="1">
        <v>893.33330904258241</v>
      </c>
      <c r="E339" s="1" t="s">
        <v>147</v>
      </c>
      <c r="F339" s="1">
        <v>3</v>
      </c>
    </row>
    <row r="340" spans="1:6" x14ac:dyDescent="0.35">
      <c r="A340" s="1">
        <v>2039</v>
      </c>
      <c r="B340" s="1">
        <v>504.59733923115579</v>
      </c>
      <c r="C340" s="1">
        <v>697.32409418467682</v>
      </c>
      <c r="D340" s="1">
        <v>915.94814942948221</v>
      </c>
      <c r="E340" s="1" t="s">
        <v>147</v>
      </c>
      <c r="F340" s="1">
        <v>3</v>
      </c>
    </row>
    <row r="341" spans="1:6" x14ac:dyDescent="0.35">
      <c r="A341" s="1">
        <v>2040</v>
      </c>
      <c r="B341" s="1">
        <v>517.37128169009861</v>
      </c>
      <c r="C341" s="1">
        <v>714.97693767355008</v>
      </c>
      <c r="D341" s="1">
        <v>939.13548722641713</v>
      </c>
      <c r="E341" s="1" t="s">
        <v>147</v>
      </c>
      <c r="F341" s="1">
        <v>3</v>
      </c>
    </row>
    <row r="342" spans="1:6" x14ac:dyDescent="0.35">
      <c r="A342" s="1">
        <v>2041</v>
      </c>
      <c r="B342" s="1">
        <v>530.46859804196174</v>
      </c>
      <c r="C342" s="1">
        <v>733.07666502294308</v>
      </c>
      <c r="D342" s="1">
        <v>962.90981527432211</v>
      </c>
      <c r="E342" s="1" t="s">
        <v>147</v>
      </c>
      <c r="F342" s="1">
        <v>3</v>
      </c>
    </row>
    <row r="343" spans="1:6" x14ac:dyDescent="0.35">
      <c r="A343" s="1">
        <v>2042</v>
      </c>
      <c r="B343" s="1">
        <v>543.89747453581879</v>
      </c>
      <c r="C343" s="1">
        <v>751.63458915164529</v>
      </c>
      <c r="D343" s="1">
        <v>987.28599330214706</v>
      </c>
      <c r="E343" s="1" t="s">
        <v>147</v>
      </c>
      <c r="F343" s="1">
        <v>3</v>
      </c>
    </row>
    <row r="344" spans="1:6" x14ac:dyDescent="0.35">
      <c r="A344" s="1">
        <v>2043</v>
      </c>
      <c r="B344" s="1">
        <v>530.46859804196174</v>
      </c>
      <c r="C344" s="1">
        <v>770.66230936634872</v>
      </c>
      <c r="D344" s="1">
        <v>1012.279257214671</v>
      </c>
      <c r="E344" s="1" t="s">
        <v>147</v>
      </c>
      <c r="F344" s="1">
        <v>3</v>
      </c>
    </row>
    <row r="345" spans="1:6" x14ac:dyDescent="0.35">
      <c r="A345" s="1">
        <v>2044</v>
      </c>
      <c r="B345" s="1">
        <v>557.66630465662558</v>
      </c>
      <c r="C345" s="1">
        <v>810.17501090324015</v>
      </c>
      <c r="D345" s="1">
        <v>1064.179924570775</v>
      </c>
      <c r="E345" s="1" t="s">
        <v>147</v>
      </c>
      <c r="F345" s="1">
        <v>3</v>
      </c>
    </row>
    <row r="346" spans="1:6" x14ac:dyDescent="0.35">
      <c r="A346" s="1">
        <v>2045</v>
      </c>
      <c r="B346" s="1">
        <v>374.86257541602907</v>
      </c>
      <c r="C346" s="1">
        <v>598.20367045201431</v>
      </c>
      <c r="D346" s="1">
        <v>963.67379094876458</v>
      </c>
      <c r="E346" s="1" t="s">
        <v>147</v>
      </c>
      <c r="F346" s="1">
        <v>3</v>
      </c>
    </row>
    <row r="347" spans="1:6" x14ac:dyDescent="0.35">
      <c r="A347" s="1">
        <v>2046</v>
      </c>
      <c r="B347" s="1">
        <v>384.3522666927837</v>
      </c>
      <c r="C347" s="1">
        <v>613.34726846766273</v>
      </c>
      <c r="D347" s="1">
        <v>988.06930911286577</v>
      </c>
      <c r="E347" s="1" t="s">
        <v>147</v>
      </c>
      <c r="F347" s="1">
        <v>3</v>
      </c>
    </row>
    <row r="348" spans="1:6" x14ac:dyDescent="0.35">
      <c r="A348" s="1">
        <v>2047</v>
      </c>
      <c r="B348" s="1">
        <v>394.08219064794889</v>
      </c>
      <c r="C348" s="1">
        <v>628.87422849225084</v>
      </c>
      <c r="D348" s="1">
        <v>1013.082402759547</v>
      </c>
      <c r="E348" s="1" t="s">
        <v>147</v>
      </c>
      <c r="F348" s="1">
        <v>3</v>
      </c>
    </row>
    <row r="349" spans="1:6" x14ac:dyDescent="0.35">
      <c r="A349" s="1">
        <v>2048</v>
      </c>
      <c r="B349" s="1">
        <v>404.05842880073271</v>
      </c>
      <c r="C349" s="1">
        <v>644.7942553812394</v>
      </c>
      <c r="D349" s="1">
        <v>1038.7287058865829</v>
      </c>
      <c r="E349" s="1" t="s">
        <v>147</v>
      </c>
      <c r="F349" s="1">
        <v>3</v>
      </c>
    </row>
    <row r="350" spans="1:6" x14ac:dyDescent="0.35">
      <c r="A350" s="1">
        <v>2049</v>
      </c>
      <c r="B350" s="1">
        <v>424.77494744531998</v>
      </c>
      <c r="C350" s="1">
        <v>677.85356379159759</v>
      </c>
      <c r="D350" s="1">
        <v>1301.713834497773</v>
      </c>
      <c r="E350" s="1" t="s">
        <v>147</v>
      </c>
      <c r="F350" s="1">
        <v>3</v>
      </c>
    </row>
    <row r="351" spans="1:6" x14ac:dyDescent="0.35">
      <c r="A351" s="1">
        <v>2050</v>
      </c>
      <c r="B351" s="1">
        <v>308.11024625763241</v>
      </c>
      <c r="C351" s="1">
        <v>523.97178317563328</v>
      </c>
      <c r="D351" s="1">
        <v>911.22101420454624</v>
      </c>
      <c r="E351" s="1" t="s">
        <v>147</v>
      </c>
      <c r="F351" s="1">
        <v>3</v>
      </c>
    </row>
    <row r="352" spans="1:6" x14ac:dyDescent="0.35">
      <c r="A352" s="1">
        <v>2026</v>
      </c>
      <c r="B352" s="1">
        <v>668.4286482086178</v>
      </c>
      <c r="C352" s="1">
        <v>702.69971785141729</v>
      </c>
      <c r="D352" s="1">
        <v>702.69971785141729</v>
      </c>
      <c r="E352" s="1" t="s">
        <v>148</v>
      </c>
      <c r="F352" s="1">
        <v>3</v>
      </c>
    </row>
    <row r="353" spans="1:6" x14ac:dyDescent="0.35">
      <c r="A353" s="1">
        <v>2027</v>
      </c>
      <c r="B353" s="1">
        <v>702.6997178514174</v>
      </c>
      <c r="C353" s="1">
        <v>763.63842507574702</v>
      </c>
      <c r="D353" s="1">
        <v>941.81639808053706</v>
      </c>
      <c r="E353" s="1" t="s">
        <v>148</v>
      </c>
      <c r="F353" s="1">
        <v>3</v>
      </c>
    </row>
    <row r="354" spans="1:6" x14ac:dyDescent="0.35">
      <c r="A354" s="1">
        <v>2028</v>
      </c>
      <c r="B354" s="1">
        <v>437.6774519015309</v>
      </c>
      <c r="C354" s="1">
        <v>551.90438148623082</v>
      </c>
      <c r="D354" s="1">
        <v>750.58137916303883</v>
      </c>
      <c r="E354" s="1" t="s">
        <v>148</v>
      </c>
      <c r="F354" s="1">
        <v>3</v>
      </c>
    </row>
    <row r="355" spans="1:6" x14ac:dyDescent="0.35">
      <c r="A355" s="1">
        <v>2029</v>
      </c>
      <c r="B355" s="1">
        <v>448.75730934724311</v>
      </c>
      <c r="C355" s="1">
        <v>565.87590742151508</v>
      </c>
      <c r="D355" s="1">
        <v>769.58243723994315</v>
      </c>
      <c r="E355" s="1" t="s">
        <v>148</v>
      </c>
      <c r="F355" s="1">
        <v>3</v>
      </c>
    </row>
    <row r="356" spans="1:6" x14ac:dyDescent="0.35">
      <c r="A356" s="1">
        <v>2030</v>
      </c>
      <c r="B356" s="1">
        <v>460.11765471958688</v>
      </c>
      <c r="C356" s="1">
        <v>580.20112421976125</v>
      </c>
      <c r="D356" s="1">
        <v>789.06450939215597</v>
      </c>
      <c r="E356" s="1" t="s">
        <v>148</v>
      </c>
      <c r="F356" s="1">
        <v>3</v>
      </c>
    </row>
    <row r="357" spans="1:6" x14ac:dyDescent="0.35">
      <c r="A357" s="1">
        <v>2031</v>
      </c>
      <c r="B357" s="1">
        <v>448.75730934724311</v>
      </c>
      <c r="C357" s="1">
        <v>594.88898560779364</v>
      </c>
      <c r="D357" s="1">
        <v>809.03977254896768</v>
      </c>
      <c r="E357" s="1" t="s">
        <v>148</v>
      </c>
      <c r="F357" s="1">
        <v>3</v>
      </c>
    </row>
    <row r="358" spans="1:6" x14ac:dyDescent="0.35">
      <c r="A358" s="1">
        <v>2032</v>
      </c>
      <c r="B358" s="1">
        <v>460.11765471958688</v>
      </c>
      <c r="C358" s="1">
        <v>609.94867197711017</v>
      </c>
      <c r="D358" s="1">
        <v>829.52071190010133</v>
      </c>
      <c r="E358" s="1" t="s">
        <v>148</v>
      </c>
      <c r="F358" s="1">
        <v>3</v>
      </c>
    </row>
    <row r="359" spans="1:6" x14ac:dyDescent="0.35">
      <c r="A359" s="1">
        <v>2033</v>
      </c>
      <c r="B359" s="1">
        <v>471.7655886042308</v>
      </c>
      <c r="C359" s="1">
        <v>625.38959612192605</v>
      </c>
      <c r="D359" s="1">
        <v>809.03977254896768</v>
      </c>
      <c r="E359" s="1" t="s">
        <v>148</v>
      </c>
      <c r="F359" s="1">
        <v>3</v>
      </c>
    </row>
    <row r="360" spans="1:6" x14ac:dyDescent="0.35">
      <c r="A360" s="1">
        <v>2034</v>
      </c>
      <c r="B360" s="1">
        <v>483.70839133902501</v>
      </c>
      <c r="C360" s="1">
        <v>641.22140912247653</v>
      </c>
      <c r="D360" s="1">
        <v>829.52071190010133</v>
      </c>
      <c r="E360" s="1" t="s">
        <v>148</v>
      </c>
      <c r="F360" s="1">
        <v>3</v>
      </c>
    </row>
    <row r="361" spans="1:6" x14ac:dyDescent="0.35">
      <c r="A361" s="1">
        <v>2035</v>
      </c>
      <c r="B361" s="1">
        <v>508.50865088925968</v>
      </c>
      <c r="C361" s="1">
        <v>747.16791544775356</v>
      </c>
      <c r="D361" s="1">
        <v>1112.415880626219</v>
      </c>
      <c r="E361" s="1" t="s">
        <v>148</v>
      </c>
      <c r="F361" s="1">
        <v>3</v>
      </c>
    </row>
    <row r="362" spans="1:6" x14ac:dyDescent="0.35">
      <c r="A362" s="1">
        <v>2036</v>
      </c>
      <c r="B362" s="1">
        <v>352.96931480659038</v>
      </c>
      <c r="C362" s="1">
        <v>553.73097842494201</v>
      </c>
      <c r="D362" s="1">
        <v>763.68204802952266</v>
      </c>
      <c r="E362" s="1" t="s">
        <v>148</v>
      </c>
      <c r="F362" s="1">
        <v>3</v>
      </c>
    </row>
    <row r="363" spans="1:6" x14ac:dyDescent="0.35">
      <c r="A363" s="1">
        <v>2037</v>
      </c>
      <c r="B363" s="1">
        <v>361.90477555234429</v>
      </c>
      <c r="C363" s="1">
        <v>540.05931185499276</v>
      </c>
      <c r="D363" s="1">
        <v>783.01475111773266</v>
      </c>
      <c r="E363" s="1" t="s">
        <v>148</v>
      </c>
      <c r="F363" s="1">
        <v>3</v>
      </c>
    </row>
    <row r="364" spans="1:6" x14ac:dyDescent="0.35">
      <c r="A364" s="1">
        <v>2038</v>
      </c>
      <c r="B364" s="1">
        <v>380.460030178632</v>
      </c>
      <c r="C364" s="1">
        <v>567.74874488187936</v>
      </c>
      <c r="D364" s="1">
        <v>823.16077588613848</v>
      </c>
      <c r="E364" s="1" t="s">
        <v>148</v>
      </c>
      <c r="F364" s="1">
        <v>3</v>
      </c>
    </row>
    <row r="365" spans="1:6" x14ac:dyDescent="0.35">
      <c r="A365" s="1">
        <v>2039</v>
      </c>
      <c r="B365" s="1">
        <v>238.4619144104164</v>
      </c>
      <c r="C365" s="1">
        <v>441.16905510097541</v>
      </c>
      <c r="D365" s="1">
        <v>713.75903399830577</v>
      </c>
      <c r="E365" s="1" t="s">
        <v>148</v>
      </c>
      <c r="F365" s="1">
        <v>3</v>
      </c>
    </row>
    <row r="366" spans="1:6" x14ac:dyDescent="0.35">
      <c r="A366" s="1">
        <v>2040</v>
      </c>
      <c r="B366" s="1">
        <v>244.49860651420209</v>
      </c>
      <c r="C366" s="1">
        <v>452.33730290250497</v>
      </c>
      <c r="D366" s="1">
        <v>731.8279299693728</v>
      </c>
      <c r="E366" s="1" t="s">
        <v>148</v>
      </c>
      <c r="F366" s="1">
        <v>3</v>
      </c>
    </row>
    <row r="367" spans="1:6" x14ac:dyDescent="0.35">
      <c r="A367" s="1">
        <v>2041</v>
      </c>
      <c r="B367" s="1">
        <v>250.68811820616401</v>
      </c>
      <c r="C367" s="1">
        <v>463.78827624317699</v>
      </c>
      <c r="D367" s="1">
        <v>750.35424221969072</v>
      </c>
      <c r="E367" s="1" t="s">
        <v>148</v>
      </c>
      <c r="F367" s="1">
        <v>3</v>
      </c>
    </row>
    <row r="368" spans="1:6" x14ac:dyDescent="0.35">
      <c r="A368" s="1">
        <v>2042</v>
      </c>
      <c r="B368" s="1">
        <v>257.03431813259527</v>
      </c>
      <c r="C368" s="1">
        <v>475.52913235409011</v>
      </c>
      <c r="D368" s="1">
        <v>769.34955029749869</v>
      </c>
      <c r="E368" s="1" t="s">
        <v>148</v>
      </c>
      <c r="F368" s="1">
        <v>3</v>
      </c>
    </row>
    <row r="369" spans="1:6" x14ac:dyDescent="0.35">
      <c r="A369" s="1">
        <v>2043</v>
      </c>
      <c r="B369" s="1">
        <v>263.54117287503641</v>
      </c>
      <c r="C369" s="1">
        <v>487.567209652511</v>
      </c>
      <c r="D369" s="1">
        <v>788.82572688869504</v>
      </c>
      <c r="E369" s="1" t="s">
        <v>148</v>
      </c>
      <c r="F369" s="1">
        <v>3</v>
      </c>
    </row>
    <row r="370" spans="1:6" x14ac:dyDescent="0.35">
      <c r="A370" s="1">
        <v>2044</v>
      </c>
      <c r="B370" s="1">
        <v>270.21274942951732</v>
      </c>
      <c r="C370" s="1">
        <v>499.9100323286238</v>
      </c>
      <c r="D370" s="1">
        <v>808.79494523765254</v>
      </c>
      <c r="E370" s="1" t="s">
        <v>148</v>
      </c>
      <c r="F370" s="1">
        <v>3</v>
      </c>
    </row>
    <row r="371" spans="1:6" x14ac:dyDescent="0.35">
      <c r="A371" s="1">
        <v>2045</v>
      </c>
      <c r="B371" s="1">
        <v>277.05321774856282</v>
      </c>
      <c r="C371" s="1">
        <v>512.56531504839404</v>
      </c>
      <c r="D371" s="1">
        <v>829.26968675589251</v>
      </c>
      <c r="E371" s="1" t="s">
        <v>148</v>
      </c>
      <c r="F371" s="1">
        <v>3</v>
      </c>
    </row>
    <row r="372" spans="1:6" x14ac:dyDescent="0.35">
      <c r="A372" s="1">
        <v>2046</v>
      </c>
      <c r="B372" s="1">
        <v>270.2127494295172</v>
      </c>
      <c r="C372" s="1">
        <v>525.54096777548602</v>
      </c>
      <c r="D372" s="1">
        <v>850.26274882337327</v>
      </c>
      <c r="E372" s="1" t="s">
        <v>148</v>
      </c>
      <c r="F372" s="1">
        <v>3</v>
      </c>
    </row>
    <row r="373" spans="1:6" x14ac:dyDescent="0.35">
      <c r="A373" s="1">
        <v>2047</v>
      </c>
      <c r="B373" s="1">
        <v>277.0532177485627</v>
      </c>
      <c r="C373" s="1">
        <v>538.84510071524744</v>
      </c>
      <c r="D373" s="1">
        <v>829.26968675589251</v>
      </c>
      <c r="E373" s="1" t="s">
        <v>148</v>
      </c>
      <c r="F373" s="1">
        <v>3</v>
      </c>
    </row>
    <row r="374" spans="1:6" x14ac:dyDescent="0.35">
      <c r="A374" s="1">
        <v>2048</v>
      </c>
      <c r="B374" s="1">
        <v>284.06685334754837</v>
      </c>
      <c r="C374" s="1">
        <v>525.54096777548602</v>
      </c>
      <c r="D374" s="1">
        <v>850.26274882337327</v>
      </c>
      <c r="E374" s="1" t="s">
        <v>148</v>
      </c>
      <c r="F374" s="1">
        <v>3</v>
      </c>
    </row>
    <row r="375" spans="1:6" x14ac:dyDescent="0.35">
      <c r="A375" s="1">
        <v>2049</v>
      </c>
      <c r="B375" s="1">
        <v>291.24137961242582</v>
      </c>
      <c r="C375" s="1">
        <v>538.84510071524744</v>
      </c>
      <c r="D375" s="1">
        <v>829.26968675589251</v>
      </c>
      <c r="E375" s="1" t="s">
        <v>148</v>
      </c>
      <c r="F375" s="1">
        <v>3</v>
      </c>
    </row>
    <row r="376" spans="1:6" x14ac:dyDescent="0.35">
      <c r="A376" s="1">
        <v>2050</v>
      </c>
      <c r="B376" s="1">
        <v>298.61419023901527</v>
      </c>
      <c r="C376" s="1">
        <v>552.48602938385193</v>
      </c>
      <c r="D376" s="1">
        <v>850.26274882337327</v>
      </c>
      <c r="E376" s="1" t="s">
        <v>148</v>
      </c>
      <c r="F376" s="1">
        <v>3</v>
      </c>
    </row>
    <row r="377" spans="1:6" x14ac:dyDescent="0.35">
      <c r="A377" s="1">
        <v>2026</v>
      </c>
      <c r="B377" s="1">
        <v>720.48864590130813</v>
      </c>
      <c r="C377" s="1">
        <v>720.48864590130813</v>
      </c>
      <c r="D377" s="1">
        <v>821.89713085125436</v>
      </c>
      <c r="E377" s="1" t="s">
        <v>149</v>
      </c>
      <c r="F377" s="1">
        <v>4</v>
      </c>
    </row>
    <row r="378" spans="1:6" x14ac:dyDescent="0.35">
      <c r="A378" s="1">
        <v>2027</v>
      </c>
      <c r="B378" s="1">
        <v>433.02970909683199</v>
      </c>
      <c r="C378" s="1">
        <v>539.34889794810704</v>
      </c>
      <c r="D378" s="1">
        <v>749.2222485188654</v>
      </c>
      <c r="E378" s="1" t="s">
        <v>149</v>
      </c>
      <c r="F378" s="1">
        <v>4</v>
      </c>
    </row>
    <row r="379" spans="1:6" x14ac:dyDescent="0.35">
      <c r="A379" s="1">
        <v>2028</v>
      </c>
      <c r="B379" s="1">
        <v>443.99190837327671</v>
      </c>
      <c r="C379" s="1">
        <v>553.00258030438124</v>
      </c>
      <c r="D379" s="1">
        <v>768.18890003970409</v>
      </c>
      <c r="E379" s="1" t="s">
        <v>149</v>
      </c>
      <c r="F379" s="1">
        <v>4</v>
      </c>
    </row>
    <row r="380" spans="1:6" x14ac:dyDescent="0.35">
      <c r="A380" s="1">
        <v>2029</v>
      </c>
      <c r="B380" s="1">
        <v>455.23161704561733</v>
      </c>
      <c r="C380" s="1">
        <v>567.00190727510676</v>
      </c>
      <c r="D380" s="1">
        <v>770.35633926855519</v>
      </c>
      <c r="E380" s="1" t="s">
        <v>149</v>
      </c>
      <c r="F380" s="1">
        <v>4</v>
      </c>
    </row>
    <row r="381" spans="1:6" x14ac:dyDescent="0.35">
      <c r="A381" s="1">
        <v>2030</v>
      </c>
      <c r="B381" s="1">
        <v>478.57184115657651</v>
      </c>
      <c r="C381" s="1">
        <v>596.07271670839827</v>
      </c>
      <c r="D381" s="1">
        <v>1128.5467868621799</v>
      </c>
      <c r="E381" s="1" t="s">
        <v>149</v>
      </c>
      <c r="F381" s="1">
        <v>4</v>
      </c>
    </row>
    <row r="382" spans="1:6" x14ac:dyDescent="0.35">
      <c r="A382" s="1">
        <v>2031</v>
      </c>
      <c r="B382" s="1">
        <v>330.55933914787579</v>
      </c>
      <c r="C382" s="1">
        <v>454.42248528038948</v>
      </c>
      <c r="D382" s="1">
        <v>837.98236939087428</v>
      </c>
      <c r="E382" s="1" t="s">
        <v>149</v>
      </c>
      <c r="F382" s="1">
        <v>4</v>
      </c>
    </row>
    <row r="383" spans="1:6" x14ac:dyDescent="0.35">
      <c r="A383" s="1">
        <v>2032</v>
      </c>
      <c r="B383" s="1">
        <v>338.92748865887978</v>
      </c>
      <c r="C383" s="1">
        <v>465.92624526427312</v>
      </c>
      <c r="D383" s="1">
        <v>859.19599406935072</v>
      </c>
      <c r="E383" s="1" t="s">
        <v>149</v>
      </c>
      <c r="F383" s="1">
        <v>4</v>
      </c>
    </row>
    <row r="384" spans="1:6" x14ac:dyDescent="0.35">
      <c r="A384" s="1">
        <v>2033</v>
      </c>
      <c r="B384" s="1">
        <v>347.50747888332143</v>
      </c>
      <c r="C384" s="1">
        <v>477.72122431863272</v>
      </c>
      <c r="D384" s="1">
        <v>880.94664421332277</v>
      </c>
      <c r="E384" s="1" t="s">
        <v>149</v>
      </c>
      <c r="F384" s="1">
        <v>4</v>
      </c>
    </row>
    <row r="385" spans="1:6" x14ac:dyDescent="0.35">
      <c r="A385" s="1">
        <v>2034</v>
      </c>
      <c r="B385" s="1">
        <v>356.30467259439308</v>
      </c>
      <c r="C385" s="1">
        <v>489.81479468933662</v>
      </c>
      <c r="D385" s="1">
        <v>903.24791468717422</v>
      </c>
      <c r="E385" s="1" t="s">
        <v>149</v>
      </c>
      <c r="F385" s="1">
        <v>4</v>
      </c>
    </row>
    <row r="386" spans="1:6" x14ac:dyDescent="0.35">
      <c r="A386" s="1">
        <v>2035</v>
      </c>
      <c r="B386" s="1">
        <v>347.50747888332143</v>
      </c>
      <c r="C386" s="1">
        <v>502.21451525154549</v>
      </c>
      <c r="D386" s="1">
        <v>926.1137445109191</v>
      </c>
      <c r="E386" s="1" t="s">
        <v>149</v>
      </c>
      <c r="F386" s="1">
        <v>4</v>
      </c>
    </row>
    <row r="387" spans="1:6" x14ac:dyDescent="0.35">
      <c r="A387" s="1">
        <v>2036</v>
      </c>
      <c r="B387" s="1">
        <v>397.95786656062808</v>
      </c>
      <c r="C387" s="1">
        <v>527.9636040644458</v>
      </c>
      <c r="D387" s="1">
        <v>973.59661156089896</v>
      </c>
      <c r="E387" s="1" t="s">
        <v>149</v>
      </c>
      <c r="F387" s="1">
        <v>4</v>
      </c>
    </row>
    <row r="388" spans="1:6" x14ac:dyDescent="0.35">
      <c r="A388" s="1">
        <v>2037</v>
      </c>
      <c r="B388" s="1">
        <v>241.8480577649544</v>
      </c>
      <c r="C388" s="1">
        <v>411.98205002203952</v>
      </c>
      <c r="D388" s="1">
        <v>812.25667314055124</v>
      </c>
      <c r="E388" s="1" t="s">
        <v>149</v>
      </c>
      <c r="F388" s="1">
        <v>4</v>
      </c>
    </row>
    <row r="389" spans="1:6" x14ac:dyDescent="0.35">
      <c r="A389" s="1">
        <v>2038</v>
      </c>
      <c r="B389" s="1">
        <v>247.9704704958732</v>
      </c>
      <c r="C389" s="1">
        <v>422.41142527224872</v>
      </c>
      <c r="D389" s="1">
        <v>832.81904871787594</v>
      </c>
      <c r="E389" s="1" t="s">
        <v>149</v>
      </c>
      <c r="F389" s="1">
        <v>4</v>
      </c>
    </row>
    <row r="390" spans="1:6" x14ac:dyDescent="0.35">
      <c r="A390" s="1">
        <v>2039</v>
      </c>
      <c r="B390" s="1">
        <v>254.2478728429756</v>
      </c>
      <c r="C390" s="1">
        <v>433.10482141391151</v>
      </c>
      <c r="D390" s="1">
        <v>812.25667314055124</v>
      </c>
      <c r="E390" s="1" t="s">
        <v>149</v>
      </c>
      <c r="F390" s="1">
        <v>4</v>
      </c>
    </row>
    <row r="391" spans="1:6" x14ac:dyDescent="0.35">
      <c r="A391" s="1">
        <v>2040</v>
      </c>
      <c r="B391" s="1">
        <v>260.68418838707521</v>
      </c>
      <c r="C391" s="1">
        <v>444.06892216771593</v>
      </c>
      <c r="D391" s="1">
        <v>832.81904871787594</v>
      </c>
      <c r="E391" s="1" t="s">
        <v>149</v>
      </c>
      <c r="F391" s="1">
        <v>4</v>
      </c>
    </row>
    <row r="392" spans="1:6" x14ac:dyDescent="0.35">
      <c r="A392" s="1">
        <v>2041</v>
      </c>
      <c r="B392" s="1">
        <v>267.28344003490702</v>
      </c>
      <c r="C392" s="1">
        <v>455.31058045354479</v>
      </c>
      <c r="D392" s="1">
        <v>853.90196331120922</v>
      </c>
      <c r="E392" s="1" t="s">
        <v>149</v>
      </c>
      <c r="F392" s="1">
        <v>4</v>
      </c>
    </row>
    <row r="393" spans="1:6" x14ac:dyDescent="0.35">
      <c r="A393" s="1">
        <v>2042</v>
      </c>
      <c r="B393" s="1">
        <v>274.04975253357458</v>
      </c>
      <c r="C393" s="1">
        <v>466.83682267377401</v>
      </c>
      <c r="D393" s="1">
        <v>875.51859442847888</v>
      </c>
      <c r="E393" s="1" t="s">
        <v>149</v>
      </c>
      <c r="F393" s="1">
        <v>4</v>
      </c>
    </row>
    <row r="394" spans="1:6" x14ac:dyDescent="0.35">
      <c r="A394" s="1">
        <v>2043</v>
      </c>
      <c r="B394" s="1">
        <v>280.98735504865192</v>
      </c>
      <c r="C394" s="1">
        <v>478.65485310500202</v>
      </c>
      <c r="D394" s="1">
        <v>853.9019633112091</v>
      </c>
      <c r="E394" s="1" t="s">
        <v>149</v>
      </c>
      <c r="F394" s="1">
        <v>4</v>
      </c>
    </row>
    <row r="395" spans="1:6" x14ac:dyDescent="0.35">
      <c r="A395" s="1">
        <v>2044</v>
      </c>
      <c r="B395" s="1">
        <v>295.39388480979551</v>
      </c>
      <c r="C395" s="1">
        <v>503.19601220940018</v>
      </c>
      <c r="D395" s="1">
        <v>897.68245316781429</v>
      </c>
      <c r="E395" s="1" t="s">
        <v>149</v>
      </c>
      <c r="F395" s="1">
        <v>4</v>
      </c>
    </row>
    <row r="396" spans="1:6" x14ac:dyDescent="0.35">
      <c r="A396" s="1">
        <v>2045</v>
      </c>
      <c r="B396" s="1">
        <v>193.61584109287861</v>
      </c>
      <c r="C396" s="1">
        <v>432.55869573272372</v>
      </c>
      <c r="D396" s="1">
        <v>801.96022320882025</v>
      </c>
      <c r="E396" s="1" t="s">
        <v>149</v>
      </c>
      <c r="F396" s="1">
        <v>4</v>
      </c>
    </row>
    <row r="397" spans="1:6" x14ac:dyDescent="0.35">
      <c r="A397" s="1">
        <v>2046</v>
      </c>
      <c r="B397" s="1">
        <v>198.51724944558339</v>
      </c>
      <c r="C397" s="1">
        <v>421.87878348217299</v>
      </c>
      <c r="D397" s="1">
        <v>782.15975474801644</v>
      </c>
      <c r="E397" s="1" t="s">
        <v>149</v>
      </c>
      <c r="F397" s="1">
        <v>4</v>
      </c>
    </row>
    <row r="398" spans="1:6" x14ac:dyDescent="0.35">
      <c r="A398" s="1">
        <v>2047</v>
      </c>
      <c r="B398" s="1">
        <v>203.5427375414765</v>
      </c>
      <c r="C398" s="1">
        <v>432.55869573272361</v>
      </c>
      <c r="D398" s="1">
        <v>801.96022320882014</v>
      </c>
      <c r="E398" s="1" t="s">
        <v>149</v>
      </c>
      <c r="F398" s="1">
        <v>4</v>
      </c>
    </row>
    <row r="399" spans="1:6" x14ac:dyDescent="0.35">
      <c r="A399" s="1">
        <v>2048</v>
      </c>
      <c r="B399" s="1">
        <v>208.6954464742112</v>
      </c>
      <c r="C399" s="1">
        <v>443.50897124908732</v>
      </c>
      <c r="D399" s="1">
        <v>822.26194291514923</v>
      </c>
      <c r="E399" s="1" t="s">
        <v>149</v>
      </c>
      <c r="F399" s="1">
        <v>4</v>
      </c>
    </row>
    <row r="400" spans="1:6" x14ac:dyDescent="0.35">
      <c r="A400" s="1">
        <v>2049</v>
      </c>
      <c r="B400" s="1">
        <v>206.16558435347861</v>
      </c>
      <c r="C400" s="1">
        <v>454.73645430992337</v>
      </c>
      <c r="D400" s="1">
        <v>843.07760310269725</v>
      </c>
      <c r="E400" s="1" t="s">
        <v>149</v>
      </c>
      <c r="F400" s="1">
        <v>4</v>
      </c>
    </row>
    <row r="401" spans="1:6" x14ac:dyDescent="0.35">
      <c r="A401" s="1">
        <v>2050</v>
      </c>
      <c r="B401" s="1">
        <v>211.38469096937629</v>
      </c>
      <c r="C401" s="1">
        <v>466.24816245763049</v>
      </c>
      <c r="D401" s="1">
        <v>864.42021423668859</v>
      </c>
      <c r="E401" s="1" t="s">
        <v>149</v>
      </c>
      <c r="F401" s="1">
        <v>4</v>
      </c>
    </row>
    <row r="402" spans="1:6" x14ac:dyDescent="0.35">
      <c r="A402" s="1">
        <v>2026</v>
      </c>
      <c r="B402" s="1">
        <v>702.69971785141729</v>
      </c>
      <c r="C402" s="1">
        <v>702.69971785141729</v>
      </c>
      <c r="D402" s="1">
        <v>702.69971785141729</v>
      </c>
      <c r="E402" s="1" t="s">
        <v>150</v>
      </c>
      <c r="F402" s="1">
        <v>4</v>
      </c>
    </row>
    <row r="403" spans="1:6" x14ac:dyDescent="0.35">
      <c r="A403" s="1">
        <v>2027</v>
      </c>
      <c r="B403" s="1">
        <v>720.48864590130802</v>
      </c>
      <c r="C403" s="1">
        <v>685.34999999999991</v>
      </c>
      <c r="D403" s="1">
        <v>720.48864590130802</v>
      </c>
      <c r="E403" s="1" t="s">
        <v>150</v>
      </c>
      <c r="F403" s="1">
        <v>4</v>
      </c>
    </row>
    <row r="404" spans="1:6" x14ac:dyDescent="0.35">
      <c r="A404" s="1">
        <v>2028</v>
      </c>
      <c r="B404" s="1">
        <v>733.1871552195588</v>
      </c>
      <c r="C404" s="1">
        <v>702.69971785141718</v>
      </c>
      <c r="D404" s="1">
        <v>738.72790280878223</v>
      </c>
      <c r="E404" s="1" t="s">
        <v>150</v>
      </c>
      <c r="F404" s="1">
        <v>4</v>
      </c>
    </row>
    <row r="405" spans="1:6" x14ac:dyDescent="0.35">
      <c r="A405" s="1">
        <v>2029</v>
      </c>
      <c r="B405" s="1">
        <v>751.74787642090507</v>
      </c>
      <c r="C405" s="1">
        <v>720.4886459013079</v>
      </c>
      <c r="D405" s="1">
        <v>757.42888870314516</v>
      </c>
      <c r="E405" s="1" t="s">
        <v>150</v>
      </c>
      <c r="F405" s="1">
        <v>4</v>
      </c>
    </row>
    <row r="406" spans="1:6" x14ac:dyDescent="0.35">
      <c r="A406" s="1">
        <v>2030</v>
      </c>
      <c r="B406" s="1">
        <v>733.1871552195588</v>
      </c>
      <c r="C406" s="1">
        <v>738.72790280878201</v>
      </c>
      <c r="D406" s="1">
        <v>776.60329230934951</v>
      </c>
      <c r="E406" s="1" t="s">
        <v>150</v>
      </c>
      <c r="F406" s="1">
        <v>4</v>
      </c>
    </row>
    <row r="407" spans="1:6" x14ac:dyDescent="0.35">
      <c r="A407" s="1">
        <v>2031</v>
      </c>
      <c r="B407" s="1">
        <v>751.74787642090507</v>
      </c>
      <c r="C407" s="1">
        <v>757.42888870314493</v>
      </c>
      <c r="D407" s="1">
        <v>796.26309825382896</v>
      </c>
      <c r="E407" s="1" t="s">
        <v>150</v>
      </c>
      <c r="F407" s="1">
        <v>4</v>
      </c>
    </row>
    <row r="408" spans="1:6" x14ac:dyDescent="0.35">
      <c r="A408" s="1">
        <v>2032</v>
      </c>
      <c r="B408" s="1">
        <v>770.77846451648372</v>
      </c>
      <c r="C408" s="1">
        <v>738.72790280878201</v>
      </c>
      <c r="D408" s="1">
        <v>816.42059455527976</v>
      </c>
      <c r="E408" s="1" t="s">
        <v>150</v>
      </c>
      <c r="F408" s="1">
        <v>4</v>
      </c>
    </row>
    <row r="409" spans="1:6" x14ac:dyDescent="0.35">
      <c r="A409" s="1">
        <v>2033</v>
      </c>
      <c r="B409" s="1">
        <v>751.74787642090507</v>
      </c>
      <c r="C409" s="1">
        <v>757.42888870314493</v>
      </c>
      <c r="D409" s="1">
        <v>837.08838030507252</v>
      </c>
      <c r="E409" s="1" t="s">
        <v>150</v>
      </c>
      <c r="F409" s="1">
        <v>4</v>
      </c>
    </row>
    <row r="410" spans="1:6" x14ac:dyDescent="0.35">
      <c r="A410" s="1">
        <v>2034</v>
      </c>
      <c r="B410" s="1">
        <v>770.77846451648372</v>
      </c>
      <c r="C410" s="1">
        <v>776.60329230934929</v>
      </c>
      <c r="D410" s="1">
        <v>858.27937354209439</v>
      </c>
      <c r="E410" s="1" t="s">
        <v>150</v>
      </c>
      <c r="F410" s="1">
        <v>4</v>
      </c>
    </row>
    <row r="411" spans="1:6" x14ac:dyDescent="0.35">
      <c r="A411" s="1">
        <v>2035</v>
      </c>
      <c r="B411" s="1">
        <v>810.29712145527219</v>
      </c>
      <c r="C411" s="1">
        <v>816.42059455527954</v>
      </c>
      <c r="D411" s="1">
        <v>902.28429802052472</v>
      </c>
      <c r="E411" s="1" t="s">
        <v>150</v>
      </c>
      <c r="F411" s="1">
        <v>4</v>
      </c>
    </row>
    <row r="412" spans="1:6" x14ac:dyDescent="0.35">
      <c r="A412" s="1">
        <v>2036</v>
      </c>
      <c r="B412" s="1">
        <v>478.29125523690709</v>
      </c>
      <c r="C412" s="1">
        <v>670.424376058387</v>
      </c>
      <c r="D412" s="1">
        <v>884.41787186523527</v>
      </c>
      <c r="E412" s="1" t="s">
        <v>150</v>
      </c>
      <c r="F412" s="1">
        <v>4</v>
      </c>
    </row>
    <row r="413" spans="1:6" x14ac:dyDescent="0.35">
      <c r="A413" s="1">
        <v>2037</v>
      </c>
      <c r="B413" s="1">
        <v>484.76797753857778</v>
      </c>
      <c r="C413" s="1">
        <v>687.3962499408201</v>
      </c>
      <c r="D413" s="1">
        <v>906.80701688546253</v>
      </c>
      <c r="E413" s="1" t="s">
        <v>150</v>
      </c>
      <c r="F413" s="1">
        <v>4</v>
      </c>
    </row>
    <row r="414" spans="1:6" x14ac:dyDescent="0.35">
      <c r="A414" s="1">
        <v>2038</v>
      </c>
      <c r="B414" s="1">
        <v>509.62256323496848</v>
      </c>
      <c r="C414" s="1">
        <v>722.74912829428911</v>
      </c>
      <c r="D414" s="1">
        <v>953.30000684265201</v>
      </c>
      <c r="E414" s="1" t="s">
        <v>150</v>
      </c>
      <c r="F414" s="1">
        <v>4</v>
      </c>
    </row>
    <row r="415" spans="1:6" x14ac:dyDescent="0.35">
      <c r="A415" s="1">
        <v>2039</v>
      </c>
      <c r="B415" s="1">
        <v>373.02008338124858</v>
      </c>
      <c r="C415" s="1">
        <v>573.52272078791259</v>
      </c>
      <c r="D415" s="1">
        <v>934.42340197048816</v>
      </c>
      <c r="E415" s="1" t="s">
        <v>150</v>
      </c>
      <c r="F415" s="1">
        <v>4</v>
      </c>
    </row>
    <row r="416" spans="1:6" x14ac:dyDescent="0.35">
      <c r="A416" s="1">
        <v>2040</v>
      </c>
      <c r="B416" s="1">
        <v>382.46313175007742</v>
      </c>
      <c r="C416" s="1">
        <v>559.36239435790901</v>
      </c>
      <c r="D416" s="1">
        <v>911.3524059730521</v>
      </c>
      <c r="E416" s="1" t="s">
        <v>150</v>
      </c>
      <c r="F416" s="1">
        <v>4</v>
      </c>
    </row>
    <row r="417" spans="1:6" x14ac:dyDescent="0.35">
      <c r="A417" s="1">
        <v>2041</v>
      </c>
      <c r="B417" s="1">
        <v>392.1452320264811</v>
      </c>
      <c r="C417" s="1">
        <v>573.52272078791259</v>
      </c>
      <c r="D417" s="1">
        <v>888.85103489638675</v>
      </c>
      <c r="E417" s="1" t="s">
        <v>150</v>
      </c>
      <c r="F417" s="1">
        <v>4</v>
      </c>
    </row>
    <row r="418" spans="1:6" x14ac:dyDescent="0.35">
      <c r="A418" s="1">
        <v>2042</v>
      </c>
      <c r="B418" s="1">
        <v>402.07243583831161</v>
      </c>
      <c r="C418" s="1">
        <v>588.04151758815692</v>
      </c>
      <c r="D418" s="1">
        <v>911.3524059730521</v>
      </c>
      <c r="E418" s="1" t="s">
        <v>150</v>
      </c>
      <c r="F418" s="1">
        <v>4</v>
      </c>
    </row>
    <row r="419" spans="1:6" x14ac:dyDescent="0.35">
      <c r="A419" s="1">
        <v>2043</v>
      </c>
      <c r="B419" s="1">
        <v>392.1452320264811</v>
      </c>
      <c r="C419" s="1">
        <v>602.92785947926916</v>
      </c>
      <c r="D419" s="1">
        <v>934.42340197048816</v>
      </c>
      <c r="E419" s="1" t="s">
        <v>150</v>
      </c>
      <c r="F419" s="1">
        <v>4</v>
      </c>
    </row>
    <row r="420" spans="1:6" x14ac:dyDescent="0.35">
      <c r="A420" s="1">
        <v>2044</v>
      </c>
      <c r="B420" s="1">
        <v>402.07243583831161</v>
      </c>
      <c r="C420" s="1">
        <v>618.1910509095228</v>
      </c>
      <c r="D420" s="1">
        <v>958.07844301221792</v>
      </c>
      <c r="E420" s="1" t="s">
        <v>150</v>
      </c>
      <c r="F420" s="1">
        <v>4</v>
      </c>
    </row>
    <row r="421" spans="1:6" x14ac:dyDescent="0.35">
      <c r="A421" s="1">
        <v>2045</v>
      </c>
      <c r="B421" s="1">
        <v>428.2637299304298</v>
      </c>
      <c r="C421" s="1">
        <v>649.8863838595006</v>
      </c>
      <c r="D421" s="1">
        <v>1053.1088525533351</v>
      </c>
      <c r="E421" s="1" t="s">
        <v>150</v>
      </c>
      <c r="F421" s="1">
        <v>4</v>
      </c>
    </row>
    <row r="422" spans="1:6" x14ac:dyDescent="0.35">
      <c r="A422" s="1">
        <v>2046</v>
      </c>
      <c r="B422" s="1">
        <v>297.82637438871672</v>
      </c>
      <c r="C422" s="1">
        <v>548.08775457234594</v>
      </c>
      <c r="D422" s="1">
        <v>936.19815784473496</v>
      </c>
      <c r="E422" s="1" t="s">
        <v>150</v>
      </c>
      <c r="F422" s="1">
        <v>4</v>
      </c>
    </row>
    <row r="423" spans="1:6" x14ac:dyDescent="0.35">
      <c r="A423" s="1">
        <v>2047</v>
      </c>
      <c r="B423" s="1">
        <v>305.36588495172072</v>
      </c>
      <c r="C423" s="1">
        <v>561.96266213730848</v>
      </c>
      <c r="D423" s="1">
        <v>913.08334296863552</v>
      </c>
      <c r="E423" s="1" t="s">
        <v>150</v>
      </c>
      <c r="F423" s="1">
        <v>4</v>
      </c>
    </row>
    <row r="424" spans="1:6" x14ac:dyDescent="0.35">
      <c r="A424" s="1">
        <v>2048</v>
      </c>
      <c r="B424" s="1">
        <v>321.02232866903029</v>
      </c>
      <c r="C424" s="1">
        <v>590.77510394747753</v>
      </c>
      <c r="D424" s="1">
        <v>959.89812704532267</v>
      </c>
      <c r="E424" s="1" t="s">
        <v>150</v>
      </c>
      <c r="F424" s="1">
        <v>4</v>
      </c>
    </row>
    <row r="425" spans="1:6" x14ac:dyDescent="0.35">
      <c r="A425" s="1">
        <v>2049</v>
      </c>
      <c r="B425" s="1">
        <v>241.19227831502809</v>
      </c>
      <c r="C425" s="1">
        <v>404.34668445155341</v>
      </c>
      <c r="D425" s="1">
        <v>735.82551939546477</v>
      </c>
      <c r="E425" s="1" t="s">
        <v>150</v>
      </c>
      <c r="F425" s="1">
        <v>4</v>
      </c>
    </row>
    <row r="426" spans="1:6" x14ac:dyDescent="0.35">
      <c r="A426" s="1">
        <v>2050</v>
      </c>
      <c r="B426" s="1">
        <v>247.29808991013459</v>
      </c>
      <c r="C426" s="1">
        <v>414.58276950209768</v>
      </c>
      <c r="D426" s="1">
        <v>754.45303110391137</v>
      </c>
      <c r="E426" s="1" t="s">
        <v>150</v>
      </c>
      <c r="F426" s="1">
        <v>4</v>
      </c>
    </row>
    <row r="427" spans="1:6" x14ac:dyDescent="0.35">
      <c r="A427" s="1">
        <v>2026</v>
      </c>
      <c r="B427" s="1">
        <v>668.4286482086178</v>
      </c>
      <c r="C427" s="1">
        <v>702.69971785141729</v>
      </c>
      <c r="D427" s="1">
        <v>668.4286482086178</v>
      </c>
      <c r="E427" s="1" t="s">
        <v>151</v>
      </c>
      <c r="F427" s="1">
        <v>4</v>
      </c>
    </row>
    <row r="428" spans="1:6" x14ac:dyDescent="0.35">
      <c r="A428" s="1">
        <v>2027</v>
      </c>
      <c r="B428" s="1">
        <v>685.35</v>
      </c>
      <c r="C428" s="1">
        <v>720.48864590130802</v>
      </c>
      <c r="D428" s="1">
        <v>685.35</v>
      </c>
      <c r="E428" s="1" t="s">
        <v>151</v>
      </c>
      <c r="F428" s="1">
        <v>4</v>
      </c>
    </row>
    <row r="429" spans="1:6" x14ac:dyDescent="0.35">
      <c r="A429" s="1">
        <v>2028</v>
      </c>
      <c r="B429" s="1">
        <v>702.69971785141729</v>
      </c>
      <c r="C429" s="1">
        <v>738.72790280878223</v>
      </c>
      <c r="D429" s="1">
        <v>702.69971785141729</v>
      </c>
      <c r="E429" s="1" t="s">
        <v>151</v>
      </c>
      <c r="F429" s="1">
        <v>4</v>
      </c>
    </row>
    <row r="430" spans="1:6" x14ac:dyDescent="0.35">
      <c r="A430" s="1">
        <v>2029</v>
      </c>
      <c r="B430" s="1">
        <v>720.48864590130802</v>
      </c>
      <c r="C430" s="1">
        <v>757.42888870314516</v>
      </c>
      <c r="D430" s="1">
        <v>720.48864590130802</v>
      </c>
      <c r="E430" s="1" t="s">
        <v>151</v>
      </c>
      <c r="F430" s="1">
        <v>4</v>
      </c>
    </row>
    <row r="431" spans="1:6" x14ac:dyDescent="0.35">
      <c r="A431" s="1">
        <v>2030</v>
      </c>
      <c r="B431" s="1">
        <v>738.72790280878223</v>
      </c>
      <c r="C431" s="1">
        <v>776.60329230934951</v>
      </c>
      <c r="D431" s="1">
        <v>738.72790280878223</v>
      </c>
      <c r="E431" s="1" t="s">
        <v>151</v>
      </c>
      <c r="F431" s="1">
        <v>4</v>
      </c>
    </row>
    <row r="432" spans="1:6" x14ac:dyDescent="0.35">
      <c r="A432" s="1">
        <v>2031</v>
      </c>
      <c r="B432" s="1">
        <v>776.60329230934951</v>
      </c>
      <c r="C432" s="1">
        <v>816.42059455527976</v>
      </c>
      <c r="D432" s="1">
        <v>1065.73009177627</v>
      </c>
      <c r="E432" s="1" t="s">
        <v>151</v>
      </c>
      <c r="F432" s="1">
        <v>4</v>
      </c>
    </row>
    <row r="433" spans="1:6" x14ac:dyDescent="0.35">
      <c r="A433" s="1">
        <v>2032</v>
      </c>
      <c r="B433" s="1">
        <v>442.96478035025189</v>
      </c>
      <c r="C433" s="1">
        <v>626.06064830293519</v>
      </c>
      <c r="D433" s="1">
        <v>844.75266433359707</v>
      </c>
      <c r="E433" s="1" t="s">
        <v>151</v>
      </c>
      <c r="F433" s="1">
        <v>4</v>
      </c>
    </row>
    <row r="434" spans="1:6" x14ac:dyDescent="0.35">
      <c r="A434" s="1">
        <v>2033</v>
      </c>
      <c r="B434" s="1">
        <v>454.17848715289568</v>
      </c>
      <c r="C434" s="1">
        <v>641.9094490703261</v>
      </c>
      <c r="D434" s="1">
        <v>866.13767984453443</v>
      </c>
      <c r="E434" s="1" t="s">
        <v>151</v>
      </c>
      <c r="F434" s="1">
        <v>4</v>
      </c>
    </row>
    <row r="435" spans="1:6" x14ac:dyDescent="0.35">
      <c r="A435" s="1">
        <v>2034</v>
      </c>
      <c r="B435" s="1">
        <v>465.67607029477398</v>
      </c>
      <c r="C435" s="1">
        <v>658.15946413931113</v>
      </c>
      <c r="D435" s="1">
        <v>844.75266433359695</v>
      </c>
      <c r="E435" s="1" t="s">
        <v>151</v>
      </c>
      <c r="F435" s="1">
        <v>4</v>
      </c>
    </row>
    <row r="436" spans="1:6" x14ac:dyDescent="0.35">
      <c r="A436" s="1">
        <v>2035</v>
      </c>
      <c r="B436" s="1">
        <v>477.46471613962859</v>
      </c>
      <c r="C436" s="1">
        <v>674.82085029829125</v>
      </c>
      <c r="D436" s="1">
        <v>866.13767984453432</v>
      </c>
      <c r="E436" s="1" t="s">
        <v>151</v>
      </c>
      <c r="F436" s="1">
        <v>4</v>
      </c>
    </row>
    <row r="437" spans="1:6" x14ac:dyDescent="0.35">
      <c r="A437" s="1">
        <v>2036</v>
      </c>
      <c r="B437" s="1">
        <v>465.67607029477398</v>
      </c>
      <c r="C437" s="1">
        <v>691.90402145599001</v>
      </c>
      <c r="D437" s="1">
        <v>888.06405960054792</v>
      </c>
      <c r="E437" s="1" t="s">
        <v>151</v>
      </c>
      <c r="F437" s="1">
        <v>4</v>
      </c>
    </row>
    <row r="438" spans="1:6" x14ac:dyDescent="0.35">
      <c r="A438" s="1">
        <v>2037</v>
      </c>
      <c r="B438" s="1">
        <v>477.46471613962859</v>
      </c>
      <c r="C438" s="1">
        <v>709.41965515048537</v>
      </c>
      <c r="D438" s="1">
        <v>910.54550830274934</v>
      </c>
      <c r="E438" s="1" t="s">
        <v>151</v>
      </c>
      <c r="F438" s="1">
        <v>4</v>
      </c>
    </row>
    <row r="439" spans="1:6" x14ac:dyDescent="0.35">
      <c r="A439" s="1">
        <v>2038</v>
      </c>
      <c r="B439" s="1">
        <v>489.55179297486552</v>
      </c>
      <c r="C439" s="1">
        <v>727.37869922301866</v>
      </c>
      <c r="D439" s="1">
        <v>933.59607758841082</v>
      </c>
      <c r="E439" s="1" t="s">
        <v>151</v>
      </c>
      <c r="F439" s="1">
        <v>4</v>
      </c>
    </row>
    <row r="440" spans="1:6" x14ac:dyDescent="0.35">
      <c r="A440" s="1">
        <v>2039</v>
      </c>
      <c r="B440" s="1">
        <v>501.94485561697451</v>
      </c>
      <c r="C440" s="1">
        <v>709.41965515048537</v>
      </c>
      <c r="D440" s="1">
        <v>957.2301748136955</v>
      </c>
      <c r="E440" s="1" t="s">
        <v>151</v>
      </c>
      <c r="F440" s="1">
        <v>4</v>
      </c>
    </row>
    <row r="441" spans="1:6" x14ac:dyDescent="0.35">
      <c r="A441" s="1">
        <v>2040</v>
      </c>
      <c r="B441" s="1">
        <v>514.65165013353521</v>
      </c>
      <c r="C441" s="1">
        <v>727.37869922301866</v>
      </c>
      <c r="D441" s="1">
        <v>981.46257205872428</v>
      </c>
      <c r="E441" s="1" t="s">
        <v>151</v>
      </c>
      <c r="F441" s="1">
        <v>4</v>
      </c>
    </row>
    <row r="442" spans="1:6" x14ac:dyDescent="0.35">
      <c r="A442" s="1">
        <v>2041</v>
      </c>
      <c r="B442" s="1">
        <v>541.0384044876115</v>
      </c>
      <c r="C442" s="1">
        <v>764.67220261274906</v>
      </c>
      <c r="D442" s="1">
        <v>1031.783234180208</v>
      </c>
      <c r="E442" s="1" t="s">
        <v>151</v>
      </c>
      <c r="F442" s="1">
        <v>4</v>
      </c>
    </row>
    <row r="443" spans="1:6" x14ac:dyDescent="0.35">
      <c r="A443" s="1">
        <v>2042</v>
      </c>
      <c r="B443" s="1">
        <v>361.12004089340178</v>
      </c>
      <c r="C443" s="1">
        <v>554.94218031519085</v>
      </c>
      <c r="D443" s="1">
        <v>1011.352557283593</v>
      </c>
      <c r="E443" s="1" t="s">
        <v>151</v>
      </c>
      <c r="F443" s="1">
        <v>4</v>
      </c>
    </row>
    <row r="444" spans="1:6" x14ac:dyDescent="0.35">
      <c r="A444" s="1">
        <v>2043</v>
      </c>
      <c r="B444" s="1">
        <v>370.26183825240491</v>
      </c>
      <c r="C444" s="1">
        <v>568.99060849395926</v>
      </c>
      <c r="D444" s="1">
        <v>1036.9550691639161</v>
      </c>
      <c r="E444" s="1" t="s">
        <v>151</v>
      </c>
      <c r="F444" s="1">
        <v>4</v>
      </c>
    </row>
    <row r="445" spans="1:6" x14ac:dyDescent="0.35">
      <c r="A445" s="1">
        <v>2044</v>
      </c>
      <c r="B445" s="1">
        <v>379.63506131336112</v>
      </c>
      <c r="C445" s="1">
        <v>583.39467432525191</v>
      </c>
      <c r="D445" s="1">
        <v>1063.205711718218</v>
      </c>
      <c r="E445" s="1" t="s">
        <v>151</v>
      </c>
      <c r="F445" s="1">
        <v>4</v>
      </c>
    </row>
    <row r="446" spans="1:6" x14ac:dyDescent="0.35">
      <c r="A446" s="1">
        <v>2045</v>
      </c>
      <c r="B446" s="1">
        <v>389.24556864580779</v>
      </c>
      <c r="C446" s="1">
        <v>598.16338081910556</v>
      </c>
      <c r="D446" s="1">
        <v>1090.1208924526261</v>
      </c>
      <c r="E446" s="1" t="s">
        <v>151</v>
      </c>
      <c r="F446" s="1">
        <v>4</v>
      </c>
    </row>
    <row r="447" spans="1:6" x14ac:dyDescent="0.35">
      <c r="A447" s="1">
        <v>2046</v>
      </c>
      <c r="B447" s="1">
        <v>399.09936712967618</v>
      </c>
      <c r="C447" s="1">
        <v>613.30595889784104</v>
      </c>
      <c r="D447" s="1">
        <v>1079.65022544915</v>
      </c>
      <c r="E447" s="1" t="s">
        <v>151</v>
      </c>
      <c r="F447" s="1">
        <v>4</v>
      </c>
    </row>
    <row r="448" spans="1:6" x14ac:dyDescent="0.35">
      <c r="A448" s="1">
        <v>2047</v>
      </c>
      <c r="B448" s="1">
        <v>419.56162924539211</v>
      </c>
      <c r="C448" s="1">
        <v>684.86372651382385</v>
      </c>
      <c r="D448" s="1">
        <v>1135.0050762105491</v>
      </c>
      <c r="E448" s="1" t="s">
        <v>151</v>
      </c>
      <c r="F448" s="1">
        <v>4</v>
      </c>
    </row>
    <row r="449" spans="1:6" x14ac:dyDescent="0.35">
      <c r="A449" s="1">
        <v>2048</v>
      </c>
      <c r="B449" s="1">
        <v>247.034193746146</v>
      </c>
      <c r="C449" s="1">
        <v>513.02206323386611</v>
      </c>
      <c r="D449" s="1">
        <v>946.7980686058429</v>
      </c>
      <c r="E449" s="1" t="s">
        <v>151</v>
      </c>
      <c r="F449" s="1">
        <v>4</v>
      </c>
    </row>
    <row r="450" spans="1:6" x14ac:dyDescent="0.35">
      <c r="A450" s="1">
        <v>2049</v>
      </c>
      <c r="B450" s="1">
        <v>259.69990770187798</v>
      </c>
      <c r="C450" s="1">
        <v>539.32526688095641</v>
      </c>
      <c r="D450" s="1">
        <v>995.34144362996653</v>
      </c>
      <c r="E450" s="1" t="s">
        <v>151</v>
      </c>
      <c r="F450" s="1">
        <v>4</v>
      </c>
    </row>
    <row r="451" spans="1:6" x14ac:dyDescent="0.35">
      <c r="A451" s="1">
        <v>2050</v>
      </c>
      <c r="B451" s="1">
        <v>254.55750498726761</v>
      </c>
      <c r="C451" s="1">
        <v>471.73687544052478</v>
      </c>
      <c r="D451" s="1">
        <v>691.54683578030176</v>
      </c>
      <c r="E451" s="1" t="s">
        <v>151</v>
      </c>
      <c r="F451" s="1">
        <v>4</v>
      </c>
    </row>
    <row r="452" spans="1:6" x14ac:dyDescent="0.35">
      <c r="A452" s="1">
        <v>2026</v>
      </c>
      <c r="B452" s="1">
        <v>702.69971785141729</v>
      </c>
      <c r="C452" s="1">
        <v>702.69971785141729</v>
      </c>
      <c r="D452" s="1">
        <v>702.69971785141729</v>
      </c>
      <c r="E452" s="1" t="s">
        <v>152</v>
      </c>
      <c r="F452" s="1">
        <v>4</v>
      </c>
    </row>
    <row r="453" spans="1:6" x14ac:dyDescent="0.35">
      <c r="A453" s="1">
        <v>2027</v>
      </c>
      <c r="B453" s="1">
        <v>720.48864590130802</v>
      </c>
      <c r="C453" s="1">
        <v>720.48864590130802</v>
      </c>
      <c r="D453" s="1">
        <v>720.48864590130802</v>
      </c>
      <c r="E453" s="1" t="s">
        <v>152</v>
      </c>
      <c r="F453" s="1">
        <v>4</v>
      </c>
    </row>
    <row r="454" spans="1:6" x14ac:dyDescent="0.35">
      <c r="A454" s="1">
        <v>2028</v>
      </c>
      <c r="B454" s="1">
        <v>738.72790280878223</v>
      </c>
      <c r="C454" s="1">
        <v>738.72790280878223</v>
      </c>
      <c r="D454" s="1">
        <v>738.72790280878223</v>
      </c>
      <c r="E454" s="1" t="s">
        <v>152</v>
      </c>
      <c r="F454" s="1">
        <v>4</v>
      </c>
    </row>
    <row r="455" spans="1:6" x14ac:dyDescent="0.35">
      <c r="A455" s="1">
        <v>2029</v>
      </c>
      <c r="B455" s="1">
        <v>776.60329230934951</v>
      </c>
      <c r="C455" s="1">
        <v>776.60329230934951</v>
      </c>
      <c r="D455" s="1">
        <v>1093.4568811363531</v>
      </c>
      <c r="E455" s="1" t="s">
        <v>152</v>
      </c>
      <c r="F455" s="1">
        <v>4</v>
      </c>
    </row>
    <row r="456" spans="1:6" x14ac:dyDescent="0.35">
      <c r="A456" s="1">
        <v>2030</v>
      </c>
      <c r="B456" s="1">
        <v>432.02638982598302</v>
      </c>
      <c r="C456" s="1">
        <v>596.31495596013622</v>
      </c>
      <c r="D456" s="1">
        <v>803.20590276170572</v>
      </c>
      <c r="E456" s="1" t="s">
        <v>152</v>
      </c>
      <c r="F456" s="1">
        <v>4</v>
      </c>
    </row>
    <row r="457" spans="1:6" x14ac:dyDescent="0.35">
      <c r="A457" s="1">
        <v>2031</v>
      </c>
      <c r="B457" s="1">
        <v>442.96318995416158</v>
      </c>
      <c r="C457" s="1">
        <v>611.41074094078658</v>
      </c>
      <c r="D457" s="1">
        <v>823.53915699605102</v>
      </c>
      <c r="E457" s="1" t="s">
        <v>152</v>
      </c>
      <c r="F457" s="1">
        <v>4</v>
      </c>
    </row>
    <row r="458" spans="1:6" x14ac:dyDescent="0.35">
      <c r="A458" s="1">
        <v>2032</v>
      </c>
      <c r="B458" s="1">
        <v>454.17685649573667</v>
      </c>
      <c r="C458" s="1">
        <v>626.88867753763293</v>
      </c>
      <c r="D458" s="1">
        <v>844.38715001199262</v>
      </c>
      <c r="E458" s="1" t="s">
        <v>152</v>
      </c>
      <c r="F458" s="1">
        <v>4</v>
      </c>
    </row>
    <row r="459" spans="1:6" x14ac:dyDescent="0.35">
      <c r="A459" s="1">
        <v>2033</v>
      </c>
      <c r="B459" s="1">
        <v>465.67439835733251</v>
      </c>
      <c r="C459" s="1">
        <v>611.41074094078658</v>
      </c>
      <c r="D459" s="1">
        <v>865.76291248382518</v>
      </c>
      <c r="E459" s="1" t="s">
        <v>152</v>
      </c>
      <c r="F459" s="1">
        <v>4</v>
      </c>
    </row>
    <row r="460" spans="1:6" x14ac:dyDescent="0.35">
      <c r="A460" s="1">
        <v>2034</v>
      </c>
      <c r="B460" s="1">
        <v>489.55003531535829</v>
      </c>
      <c r="C460" s="1">
        <v>642.758439964898</v>
      </c>
      <c r="D460" s="1">
        <v>910.15152620857066</v>
      </c>
      <c r="E460" s="1" t="s">
        <v>152</v>
      </c>
      <c r="F460" s="1">
        <v>4</v>
      </c>
    </row>
    <row r="461" spans="1:6" x14ac:dyDescent="0.35">
      <c r="A461" s="1">
        <v>2035</v>
      </c>
      <c r="B461" s="1">
        <v>351.13788871605499</v>
      </c>
      <c r="C461" s="1">
        <v>476.78928071887651</v>
      </c>
      <c r="D461" s="1">
        <v>822.56077569801107</v>
      </c>
      <c r="E461" s="1" t="s">
        <v>152</v>
      </c>
      <c r="F461" s="1">
        <v>4</v>
      </c>
    </row>
    <row r="462" spans="1:6" x14ac:dyDescent="0.35">
      <c r="A462" s="1">
        <v>2036</v>
      </c>
      <c r="B462" s="1">
        <v>360.02698668959539</v>
      </c>
      <c r="C462" s="1">
        <v>488.85925882503062</v>
      </c>
      <c r="D462" s="1">
        <v>843.38400087347395</v>
      </c>
      <c r="E462" s="1" t="s">
        <v>152</v>
      </c>
      <c r="F462" s="1">
        <v>4</v>
      </c>
    </row>
    <row r="463" spans="1:6" x14ac:dyDescent="0.35">
      <c r="A463" s="1">
        <v>2037</v>
      </c>
      <c r="B463" s="1">
        <v>369.14111324968951</v>
      </c>
      <c r="C463" s="1">
        <v>476.78928071887651</v>
      </c>
      <c r="D463" s="1">
        <v>864.73436850396092</v>
      </c>
      <c r="E463" s="1" t="s">
        <v>152</v>
      </c>
      <c r="F463" s="1">
        <v>4</v>
      </c>
    </row>
    <row r="464" spans="1:6" x14ac:dyDescent="0.35">
      <c r="A464" s="1">
        <v>2038</v>
      </c>
      <c r="B464" s="1">
        <v>378.48596502212717</v>
      </c>
      <c r="C464" s="1">
        <v>483.67718421000973</v>
      </c>
      <c r="D464" s="1">
        <v>886.6252232642546</v>
      </c>
      <c r="E464" s="1" t="s">
        <v>152</v>
      </c>
      <c r="F464" s="1">
        <v>4</v>
      </c>
    </row>
    <row r="465" spans="1:6" x14ac:dyDescent="0.35">
      <c r="A465" s="1">
        <v>2039</v>
      </c>
      <c r="B465" s="1">
        <v>397.8913554117492</v>
      </c>
      <c r="C465" s="1">
        <v>519.01611080800683</v>
      </c>
      <c r="D465" s="1">
        <v>932.08347053565012</v>
      </c>
      <c r="E465" s="1" t="s">
        <v>152</v>
      </c>
      <c r="F465" s="1">
        <v>4</v>
      </c>
    </row>
    <row r="466" spans="1:6" x14ac:dyDescent="0.35">
      <c r="A466" s="1">
        <v>2040</v>
      </c>
      <c r="B466" s="1">
        <v>274.39805722439218</v>
      </c>
      <c r="C466" s="1">
        <v>480.83956925486808</v>
      </c>
      <c r="D466" s="1">
        <v>825.18525638499807</v>
      </c>
      <c r="E466" s="1" t="s">
        <v>152</v>
      </c>
      <c r="F466" s="1">
        <v>4</v>
      </c>
    </row>
    <row r="467" spans="1:6" x14ac:dyDescent="0.35">
      <c r="A467" s="1">
        <v>2041</v>
      </c>
      <c r="B467" s="1">
        <v>281.34447711469687</v>
      </c>
      <c r="C467" s="1">
        <v>468.96759798970669</v>
      </c>
      <c r="D467" s="1">
        <v>846.07492060536606</v>
      </c>
      <c r="E467" s="1" t="s">
        <v>152</v>
      </c>
      <c r="F467" s="1">
        <v>4</v>
      </c>
    </row>
    <row r="468" spans="1:6" x14ac:dyDescent="0.35">
      <c r="A468" s="1">
        <v>2042</v>
      </c>
      <c r="B468" s="1">
        <v>288.46674646173778</v>
      </c>
      <c r="C468" s="1">
        <v>480.83956925486808</v>
      </c>
      <c r="D468" s="1">
        <v>867.49340919318752</v>
      </c>
      <c r="E468" s="1" t="s">
        <v>152</v>
      </c>
      <c r="F468" s="1">
        <v>4</v>
      </c>
    </row>
    <row r="469" spans="1:6" x14ac:dyDescent="0.35">
      <c r="A469" s="1">
        <v>2043</v>
      </c>
      <c r="B469" s="1">
        <v>295.76931691570661</v>
      </c>
      <c r="C469" s="1">
        <v>493.0120809034695</v>
      </c>
      <c r="D469" s="1">
        <v>883.29231880523787</v>
      </c>
      <c r="E469" s="1" t="s">
        <v>152</v>
      </c>
      <c r="F469" s="1">
        <v>4</v>
      </c>
    </row>
    <row r="470" spans="1:6" x14ac:dyDescent="0.35">
      <c r="A470" s="1">
        <v>2044</v>
      </c>
      <c r="B470" s="1">
        <v>303.2567528208557</v>
      </c>
      <c r="C470" s="1">
        <v>505.49274115154032</v>
      </c>
      <c r="D470" s="1">
        <v>905.65297031409466</v>
      </c>
      <c r="E470" s="1" t="s">
        <v>152</v>
      </c>
      <c r="F470" s="1">
        <v>4</v>
      </c>
    </row>
    <row r="471" spans="1:6" x14ac:dyDescent="0.35">
      <c r="A471" s="1">
        <v>2045</v>
      </c>
      <c r="B471" s="1">
        <v>310.93373406836258</v>
      </c>
      <c r="C471" s="1">
        <v>518.28935081801546</v>
      </c>
      <c r="D471" s="1">
        <v>883.29231880523776</v>
      </c>
      <c r="E471" s="1" t="s">
        <v>152</v>
      </c>
      <c r="F471" s="1">
        <v>4</v>
      </c>
    </row>
    <row r="472" spans="1:6" x14ac:dyDescent="0.35">
      <c r="A472" s="1">
        <v>2046</v>
      </c>
      <c r="B472" s="1">
        <v>326.87564751433871</v>
      </c>
      <c r="C472" s="1">
        <v>544.86261407447296</v>
      </c>
      <c r="D472" s="1">
        <v>1025.0740490843029</v>
      </c>
      <c r="E472" s="1" t="s">
        <v>152</v>
      </c>
      <c r="F472" s="1">
        <v>4</v>
      </c>
    </row>
    <row r="473" spans="1:6" x14ac:dyDescent="0.35">
      <c r="A473" s="1">
        <v>2047</v>
      </c>
      <c r="B473" s="1">
        <v>201.5042641469278</v>
      </c>
      <c r="C473" s="1">
        <v>436.62321126463542</v>
      </c>
      <c r="D473" s="1">
        <v>938.23039301583935</v>
      </c>
      <c r="E473" s="1" t="s">
        <v>152</v>
      </c>
      <c r="F473" s="1">
        <v>4</v>
      </c>
    </row>
    <row r="474" spans="1:6" x14ac:dyDescent="0.35">
      <c r="A474" s="1">
        <v>2048</v>
      </c>
      <c r="B474" s="1">
        <v>196.52910613847399</v>
      </c>
      <c r="C474" s="1">
        <v>447.67638048156277</v>
      </c>
      <c r="D474" s="1">
        <v>961.9818084947176</v>
      </c>
      <c r="E474" s="1" t="s">
        <v>152</v>
      </c>
      <c r="F474" s="1">
        <v>4</v>
      </c>
    </row>
    <row r="475" spans="1:6" x14ac:dyDescent="0.35">
      <c r="A475" s="1">
        <v>2049</v>
      </c>
      <c r="B475" s="1">
        <v>201.5042641469278</v>
      </c>
      <c r="C475" s="1">
        <v>459.00936200939373</v>
      </c>
      <c r="D475" s="1">
        <v>986.33449391906936</v>
      </c>
      <c r="E475" s="1" t="s">
        <v>152</v>
      </c>
      <c r="F475" s="1">
        <v>4</v>
      </c>
    </row>
    <row r="476" spans="1:6" x14ac:dyDescent="0.35">
      <c r="A476" s="1">
        <v>2050</v>
      </c>
      <c r="B476" s="1">
        <v>206.60536887999359</v>
      </c>
      <c r="C476" s="1">
        <v>470.62923933050268</v>
      </c>
      <c r="D476" s="1">
        <v>961.98180849471748</v>
      </c>
      <c r="E476" s="1" t="s">
        <v>152</v>
      </c>
      <c r="F476" s="1">
        <v>4</v>
      </c>
    </row>
    <row r="477" spans="1:6" x14ac:dyDescent="0.35">
      <c r="A477" s="1">
        <v>2026</v>
      </c>
      <c r="B477" s="1">
        <v>702.69971785141729</v>
      </c>
      <c r="C477" s="1">
        <v>702.69971785141729</v>
      </c>
      <c r="D477" s="1">
        <v>702.69971785141729</v>
      </c>
      <c r="E477" s="1" t="s">
        <v>153</v>
      </c>
      <c r="F477" s="1">
        <v>4</v>
      </c>
    </row>
    <row r="478" spans="1:6" x14ac:dyDescent="0.35">
      <c r="A478" s="1">
        <v>2027</v>
      </c>
      <c r="B478" s="1">
        <v>738.72790280878223</v>
      </c>
      <c r="C478" s="1">
        <v>775.32852835857022</v>
      </c>
      <c r="D478" s="1">
        <v>1130.456085163655</v>
      </c>
      <c r="E478" s="1" t="s">
        <v>153</v>
      </c>
      <c r="F478" s="1">
        <v>4</v>
      </c>
    </row>
    <row r="479" spans="1:6" x14ac:dyDescent="0.35">
      <c r="A479" s="1">
        <v>2028</v>
      </c>
      <c r="B479" s="1">
        <v>397.06969636789341</v>
      </c>
      <c r="C479" s="1">
        <v>551.82348713883448</v>
      </c>
      <c r="D479" s="1">
        <v>732.14848056503763</v>
      </c>
      <c r="E479" s="1" t="s">
        <v>153</v>
      </c>
      <c r="F479" s="1">
        <v>4</v>
      </c>
    </row>
    <row r="480" spans="1:6" x14ac:dyDescent="0.35">
      <c r="A480" s="1">
        <v>2029</v>
      </c>
      <c r="B480" s="1">
        <v>407.12156358804492</v>
      </c>
      <c r="C480" s="1">
        <v>565.79296522396464</v>
      </c>
      <c r="D480" s="1">
        <v>750.682907592319</v>
      </c>
      <c r="E480" s="1" t="s">
        <v>153</v>
      </c>
      <c r="F480" s="1">
        <v>4</v>
      </c>
    </row>
    <row r="481" spans="1:6" x14ac:dyDescent="0.35">
      <c r="A481" s="1">
        <v>2030</v>
      </c>
      <c r="B481" s="1">
        <v>417.4278950383702</v>
      </c>
      <c r="C481" s="1">
        <v>580.11608233048332</v>
      </c>
      <c r="D481" s="1">
        <v>769.68653587364724</v>
      </c>
      <c r="E481" s="1" t="s">
        <v>153</v>
      </c>
      <c r="F481" s="1">
        <v>4</v>
      </c>
    </row>
    <row r="482" spans="1:6" x14ac:dyDescent="0.35">
      <c r="A482" s="1">
        <v>2031</v>
      </c>
      <c r="B482" s="1">
        <v>427.99513251152518</v>
      </c>
      <c r="C482" s="1">
        <v>594.80179087283898</v>
      </c>
      <c r="D482" s="1">
        <v>789.17124329531873</v>
      </c>
      <c r="E482" s="1" t="s">
        <v>153</v>
      </c>
      <c r="F482" s="1">
        <v>4</v>
      </c>
    </row>
    <row r="483" spans="1:6" x14ac:dyDescent="0.35">
      <c r="A483" s="1">
        <v>2032</v>
      </c>
      <c r="B483" s="1">
        <v>449.9389121989928</v>
      </c>
      <c r="C483" s="1">
        <v>625.29793081731202</v>
      </c>
      <c r="D483" s="1">
        <v>829.63291816749984</v>
      </c>
      <c r="E483" s="1" t="s">
        <v>153</v>
      </c>
      <c r="F483" s="1">
        <v>4</v>
      </c>
    </row>
    <row r="484" spans="1:6" x14ac:dyDescent="0.35">
      <c r="A484" s="1">
        <v>2033</v>
      </c>
      <c r="B484" s="1">
        <v>293.0176044460265</v>
      </c>
      <c r="C484" s="1">
        <v>509.13839775096221</v>
      </c>
      <c r="D484" s="1">
        <v>813.20508571939524</v>
      </c>
      <c r="E484" s="1" t="s">
        <v>153</v>
      </c>
      <c r="F484" s="1">
        <v>4</v>
      </c>
    </row>
    <row r="485" spans="1:6" x14ac:dyDescent="0.35">
      <c r="A485" s="1">
        <v>2034</v>
      </c>
      <c r="B485" s="1">
        <v>300.43538041835711</v>
      </c>
      <c r="C485" s="1">
        <v>522.02729765364245</v>
      </c>
      <c r="D485" s="1">
        <v>793.126980613976</v>
      </c>
      <c r="E485" s="1" t="s">
        <v>153</v>
      </c>
      <c r="F485" s="1">
        <v>4</v>
      </c>
    </row>
    <row r="486" spans="1:6" x14ac:dyDescent="0.35">
      <c r="A486" s="1">
        <v>2035</v>
      </c>
      <c r="B486" s="1">
        <v>308.04093828345037</v>
      </c>
      <c r="C486" s="1">
        <v>509.13839775096221</v>
      </c>
      <c r="D486" s="1">
        <v>813.20508571939513</v>
      </c>
      <c r="E486" s="1" t="s">
        <v>153</v>
      </c>
      <c r="F486" s="1">
        <v>4</v>
      </c>
    </row>
    <row r="487" spans="1:6" x14ac:dyDescent="0.35">
      <c r="A487" s="1">
        <v>2036</v>
      </c>
      <c r="B487" s="1">
        <v>315.83903176255399</v>
      </c>
      <c r="C487" s="1">
        <v>522.02729765364245</v>
      </c>
      <c r="D487" s="1">
        <v>833.79147047546007</v>
      </c>
      <c r="E487" s="1" t="s">
        <v>153</v>
      </c>
      <c r="F487" s="1">
        <v>4</v>
      </c>
    </row>
    <row r="488" spans="1:6" x14ac:dyDescent="0.35">
      <c r="A488" s="1">
        <v>2037</v>
      </c>
      <c r="B488" s="1">
        <v>332.03244519936209</v>
      </c>
      <c r="C488" s="1">
        <v>592.07312398709985</v>
      </c>
      <c r="D488" s="1">
        <v>876.54087331571429</v>
      </c>
      <c r="E488" s="1" t="s">
        <v>153</v>
      </c>
      <c r="F488" s="1">
        <v>4</v>
      </c>
    </row>
    <row r="489" spans="1:6" x14ac:dyDescent="0.35">
      <c r="A489" s="1">
        <v>2038</v>
      </c>
      <c r="B489" s="1">
        <v>245.4292022156618</v>
      </c>
      <c r="C489" s="1">
        <v>405.27390458398872</v>
      </c>
      <c r="D489" s="1">
        <v>738.69994375492115</v>
      </c>
      <c r="E489" s="1" t="s">
        <v>153</v>
      </c>
      <c r="F489" s="1">
        <v>4</v>
      </c>
    </row>
    <row r="490" spans="1:6" x14ac:dyDescent="0.35">
      <c r="A490" s="1">
        <v>2039</v>
      </c>
      <c r="B490" s="1">
        <v>251.6422720499657</v>
      </c>
      <c r="C490" s="1">
        <v>413.88518538686031</v>
      </c>
      <c r="D490" s="1">
        <v>757.40022186246574</v>
      </c>
      <c r="E490" s="1" t="s">
        <v>153</v>
      </c>
      <c r="F490" s="1">
        <v>4</v>
      </c>
    </row>
    <row r="491" spans="1:6" x14ac:dyDescent="0.35">
      <c r="A491" s="1">
        <v>2040</v>
      </c>
      <c r="B491" s="1">
        <v>258.01262649595168</v>
      </c>
      <c r="C491" s="1">
        <v>417.85950313686311</v>
      </c>
      <c r="D491" s="1">
        <v>776.57389976414322</v>
      </c>
      <c r="E491" s="1" t="s">
        <v>153</v>
      </c>
      <c r="F491" s="1">
        <v>4</v>
      </c>
    </row>
    <row r="492" spans="1:6" x14ac:dyDescent="0.35">
      <c r="A492" s="1">
        <v>2041</v>
      </c>
      <c r="B492" s="1">
        <v>264.54424723252117</v>
      </c>
      <c r="C492" s="1">
        <v>428.4376668210507</v>
      </c>
      <c r="D492" s="1">
        <v>796.23296163279826</v>
      </c>
      <c r="E492" s="1" t="s">
        <v>153</v>
      </c>
      <c r="F492" s="1">
        <v>4</v>
      </c>
    </row>
    <row r="493" spans="1:6" x14ac:dyDescent="0.35">
      <c r="A493" s="1">
        <v>2042</v>
      </c>
      <c r="B493" s="1">
        <v>278.10772082810252</v>
      </c>
      <c r="C493" s="1">
        <v>450.40413572775168</v>
      </c>
      <c r="D493" s="1">
        <v>837.05669854644054</v>
      </c>
      <c r="E493" s="1" t="s">
        <v>153</v>
      </c>
      <c r="F493" s="1">
        <v>4</v>
      </c>
    </row>
    <row r="494" spans="1:6" x14ac:dyDescent="0.35">
      <c r="A494" s="1">
        <v>2043</v>
      </c>
      <c r="B494" s="1">
        <v>208.42400651698509</v>
      </c>
      <c r="C494" s="1">
        <v>387.50737784149351</v>
      </c>
      <c r="D494" s="1">
        <v>783.66893455993977</v>
      </c>
      <c r="E494" s="1" t="s">
        <v>153</v>
      </c>
      <c r="F494" s="1">
        <v>4</v>
      </c>
    </row>
    <row r="495" spans="1:6" x14ac:dyDescent="0.35">
      <c r="A495" s="1">
        <v>2044</v>
      </c>
      <c r="B495" s="1">
        <v>213.70028536214701</v>
      </c>
      <c r="C495" s="1">
        <v>377.93978659291679</v>
      </c>
      <c r="D495" s="1">
        <v>803.50760808957534</v>
      </c>
      <c r="E495" s="1" t="s">
        <v>153</v>
      </c>
      <c r="F495" s="1">
        <v>4</v>
      </c>
    </row>
    <row r="496" spans="1:6" x14ac:dyDescent="0.35">
      <c r="A496" s="1">
        <v>2045</v>
      </c>
      <c r="B496" s="1">
        <v>208.42400651698509</v>
      </c>
      <c r="C496" s="1">
        <v>387.50737784149351</v>
      </c>
      <c r="D496" s="1">
        <v>823.84850003065844</v>
      </c>
      <c r="E496" s="1" t="s">
        <v>153</v>
      </c>
      <c r="F496" s="1">
        <v>4</v>
      </c>
    </row>
    <row r="497" spans="1:6" x14ac:dyDescent="0.35">
      <c r="A497" s="1">
        <v>2046</v>
      </c>
      <c r="B497" s="1">
        <v>209.21490172191781</v>
      </c>
      <c r="C497" s="1">
        <v>397.31717381565619</v>
      </c>
      <c r="D497" s="1">
        <v>844.70432410280455</v>
      </c>
      <c r="E497" s="1" t="s">
        <v>153</v>
      </c>
      <c r="F497" s="1">
        <v>4</v>
      </c>
    </row>
    <row r="498" spans="1:6" x14ac:dyDescent="0.35">
      <c r="A498" s="1">
        <v>2047</v>
      </c>
      <c r="B498" s="1">
        <v>214.51120217451469</v>
      </c>
      <c r="C498" s="1">
        <v>407.37530595722501</v>
      </c>
      <c r="D498" s="1">
        <v>866.08811587497325</v>
      </c>
      <c r="E498" s="1" t="s">
        <v>153</v>
      </c>
      <c r="F498" s="1">
        <v>4</v>
      </c>
    </row>
    <row r="499" spans="1:6" x14ac:dyDescent="0.35">
      <c r="A499" s="1">
        <v>2048</v>
      </c>
      <c r="B499" s="1">
        <v>219.94157911140269</v>
      </c>
      <c r="C499" s="1">
        <v>397.31717381565619</v>
      </c>
      <c r="D499" s="1">
        <v>888.0132409131237</v>
      </c>
      <c r="E499" s="1" t="s">
        <v>153</v>
      </c>
      <c r="F499" s="1">
        <v>4</v>
      </c>
    </row>
    <row r="500" spans="1:6" x14ac:dyDescent="0.35">
      <c r="A500" s="1">
        <v>2049</v>
      </c>
      <c r="B500" s="1">
        <v>225.50942669494111</v>
      </c>
      <c r="C500" s="1">
        <v>387.50737784149339</v>
      </c>
      <c r="D500" s="1">
        <v>910.49340313412813</v>
      </c>
      <c r="E500" s="1" t="s">
        <v>153</v>
      </c>
      <c r="F500" s="1">
        <v>4</v>
      </c>
    </row>
    <row r="501" spans="1:6" x14ac:dyDescent="0.35">
      <c r="A501" s="1">
        <v>2050</v>
      </c>
      <c r="B501" s="1">
        <v>219.94157911140269</v>
      </c>
      <c r="C501" s="1">
        <v>397.31717381565619</v>
      </c>
      <c r="D501" s="1">
        <v>893.78620887856289</v>
      </c>
      <c r="E501" s="1" t="s">
        <v>153</v>
      </c>
      <c r="F501" s="1">
        <v>4</v>
      </c>
    </row>
    <row r="502" spans="1:6" x14ac:dyDescent="0.35">
      <c r="A502" s="1">
        <v>2026</v>
      </c>
      <c r="B502" s="1">
        <v>720.48864590130813</v>
      </c>
      <c r="C502" s="1">
        <v>720.48864590130813</v>
      </c>
      <c r="D502" s="1">
        <v>901.92900435781326</v>
      </c>
      <c r="E502" s="1" t="s">
        <v>154</v>
      </c>
      <c r="F502" s="1">
        <v>5</v>
      </c>
    </row>
    <row r="503" spans="1:6" x14ac:dyDescent="0.35">
      <c r="A503" s="1">
        <v>2027</v>
      </c>
      <c r="B503" s="1">
        <v>436.89928971690767</v>
      </c>
      <c r="C503" s="1">
        <v>588.10867450583271</v>
      </c>
      <c r="D503" s="1">
        <v>719.76914520374123</v>
      </c>
      <c r="E503" s="1" t="s">
        <v>154</v>
      </c>
      <c r="F503" s="1">
        <v>5</v>
      </c>
    </row>
    <row r="504" spans="1:6" x14ac:dyDescent="0.35">
      <c r="A504" s="1">
        <v>2028</v>
      </c>
      <c r="B504" s="1">
        <v>459.29959530659971</v>
      </c>
      <c r="C504" s="1">
        <v>618.26165103599703</v>
      </c>
      <c r="D504" s="1">
        <v>756.67249841597072</v>
      </c>
      <c r="E504" s="1" t="s">
        <v>154</v>
      </c>
      <c r="F504" s="1">
        <v>5</v>
      </c>
    </row>
    <row r="505" spans="1:6" x14ac:dyDescent="0.35">
      <c r="A505" s="1">
        <v>2029</v>
      </c>
      <c r="B505" s="1">
        <v>299.96216052418862</v>
      </c>
      <c r="C505" s="1">
        <v>478.80423178953998</v>
      </c>
      <c r="D505" s="1">
        <v>690.00437879223318</v>
      </c>
      <c r="E505" s="1" t="s">
        <v>154</v>
      </c>
      <c r="F505" s="1">
        <v>5</v>
      </c>
    </row>
    <row r="506" spans="1:6" x14ac:dyDescent="0.35">
      <c r="A506" s="1">
        <v>2030</v>
      </c>
      <c r="B506" s="1">
        <v>307.55573877062648</v>
      </c>
      <c r="C506" s="1">
        <v>490.92521862489878</v>
      </c>
      <c r="D506" s="1">
        <v>707.47192280374225</v>
      </c>
      <c r="E506" s="1" t="s">
        <v>154</v>
      </c>
      <c r="F506" s="1">
        <v>5</v>
      </c>
    </row>
    <row r="507" spans="1:6" x14ac:dyDescent="0.35">
      <c r="A507" s="1">
        <v>2031</v>
      </c>
      <c r="B507" s="1">
        <v>299.96216052418862</v>
      </c>
      <c r="C507" s="1">
        <v>503.35304970286973</v>
      </c>
      <c r="D507" s="1">
        <v>690.00437879223318</v>
      </c>
      <c r="E507" s="1" t="s">
        <v>154</v>
      </c>
      <c r="F507" s="1">
        <v>5</v>
      </c>
    </row>
    <row r="508" spans="1:6" x14ac:dyDescent="0.35">
      <c r="A508" s="1">
        <v>2032</v>
      </c>
      <c r="B508" s="1">
        <v>307.55573877062648</v>
      </c>
      <c r="C508" s="1">
        <v>516.09549282243665</v>
      </c>
      <c r="D508" s="1">
        <v>707.47192280374225</v>
      </c>
      <c r="E508" s="1" t="s">
        <v>154</v>
      </c>
      <c r="F508" s="1">
        <v>5</v>
      </c>
    </row>
    <row r="509" spans="1:6" x14ac:dyDescent="0.35">
      <c r="A509" s="1">
        <v>2033</v>
      </c>
      <c r="B509" s="1">
        <v>315.34154936558468</v>
      </c>
      <c r="C509" s="1">
        <v>529.16051242535116</v>
      </c>
      <c r="D509" s="1">
        <v>725.38165979716837</v>
      </c>
      <c r="E509" s="1" t="s">
        <v>154</v>
      </c>
      <c r="F509" s="1">
        <v>5</v>
      </c>
    </row>
    <row r="510" spans="1:6" x14ac:dyDescent="0.35">
      <c r="A510" s="1">
        <v>2034</v>
      </c>
      <c r="B510" s="1">
        <v>339.61386056307981</v>
      </c>
      <c r="C510" s="1">
        <v>556.29115205629762</v>
      </c>
      <c r="D510" s="1">
        <v>762.5727727860293</v>
      </c>
      <c r="E510" s="1" t="s">
        <v>154</v>
      </c>
      <c r="F510" s="1">
        <v>5</v>
      </c>
    </row>
    <row r="511" spans="1:6" x14ac:dyDescent="0.35">
      <c r="A511" s="1">
        <v>2035</v>
      </c>
      <c r="B511" s="1">
        <v>232.09639719442589</v>
      </c>
      <c r="C511" s="1">
        <v>383.93057576721742</v>
      </c>
      <c r="D511" s="1">
        <v>747.47282018471969</v>
      </c>
      <c r="E511" s="1" t="s">
        <v>154</v>
      </c>
      <c r="F511" s="1">
        <v>5</v>
      </c>
    </row>
    <row r="512" spans="1:6" x14ac:dyDescent="0.35">
      <c r="A512" s="1">
        <v>2036</v>
      </c>
      <c r="B512" s="1">
        <v>237.97194546268861</v>
      </c>
      <c r="C512" s="1">
        <v>393.64982456577792</v>
      </c>
      <c r="D512" s="1">
        <v>766.39518471643066</v>
      </c>
      <c r="E512" s="1" t="s">
        <v>154</v>
      </c>
      <c r="F512" s="1">
        <v>5</v>
      </c>
    </row>
    <row r="513" spans="1:6" x14ac:dyDescent="0.35">
      <c r="A513" s="1">
        <v>2037</v>
      </c>
      <c r="B513" s="1">
        <v>243.99623394350931</v>
      </c>
      <c r="C513" s="1">
        <v>403.61511731908081</v>
      </c>
      <c r="D513" s="1">
        <v>785.79657118686907</v>
      </c>
      <c r="E513" s="1" t="s">
        <v>154</v>
      </c>
      <c r="F513" s="1">
        <v>5</v>
      </c>
    </row>
    <row r="514" spans="1:6" x14ac:dyDescent="0.35">
      <c r="A514" s="1">
        <v>2038</v>
      </c>
      <c r="B514" s="1">
        <v>250.173028013296</v>
      </c>
      <c r="C514" s="1">
        <v>413.83268265949482</v>
      </c>
      <c r="D514" s="1">
        <v>805.68910609414763</v>
      </c>
      <c r="E514" s="1" t="s">
        <v>154</v>
      </c>
      <c r="F514" s="1">
        <v>5</v>
      </c>
    </row>
    <row r="515" spans="1:6" x14ac:dyDescent="0.35">
      <c r="A515" s="1">
        <v>2039</v>
      </c>
      <c r="B515" s="1">
        <v>256.50618836941391</v>
      </c>
      <c r="C515" s="1">
        <v>424.30890689796757</v>
      </c>
      <c r="D515" s="1">
        <v>826.08522292014038</v>
      </c>
      <c r="E515" s="1" t="s">
        <v>154</v>
      </c>
      <c r="F515" s="1">
        <v>5</v>
      </c>
    </row>
    <row r="516" spans="1:6" x14ac:dyDescent="0.35">
      <c r="A516" s="1">
        <v>2040</v>
      </c>
      <c r="B516" s="1">
        <v>262.99967344324739</v>
      </c>
      <c r="C516" s="1">
        <v>435.05033801567828</v>
      </c>
      <c r="D516" s="1">
        <v>846.99766990181342</v>
      </c>
      <c r="E516" s="1" t="s">
        <v>154</v>
      </c>
      <c r="F516" s="1">
        <v>5</v>
      </c>
    </row>
    <row r="517" spans="1:6" x14ac:dyDescent="0.35">
      <c r="A517" s="1">
        <v>2041</v>
      </c>
      <c r="B517" s="1">
        <v>291.64521386041997</v>
      </c>
      <c r="C517" s="1">
        <v>457.35584582450213</v>
      </c>
      <c r="D517" s="1">
        <v>890.42416906561721</v>
      </c>
      <c r="E517" s="1" t="s">
        <v>154</v>
      </c>
      <c r="F517" s="1">
        <v>5</v>
      </c>
    </row>
    <row r="518" spans="1:6" x14ac:dyDescent="0.35">
      <c r="A518" s="1">
        <v>2042</v>
      </c>
      <c r="B518" s="1">
        <v>204.313478266853</v>
      </c>
      <c r="C518" s="1">
        <v>425.59931330587619</v>
      </c>
      <c r="D518" s="1">
        <v>600.07058636878855</v>
      </c>
      <c r="E518" s="1" t="s">
        <v>154</v>
      </c>
      <c r="F518" s="1">
        <v>5</v>
      </c>
    </row>
    <row r="519" spans="1:6" x14ac:dyDescent="0.35">
      <c r="A519" s="1">
        <v>2043</v>
      </c>
      <c r="B519" s="1">
        <v>214.78885430199361</v>
      </c>
      <c r="C519" s="1">
        <v>447.42025671595138</v>
      </c>
      <c r="D519" s="1">
        <v>741.79396337540174</v>
      </c>
      <c r="E519" s="1" t="s">
        <v>154</v>
      </c>
      <c r="F519" s="1">
        <v>5</v>
      </c>
    </row>
    <row r="520" spans="1:6" x14ac:dyDescent="0.35">
      <c r="A520" s="1">
        <v>2044</v>
      </c>
      <c r="B520" s="1">
        <v>161.86841595111221</v>
      </c>
      <c r="C520" s="1">
        <v>329.9422558151004</v>
      </c>
      <c r="D520" s="1">
        <v>616.55816530176469</v>
      </c>
      <c r="E520" s="1" t="s">
        <v>154</v>
      </c>
      <c r="F520" s="1">
        <v>5</v>
      </c>
    </row>
    <row r="521" spans="1:6" x14ac:dyDescent="0.35">
      <c r="A521" s="1">
        <v>2045</v>
      </c>
      <c r="B521" s="1">
        <v>165.96613441001301</v>
      </c>
      <c r="C521" s="1">
        <v>321.79595249345522</v>
      </c>
      <c r="D521" s="1">
        <v>632.1664095666996</v>
      </c>
      <c r="E521" s="1" t="s">
        <v>154</v>
      </c>
      <c r="F521" s="1">
        <v>5</v>
      </c>
    </row>
    <row r="522" spans="1:6" x14ac:dyDescent="0.35">
      <c r="A522" s="1">
        <v>2046</v>
      </c>
      <c r="B522" s="1">
        <v>169.24809547579741</v>
      </c>
      <c r="C522" s="1">
        <v>320.78190035424637</v>
      </c>
      <c r="D522" s="1">
        <v>648.16977841637606</v>
      </c>
      <c r="E522" s="1" t="s">
        <v>154</v>
      </c>
      <c r="F522" s="1">
        <v>5</v>
      </c>
    </row>
    <row r="523" spans="1:6" x14ac:dyDescent="0.35">
      <c r="A523" s="1">
        <v>2047</v>
      </c>
      <c r="B523" s="1">
        <v>173.5326314112973</v>
      </c>
      <c r="C523" s="1">
        <v>328.90253282376949</v>
      </c>
      <c r="D523" s="1">
        <v>632.1664095666996</v>
      </c>
      <c r="E523" s="1" t="s">
        <v>154</v>
      </c>
      <c r="F523" s="1">
        <v>5</v>
      </c>
    </row>
    <row r="524" spans="1:6" x14ac:dyDescent="0.35">
      <c r="A524" s="1">
        <v>2048</v>
      </c>
      <c r="B524" s="1">
        <v>177.92563089039561</v>
      </c>
      <c r="C524" s="1">
        <v>337.22874008299311</v>
      </c>
      <c r="D524" s="1">
        <v>648.16977841637606</v>
      </c>
      <c r="E524" s="1" t="s">
        <v>154</v>
      </c>
      <c r="F524" s="1">
        <v>5</v>
      </c>
    </row>
    <row r="525" spans="1:6" x14ac:dyDescent="0.35">
      <c r="A525" s="1">
        <v>2049</v>
      </c>
      <c r="B525" s="1">
        <v>179.59237548055361</v>
      </c>
      <c r="C525" s="1">
        <v>345.76572628249539</v>
      </c>
      <c r="D525" s="1">
        <v>664.57827447727902</v>
      </c>
      <c r="E525" s="1" t="s">
        <v>154</v>
      </c>
      <c r="F525" s="1">
        <v>5</v>
      </c>
    </row>
    <row r="526" spans="1:6" x14ac:dyDescent="0.35">
      <c r="A526" s="1">
        <v>2050</v>
      </c>
      <c r="B526" s="1">
        <v>184.13877811111229</v>
      </c>
      <c r="C526" s="1">
        <v>354.51882731655343</v>
      </c>
      <c r="D526" s="1">
        <v>681.40215359358831</v>
      </c>
      <c r="E526" s="1" t="s">
        <v>154</v>
      </c>
      <c r="F526" s="1">
        <v>5</v>
      </c>
    </row>
    <row r="527" spans="1:6" x14ac:dyDescent="0.35">
      <c r="A527" s="1">
        <v>2026</v>
      </c>
      <c r="B527" s="1">
        <v>668.4286482086178</v>
      </c>
      <c r="C527" s="1">
        <v>702.69971785141729</v>
      </c>
      <c r="D527" s="1">
        <v>702.69971785141729</v>
      </c>
      <c r="E527" s="1" t="s">
        <v>155</v>
      </c>
      <c r="F527" s="1">
        <v>5</v>
      </c>
    </row>
    <row r="528" spans="1:6" x14ac:dyDescent="0.35">
      <c r="A528" s="1">
        <v>2027</v>
      </c>
      <c r="B528" s="1">
        <v>685.35</v>
      </c>
      <c r="C528" s="1">
        <v>720.48864590130802</v>
      </c>
      <c r="D528" s="1">
        <v>720.48864590130802</v>
      </c>
      <c r="E528" s="1" t="s">
        <v>155</v>
      </c>
      <c r="F528" s="1">
        <v>5</v>
      </c>
    </row>
    <row r="529" spans="1:6" x14ac:dyDescent="0.35">
      <c r="A529" s="1">
        <v>2028</v>
      </c>
      <c r="B529" s="1">
        <v>702.69971785141729</v>
      </c>
      <c r="C529" s="1">
        <v>738.72790280878223</v>
      </c>
      <c r="D529" s="1">
        <v>738.72790280878223</v>
      </c>
      <c r="E529" s="1" t="s">
        <v>155</v>
      </c>
      <c r="F529" s="1">
        <v>5</v>
      </c>
    </row>
    <row r="530" spans="1:6" x14ac:dyDescent="0.35">
      <c r="A530" s="1">
        <v>2029</v>
      </c>
      <c r="B530" s="1">
        <v>738.72790280878223</v>
      </c>
      <c r="C530" s="1">
        <v>776.60329230934951</v>
      </c>
      <c r="D530" s="1">
        <v>975.97986967119959</v>
      </c>
      <c r="E530" s="1" t="s">
        <v>155</v>
      </c>
      <c r="F530" s="1">
        <v>5</v>
      </c>
    </row>
    <row r="531" spans="1:6" x14ac:dyDescent="0.35">
      <c r="A531" s="1">
        <v>2030</v>
      </c>
      <c r="B531" s="1">
        <v>455.65359236605047</v>
      </c>
      <c r="C531" s="1">
        <v>560.07921687810665</v>
      </c>
      <c r="D531" s="1">
        <v>665.35506370372184</v>
      </c>
      <c r="E531" s="1" t="s">
        <v>155</v>
      </c>
      <c r="F531" s="1">
        <v>5</v>
      </c>
    </row>
    <row r="532" spans="1:6" x14ac:dyDescent="0.35">
      <c r="A532" s="1">
        <v>2031</v>
      </c>
      <c r="B532" s="1">
        <v>479.01545161433188</v>
      </c>
      <c r="C532" s="1">
        <v>763.49240635729268</v>
      </c>
      <c r="D532" s="1">
        <v>950.64134028690887</v>
      </c>
      <c r="E532" s="1" t="s">
        <v>155</v>
      </c>
      <c r="F532" s="1">
        <v>5</v>
      </c>
    </row>
    <row r="533" spans="1:6" x14ac:dyDescent="0.35">
      <c r="A533" s="1">
        <v>2032</v>
      </c>
      <c r="B533" s="1">
        <v>351.11926646338628</v>
      </c>
      <c r="C533" s="1">
        <v>492.95658915240028</v>
      </c>
      <c r="D533" s="1">
        <v>837.98638113840889</v>
      </c>
      <c r="E533" s="1" t="s">
        <v>155</v>
      </c>
      <c r="F533" s="1">
        <v>5</v>
      </c>
    </row>
    <row r="534" spans="1:6" x14ac:dyDescent="0.35">
      <c r="A534" s="1">
        <v>2033</v>
      </c>
      <c r="B534" s="1">
        <v>360.00789301235602</v>
      </c>
      <c r="C534" s="1">
        <v>505.43584462010472</v>
      </c>
      <c r="D534" s="1">
        <v>859.20010737475764</v>
      </c>
      <c r="E534" s="1" t="s">
        <v>155</v>
      </c>
      <c r="F534" s="1">
        <v>5</v>
      </c>
    </row>
    <row r="535" spans="1:6" x14ac:dyDescent="0.35">
      <c r="A535" s="1">
        <v>2034</v>
      </c>
      <c r="B535" s="1">
        <v>369.12153621370942</v>
      </c>
      <c r="C535" s="1">
        <v>518.2310139440292</v>
      </c>
      <c r="D535" s="1">
        <v>880.95086164755185</v>
      </c>
      <c r="E535" s="1" t="s">
        <v>155</v>
      </c>
      <c r="F535" s="1">
        <v>5</v>
      </c>
    </row>
    <row r="536" spans="1:6" x14ac:dyDescent="0.35">
      <c r="A536" s="1">
        <v>2035</v>
      </c>
      <c r="B536" s="1">
        <v>360.00789301235591</v>
      </c>
      <c r="C536" s="1">
        <v>531.35009452151928</v>
      </c>
      <c r="D536" s="1">
        <v>903.25223888625908</v>
      </c>
      <c r="E536" s="1" t="s">
        <v>155</v>
      </c>
      <c r="F536" s="1">
        <v>5</v>
      </c>
    </row>
    <row r="537" spans="1:6" x14ac:dyDescent="0.35">
      <c r="A537" s="1">
        <v>2036</v>
      </c>
      <c r="B537" s="1">
        <v>378.46589239112183</v>
      </c>
      <c r="C537" s="1">
        <v>558.59299642714166</v>
      </c>
      <c r="D537" s="1">
        <v>949.56297147805606</v>
      </c>
      <c r="E537" s="1" t="s">
        <v>155</v>
      </c>
      <c r="F537" s="1">
        <v>5</v>
      </c>
    </row>
    <row r="538" spans="1:6" x14ac:dyDescent="0.35">
      <c r="A538" s="1">
        <v>2037</v>
      </c>
      <c r="B538" s="1">
        <v>244.631909640332</v>
      </c>
      <c r="C538" s="1">
        <v>437.15982886418169</v>
      </c>
      <c r="D538" s="1">
        <v>832.27849176674158</v>
      </c>
      <c r="E538" s="1" t="s">
        <v>155</v>
      </c>
      <c r="F538" s="1">
        <v>5</v>
      </c>
    </row>
    <row r="539" spans="1:6" x14ac:dyDescent="0.35">
      <c r="A539" s="1">
        <v>2038</v>
      </c>
      <c r="B539" s="1">
        <v>238.59192627063521</v>
      </c>
      <c r="C539" s="1">
        <v>448.22658262031712</v>
      </c>
      <c r="D539" s="1">
        <v>853.34772209570656</v>
      </c>
      <c r="E539" s="1" t="s">
        <v>155</v>
      </c>
      <c r="F539" s="1">
        <v>5</v>
      </c>
    </row>
    <row r="540" spans="1:6" x14ac:dyDescent="0.35">
      <c r="A540" s="1">
        <v>2039</v>
      </c>
      <c r="B540" s="1">
        <v>244.631909640332</v>
      </c>
      <c r="C540" s="1">
        <v>459.57349258160332</v>
      </c>
      <c r="D540" s="1">
        <v>832.27849176674158</v>
      </c>
      <c r="E540" s="1" t="s">
        <v>155</v>
      </c>
      <c r="F540" s="1">
        <v>5</v>
      </c>
    </row>
    <row r="541" spans="1:6" x14ac:dyDescent="0.35">
      <c r="A541" s="1">
        <v>2040</v>
      </c>
      <c r="B541" s="1">
        <v>246.335226470539</v>
      </c>
      <c r="C541" s="1">
        <v>463.03260812330382</v>
      </c>
      <c r="D541" s="1">
        <v>853.34772209570656</v>
      </c>
      <c r="E541" s="1" t="s">
        <v>155</v>
      </c>
      <c r="F541" s="1">
        <v>5</v>
      </c>
    </row>
    <row r="542" spans="1:6" x14ac:dyDescent="0.35">
      <c r="A542" s="1">
        <v>2041</v>
      </c>
      <c r="B542" s="1">
        <v>252.5712324180532</v>
      </c>
      <c r="C542" s="1">
        <v>474.75433440468578</v>
      </c>
      <c r="D542" s="1">
        <v>832.27849176674158</v>
      </c>
      <c r="E542" s="1" t="s">
        <v>155</v>
      </c>
      <c r="F542" s="1">
        <v>5</v>
      </c>
    </row>
    <row r="543" spans="1:6" x14ac:dyDescent="0.35">
      <c r="A543" s="1">
        <v>2042</v>
      </c>
      <c r="B543" s="1">
        <v>258.96510360771981</v>
      </c>
      <c r="C543" s="1">
        <v>486.77279759963551</v>
      </c>
      <c r="D543" s="1">
        <v>853.34772209570656</v>
      </c>
      <c r="E543" s="1" t="s">
        <v>155</v>
      </c>
      <c r="F543" s="1">
        <v>5</v>
      </c>
    </row>
    <row r="544" spans="1:6" x14ac:dyDescent="0.35">
      <c r="A544" s="1">
        <v>2043</v>
      </c>
      <c r="B544" s="1">
        <v>265.52083641717041</v>
      </c>
      <c r="C544" s="1">
        <v>499.09550963888358</v>
      </c>
      <c r="D544" s="1">
        <v>874.95032252980616</v>
      </c>
      <c r="E544" s="1" t="s">
        <v>155</v>
      </c>
      <c r="F544" s="1">
        <v>5</v>
      </c>
    </row>
    <row r="545" spans="1:6" x14ac:dyDescent="0.35">
      <c r="A545" s="1">
        <v>2044</v>
      </c>
      <c r="B545" s="1">
        <v>272.24252839281831</v>
      </c>
      <c r="C545" s="1">
        <v>511.7301726185932</v>
      </c>
      <c r="D545" s="1">
        <v>897.09979539753613</v>
      </c>
      <c r="E545" s="1" t="s">
        <v>155</v>
      </c>
      <c r="F545" s="1">
        <v>5</v>
      </c>
    </row>
    <row r="546" spans="1:6" x14ac:dyDescent="0.35">
      <c r="A546" s="1">
        <v>2045</v>
      </c>
      <c r="B546" s="1">
        <v>279.13438081095768</v>
      </c>
      <c r="C546" s="1">
        <v>524.68468361441967</v>
      </c>
      <c r="D546" s="1">
        <v>919.80998484046518</v>
      </c>
      <c r="E546" s="1" t="s">
        <v>155</v>
      </c>
      <c r="F546" s="1">
        <v>5</v>
      </c>
    </row>
    <row r="547" spans="1:6" x14ac:dyDescent="0.35">
      <c r="A547" s="1">
        <v>2046</v>
      </c>
      <c r="B547" s="1">
        <v>293.44590655137807</v>
      </c>
      <c r="C547" s="1">
        <v>588.43034524065513</v>
      </c>
      <c r="D547" s="1">
        <v>966.96965122084998</v>
      </c>
      <c r="E547" s="1" t="s">
        <v>155</v>
      </c>
      <c r="F547" s="1">
        <v>5</v>
      </c>
    </row>
    <row r="548" spans="1:6" x14ac:dyDescent="0.35">
      <c r="A548" s="1">
        <v>2047</v>
      </c>
      <c r="B548" s="1">
        <v>214.64944956029649</v>
      </c>
      <c r="C548" s="1">
        <v>417.48119415370792</v>
      </c>
      <c r="D548" s="1">
        <v>720.20263423144661</v>
      </c>
      <c r="E548" s="1" t="s">
        <v>155</v>
      </c>
      <c r="F548" s="1">
        <v>5</v>
      </c>
    </row>
    <row r="549" spans="1:6" x14ac:dyDescent="0.35">
      <c r="A549" s="1">
        <v>2048</v>
      </c>
      <c r="B549" s="1">
        <v>225.65476217576301</v>
      </c>
      <c r="C549" s="1">
        <v>471.69610748229769</v>
      </c>
      <c r="D549" s="1">
        <v>757.12821290139357</v>
      </c>
      <c r="E549" s="1" t="s">
        <v>155</v>
      </c>
      <c r="F549" s="1">
        <v>5</v>
      </c>
    </row>
    <row r="550" spans="1:6" x14ac:dyDescent="0.35">
      <c r="A550" s="1">
        <v>2049</v>
      </c>
      <c r="B550" s="1">
        <v>163.3988407331037</v>
      </c>
      <c r="C550" s="1">
        <v>303.24453786279679</v>
      </c>
      <c r="D550" s="1">
        <v>594.44624352024528</v>
      </c>
      <c r="E550" s="1" t="s">
        <v>155</v>
      </c>
      <c r="F550" s="1">
        <v>5</v>
      </c>
    </row>
    <row r="551" spans="1:6" x14ac:dyDescent="0.35">
      <c r="A551" s="1">
        <v>2050</v>
      </c>
      <c r="B551" s="1">
        <v>167.5353020798141</v>
      </c>
      <c r="C551" s="1">
        <v>310.92120988716829</v>
      </c>
      <c r="D551" s="1">
        <v>609.49472182025431</v>
      </c>
      <c r="E551" s="1" t="s">
        <v>155</v>
      </c>
      <c r="F551" s="1">
        <v>5</v>
      </c>
    </row>
    <row r="552" spans="1:6" x14ac:dyDescent="0.35">
      <c r="A552" s="1">
        <v>2026</v>
      </c>
      <c r="B552" s="1">
        <v>702.69971785141729</v>
      </c>
      <c r="C552" s="1">
        <v>702.69971785141729</v>
      </c>
      <c r="D552" s="1">
        <v>702.69971785141729</v>
      </c>
      <c r="E552" s="1" t="s">
        <v>156</v>
      </c>
      <c r="F552" s="1">
        <v>5</v>
      </c>
    </row>
    <row r="553" spans="1:6" x14ac:dyDescent="0.35">
      <c r="A553" s="1">
        <v>2027</v>
      </c>
      <c r="B553" s="1">
        <v>685.34999999999991</v>
      </c>
      <c r="C553" s="1">
        <v>720.48864590130802</v>
      </c>
      <c r="D553" s="1">
        <v>685.34999999999991</v>
      </c>
      <c r="E553" s="1" t="s">
        <v>156</v>
      </c>
      <c r="F553" s="1">
        <v>5</v>
      </c>
    </row>
    <row r="554" spans="1:6" x14ac:dyDescent="0.35">
      <c r="A554" s="1">
        <v>2028</v>
      </c>
      <c r="B554" s="1">
        <v>702.69971785141718</v>
      </c>
      <c r="C554" s="1">
        <v>738.72790280878223</v>
      </c>
      <c r="D554" s="1">
        <v>702.69971785141718</v>
      </c>
      <c r="E554" s="1" t="s">
        <v>156</v>
      </c>
      <c r="F554" s="1">
        <v>5</v>
      </c>
    </row>
    <row r="555" spans="1:6" x14ac:dyDescent="0.35">
      <c r="A555" s="1">
        <v>2029</v>
      </c>
      <c r="B555" s="1">
        <v>720.4886459013079</v>
      </c>
      <c r="C555" s="1">
        <v>757.42888870314516</v>
      </c>
      <c r="D555" s="1">
        <v>720.4886459013079</v>
      </c>
      <c r="E555" s="1" t="s">
        <v>156</v>
      </c>
      <c r="F555" s="1">
        <v>5</v>
      </c>
    </row>
    <row r="556" spans="1:6" x14ac:dyDescent="0.35">
      <c r="A556" s="1">
        <v>2030</v>
      </c>
      <c r="B556" s="1">
        <v>757.42888870314493</v>
      </c>
      <c r="C556" s="1">
        <v>826.59938616872796</v>
      </c>
      <c r="D556" s="1">
        <v>1026.697812495674</v>
      </c>
      <c r="E556" s="1" t="s">
        <v>156</v>
      </c>
      <c r="F556" s="1">
        <v>5</v>
      </c>
    </row>
    <row r="557" spans="1:6" x14ac:dyDescent="0.35">
      <c r="A557" s="1">
        <v>2031</v>
      </c>
      <c r="B557" s="1">
        <v>468.95706042281711</v>
      </c>
      <c r="C557" s="1">
        <v>622.84405099583535</v>
      </c>
      <c r="D557" s="1">
        <v>823.48368917474227</v>
      </c>
      <c r="E557" s="1" t="s">
        <v>156</v>
      </c>
      <c r="F557" s="1">
        <v>5</v>
      </c>
    </row>
    <row r="558" spans="1:6" x14ac:dyDescent="0.35">
      <c r="A558" s="1">
        <v>2032</v>
      </c>
      <c r="B558" s="1">
        <v>457.37846934604318</v>
      </c>
      <c r="C558" s="1">
        <v>607.46597658411849</v>
      </c>
      <c r="D558" s="1">
        <v>844.33027801610217</v>
      </c>
      <c r="E558" s="1" t="s">
        <v>156</v>
      </c>
      <c r="F558" s="1">
        <v>5</v>
      </c>
    </row>
    <row r="559" spans="1:6" x14ac:dyDescent="0.35">
      <c r="A559" s="1">
        <v>2033</v>
      </c>
      <c r="B559" s="1">
        <v>468.95706042281711</v>
      </c>
      <c r="C559" s="1">
        <v>622.84405099583535</v>
      </c>
      <c r="D559" s="1">
        <v>865.70460076650431</v>
      </c>
      <c r="E559" s="1" t="s">
        <v>156</v>
      </c>
      <c r="F559" s="1">
        <v>5</v>
      </c>
    </row>
    <row r="560" spans="1:6" x14ac:dyDescent="0.35">
      <c r="A560" s="1">
        <v>2034</v>
      </c>
      <c r="B560" s="1">
        <v>480.82876492820259</v>
      </c>
      <c r="C560" s="1">
        <v>638.61142321471846</v>
      </c>
      <c r="D560" s="1">
        <v>887.62001707346099</v>
      </c>
      <c r="E560" s="1" t="s">
        <v>156</v>
      </c>
      <c r="F560" s="1">
        <v>5</v>
      </c>
    </row>
    <row r="561" spans="1:6" x14ac:dyDescent="0.35">
      <c r="A561" s="1">
        <v>2035</v>
      </c>
      <c r="B561" s="1">
        <v>493.00100306397229</v>
      </c>
      <c r="C561" s="1">
        <v>654.77794836167607</v>
      </c>
      <c r="D561" s="1">
        <v>910.09022478557119</v>
      </c>
      <c r="E561" s="1" t="s">
        <v>156</v>
      </c>
      <c r="F561" s="1">
        <v>5</v>
      </c>
    </row>
    <row r="562" spans="1:6" x14ac:dyDescent="0.35">
      <c r="A562" s="1">
        <v>2036</v>
      </c>
      <c r="B562" s="1">
        <v>505.48138287520112</v>
      </c>
      <c r="C562" s="1">
        <v>671.35373104119014</v>
      </c>
      <c r="D562" s="1">
        <v>887.62001707346087</v>
      </c>
      <c r="E562" s="1" t="s">
        <v>156</v>
      </c>
      <c r="F562" s="1">
        <v>5</v>
      </c>
    </row>
    <row r="563" spans="1:6" x14ac:dyDescent="0.35">
      <c r="A563" s="1">
        <v>2037</v>
      </c>
      <c r="B563" s="1">
        <v>531.3979675728815</v>
      </c>
      <c r="C563" s="1">
        <v>705.77477288780642</v>
      </c>
      <c r="D563" s="1">
        <v>933.12926851412249</v>
      </c>
      <c r="E563" s="1" t="s">
        <v>156</v>
      </c>
      <c r="F563" s="1">
        <v>5</v>
      </c>
    </row>
    <row r="564" spans="1:6" x14ac:dyDescent="0.35">
      <c r="A564" s="1">
        <v>2038</v>
      </c>
      <c r="B564" s="1">
        <v>352.56245946627791</v>
      </c>
      <c r="C564" s="1">
        <v>546.43673879681342</v>
      </c>
      <c r="D564" s="1">
        <v>914.65207102124589</v>
      </c>
      <c r="E564" s="1" t="s">
        <v>156</v>
      </c>
      <c r="F564" s="1">
        <v>5</v>
      </c>
    </row>
    <row r="565" spans="1:6" x14ac:dyDescent="0.35">
      <c r="A565" s="1">
        <v>2039</v>
      </c>
      <c r="B565" s="1">
        <v>361.48762062005579</v>
      </c>
      <c r="C565" s="1">
        <v>532.94516764496905</v>
      </c>
      <c r="D565" s="1">
        <v>917.44637348733136</v>
      </c>
      <c r="E565" s="1" t="s">
        <v>156</v>
      </c>
      <c r="F565" s="1">
        <v>5</v>
      </c>
    </row>
    <row r="566" spans="1:6" x14ac:dyDescent="0.35">
      <c r="A566" s="1">
        <v>2040</v>
      </c>
      <c r="B566" s="1">
        <v>370.63872330414148</v>
      </c>
      <c r="C566" s="1">
        <v>546.43673879681342</v>
      </c>
      <c r="D566" s="1">
        <v>940.6716390068633</v>
      </c>
      <c r="E566" s="1" t="s">
        <v>156</v>
      </c>
      <c r="F566" s="1">
        <v>5</v>
      </c>
    </row>
    <row r="567" spans="1:6" x14ac:dyDescent="0.35">
      <c r="A567" s="1">
        <v>2041</v>
      </c>
      <c r="B567" s="1">
        <v>380.0214872556063</v>
      </c>
      <c r="C567" s="1">
        <v>560.26985069843056</v>
      </c>
      <c r="D567" s="1">
        <v>964.48485492223404</v>
      </c>
      <c r="E567" s="1" t="s">
        <v>156</v>
      </c>
      <c r="F567" s="1">
        <v>5</v>
      </c>
    </row>
    <row r="568" spans="1:6" x14ac:dyDescent="0.35">
      <c r="A568" s="1">
        <v>2042</v>
      </c>
      <c r="B568" s="1">
        <v>370.63872330414148</v>
      </c>
      <c r="C568" s="1">
        <v>574.45314949506508</v>
      </c>
      <c r="D568" s="1">
        <v>988.90090526857671</v>
      </c>
      <c r="E568" s="1" t="s">
        <v>156</v>
      </c>
      <c r="F568" s="1">
        <v>5</v>
      </c>
    </row>
    <row r="569" spans="1:6" x14ac:dyDescent="0.35">
      <c r="A569" s="1">
        <v>2043</v>
      </c>
      <c r="B569" s="1">
        <v>380.0214872556063</v>
      </c>
      <c r="C569" s="1">
        <v>588.99550021017035</v>
      </c>
      <c r="D569" s="1">
        <v>964.48485492223404</v>
      </c>
      <c r="E569" s="1" t="s">
        <v>156</v>
      </c>
      <c r="F569" s="1">
        <v>5</v>
      </c>
    </row>
    <row r="570" spans="1:6" x14ac:dyDescent="0.35">
      <c r="A570" s="1">
        <v>2044</v>
      </c>
      <c r="B570" s="1">
        <v>389.64177700735468</v>
      </c>
      <c r="C570" s="1">
        <v>574.45314949506496</v>
      </c>
      <c r="D570" s="1">
        <v>988.90090526857671</v>
      </c>
      <c r="E570" s="1" t="s">
        <v>156</v>
      </c>
      <c r="F570" s="1">
        <v>5</v>
      </c>
    </row>
    <row r="571" spans="1:6" x14ac:dyDescent="0.35">
      <c r="A571" s="1">
        <v>2045</v>
      </c>
      <c r="B571" s="1">
        <v>409.61913810842412</v>
      </c>
      <c r="C571" s="1">
        <v>694.39936734538844</v>
      </c>
      <c r="D571" s="1">
        <v>1077.663567563749</v>
      </c>
      <c r="E571" s="1" t="s">
        <v>156</v>
      </c>
      <c r="F571" s="1">
        <v>5</v>
      </c>
    </row>
    <row r="572" spans="1:6" x14ac:dyDescent="0.35">
      <c r="A572" s="1">
        <v>2046</v>
      </c>
      <c r="B572" s="1">
        <v>267.77066522402413</v>
      </c>
      <c r="C572" s="1">
        <v>519.34415167887232</v>
      </c>
      <c r="D572" s="1">
        <v>982.70098025639925</v>
      </c>
      <c r="E572" s="1" t="s">
        <v>156</v>
      </c>
      <c r="F572" s="1">
        <v>5</v>
      </c>
    </row>
    <row r="573" spans="1:6" x14ac:dyDescent="0.35">
      <c r="A573" s="1">
        <v>2047</v>
      </c>
      <c r="B573" s="1">
        <v>281.49956080739707</v>
      </c>
      <c r="C573" s="1">
        <v>545.97149573192428</v>
      </c>
      <c r="D573" s="1">
        <v>1033.085136923939</v>
      </c>
      <c r="E573" s="1" t="s">
        <v>156</v>
      </c>
      <c r="F573" s="1">
        <v>5</v>
      </c>
    </row>
    <row r="574" spans="1:6" x14ac:dyDescent="0.35">
      <c r="A574" s="1">
        <v>2048</v>
      </c>
      <c r="B574" s="1">
        <v>199.32939910993949</v>
      </c>
      <c r="C574" s="1">
        <v>469.27059132307551</v>
      </c>
      <c r="D574" s="1">
        <v>823.08855888066785</v>
      </c>
      <c r="E574" s="1" t="s">
        <v>156</v>
      </c>
      <c r="F574" s="1">
        <v>5</v>
      </c>
    </row>
    <row r="575" spans="1:6" x14ac:dyDescent="0.35">
      <c r="A575" s="1">
        <v>2049</v>
      </c>
      <c r="B575" s="1">
        <v>204.37544687246961</v>
      </c>
      <c r="C575" s="1">
        <v>481.15023290098918</v>
      </c>
      <c r="D575" s="1">
        <v>843.92514495101045</v>
      </c>
      <c r="E575" s="1" t="s">
        <v>156</v>
      </c>
      <c r="F575" s="1">
        <v>5</v>
      </c>
    </row>
    <row r="576" spans="1:6" x14ac:dyDescent="0.35">
      <c r="A576" s="1">
        <v>2050</v>
      </c>
      <c r="B576" s="1">
        <v>214.85400010596089</v>
      </c>
      <c r="C576" s="1">
        <v>505.81933286340222</v>
      </c>
      <c r="D576" s="1">
        <v>932.11338254239786</v>
      </c>
      <c r="E576" s="1" t="s">
        <v>156</v>
      </c>
      <c r="F576" s="1">
        <v>5</v>
      </c>
    </row>
    <row r="577" spans="1:6" x14ac:dyDescent="0.35">
      <c r="A577" s="1">
        <v>2026</v>
      </c>
      <c r="B577" s="1">
        <v>668.4286482086178</v>
      </c>
      <c r="C577" s="1">
        <v>702.69971785141729</v>
      </c>
      <c r="D577" s="1">
        <v>702.69971785141729</v>
      </c>
      <c r="E577" s="1" t="s">
        <v>157</v>
      </c>
      <c r="F577" s="1">
        <v>5</v>
      </c>
    </row>
    <row r="578" spans="1:6" x14ac:dyDescent="0.35">
      <c r="A578" s="1">
        <v>2027</v>
      </c>
      <c r="B578" s="1">
        <v>685.35</v>
      </c>
      <c r="C578" s="1">
        <v>720.48864590130802</v>
      </c>
      <c r="D578" s="1">
        <v>720.48864590130802</v>
      </c>
      <c r="E578" s="1" t="s">
        <v>157</v>
      </c>
      <c r="F578" s="1">
        <v>5</v>
      </c>
    </row>
    <row r="579" spans="1:6" x14ac:dyDescent="0.35">
      <c r="A579" s="1">
        <v>2028</v>
      </c>
      <c r="B579" s="1">
        <v>702.69971785141729</v>
      </c>
      <c r="C579" s="1">
        <v>738.72790280878223</v>
      </c>
      <c r="D579" s="1">
        <v>738.72790280878223</v>
      </c>
      <c r="E579" s="1" t="s">
        <v>157</v>
      </c>
      <c r="F579" s="1">
        <v>5</v>
      </c>
    </row>
    <row r="580" spans="1:6" x14ac:dyDescent="0.35">
      <c r="A580" s="1">
        <v>2029</v>
      </c>
      <c r="B580" s="1">
        <v>720.48864590130802</v>
      </c>
      <c r="C580" s="1">
        <v>757.42888870314516</v>
      </c>
      <c r="D580" s="1">
        <v>757.42888870314516</v>
      </c>
      <c r="E580" s="1" t="s">
        <v>157</v>
      </c>
      <c r="F580" s="1">
        <v>5</v>
      </c>
    </row>
    <row r="581" spans="1:6" x14ac:dyDescent="0.35">
      <c r="A581" s="1">
        <v>2030</v>
      </c>
      <c r="B581" s="1">
        <v>738.72790280878223</v>
      </c>
      <c r="C581" s="1">
        <v>776.60329230934951</v>
      </c>
      <c r="D581" s="1">
        <v>776.60329230934951</v>
      </c>
      <c r="E581" s="1" t="s">
        <v>157</v>
      </c>
      <c r="F581" s="1">
        <v>5</v>
      </c>
    </row>
    <row r="582" spans="1:6" x14ac:dyDescent="0.35">
      <c r="A582" s="1">
        <v>2031</v>
      </c>
      <c r="B582" s="1">
        <v>720.48864590130802</v>
      </c>
      <c r="C582" s="1">
        <v>757.42888870314516</v>
      </c>
      <c r="D582" s="1">
        <v>796.26309825382896</v>
      </c>
      <c r="E582" s="1" t="s">
        <v>157</v>
      </c>
      <c r="F582" s="1">
        <v>5</v>
      </c>
    </row>
    <row r="583" spans="1:6" x14ac:dyDescent="0.35">
      <c r="A583" s="1">
        <v>2032</v>
      </c>
      <c r="B583" s="1">
        <v>757.42888870314505</v>
      </c>
      <c r="C583" s="1">
        <v>796.26309825382896</v>
      </c>
      <c r="D583" s="1">
        <v>837.08838030507263</v>
      </c>
      <c r="E583" s="1" t="s">
        <v>157</v>
      </c>
      <c r="F583" s="1">
        <v>5</v>
      </c>
    </row>
    <row r="584" spans="1:6" x14ac:dyDescent="0.35">
      <c r="A584" s="1">
        <v>2033</v>
      </c>
      <c r="B584" s="1">
        <v>496.9538142171067</v>
      </c>
      <c r="C584" s="1">
        <v>636.68333116989618</v>
      </c>
      <c r="D584" s="1">
        <v>820.51291981553277</v>
      </c>
      <c r="E584" s="1" t="s">
        <v>157</v>
      </c>
      <c r="F584" s="1">
        <v>5</v>
      </c>
    </row>
    <row r="585" spans="1:6" x14ac:dyDescent="0.35">
      <c r="A585" s="1">
        <v>2034</v>
      </c>
      <c r="B585" s="1">
        <v>484.68398082623071</v>
      </c>
      <c r="C585" s="1">
        <v>652.80104643435698</v>
      </c>
      <c r="D585" s="1">
        <v>841.28430327251397</v>
      </c>
      <c r="E585" s="1" t="s">
        <v>157</v>
      </c>
      <c r="F585" s="1">
        <v>5</v>
      </c>
    </row>
    <row r="586" spans="1:6" x14ac:dyDescent="0.35">
      <c r="A586" s="1">
        <v>2035</v>
      </c>
      <c r="B586" s="1">
        <v>509.53425991908739</v>
      </c>
      <c r="C586" s="1">
        <v>686.27087180046226</v>
      </c>
      <c r="D586" s="1">
        <v>1060.1264490530571</v>
      </c>
      <c r="E586" s="1" t="s">
        <v>157</v>
      </c>
      <c r="F586" s="1">
        <v>5</v>
      </c>
    </row>
    <row r="587" spans="1:6" x14ac:dyDescent="0.35">
      <c r="A587" s="1">
        <v>2036</v>
      </c>
      <c r="B587" s="1">
        <v>302.17089161740688</v>
      </c>
      <c r="C587" s="1">
        <v>510.26243896876218</v>
      </c>
      <c r="D587" s="1">
        <v>924.08531093891349</v>
      </c>
      <c r="E587" s="1" t="s">
        <v>157</v>
      </c>
      <c r="F587" s="1">
        <v>5</v>
      </c>
    </row>
    <row r="588" spans="1:6" x14ac:dyDescent="0.35">
      <c r="A588" s="1">
        <v>2037</v>
      </c>
      <c r="B588" s="1">
        <v>309.82038415767568</v>
      </c>
      <c r="C588" s="1">
        <v>523.17979411034548</v>
      </c>
      <c r="D588" s="1">
        <v>947.47864196018645</v>
      </c>
      <c r="E588" s="1" t="s">
        <v>157</v>
      </c>
      <c r="F588" s="1">
        <v>5</v>
      </c>
    </row>
    <row r="589" spans="1:6" x14ac:dyDescent="0.35">
      <c r="A589" s="1">
        <v>2038</v>
      </c>
      <c r="B589" s="1">
        <v>317.66352452355221</v>
      </c>
      <c r="C589" s="1">
        <v>536.42415365419481</v>
      </c>
      <c r="D589" s="1">
        <v>924.08531093891349</v>
      </c>
      <c r="E589" s="1" t="s">
        <v>157</v>
      </c>
      <c r="F589" s="1">
        <v>5</v>
      </c>
    </row>
    <row r="590" spans="1:6" x14ac:dyDescent="0.35">
      <c r="A590" s="1">
        <v>2039</v>
      </c>
      <c r="B590" s="1">
        <v>333.95048170454669</v>
      </c>
      <c r="C590" s="1">
        <v>563.9272081346262</v>
      </c>
      <c r="D590" s="1">
        <v>971.46417797573076</v>
      </c>
      <c r="E590" s="1" t="s">
        <v>157</v>
      </c>
      <c r="F590" s="1">
        <v>5</v>
      </c>
    </row>
    <row r="591" spans="1:6" x14ac:dyDescent="0.35">
      <c r="A591" s="1">
        <v>2040</v>
      </c>
      <c r="B591" s="1">
        <v>256.91897667259121</v>
      </c>
      <c r="C591" s="1">
        <v>489.20708111862109</v>
      </c>
      <c r="D591" s="1">
        <v>766.35363882020465</v>
      </c>
      <c r="E591" s="1" t="s">
        <v>157</v>
      </c>
      <c r="F591" s="1">
        <v>5</v>
      </c>
    </row>
    <row r="592" spans="1:6" x14ac:dyDescent="0.35">
      <c r="A592" s="1">
        <v>2041</v>
      </c>
      <c r="B592" s="1">
        <v>250.57562453695411</v>
      </c>
      <c r="C592" s="1">
        <v>501.59141733854301</v>
      </c>
      <c r="D592" s="1">
        <v>785.75397355127279</v>
      </c>
      <c r="E592" s="1" t="s">
        <v>157</v>
      </c>
      <c r="F592" s="1">
        <v>5</v>
      </c>
    </row>
    <row r="593" spans="1:6" x14ac:dyDescent="0.35">
      <c r="A593" s="1">
        <v>2042</v>
      </c>
      <c r="B593" s="1">
        <v>315.14775226750339</v>
      </c>
      <c r="C593" s="1">
        <v>527.30855923829404</v>
      </c>
      <c r="D593" s="1">
        <v>826.040441257064</v>
      </c>
      <c r="E593" s="1" t="s">
        <v>157</v>
      </c>
      <c r="F593" s="1">
        <v>5</v>
      </c>
    </row>
    <row r="594" spans="1:6" x14ac:dyDescent="0.35">
      <c r="A594" s="1">
        <v>2043</v>
      </c>
      <c r="B594" s="1">
        <v>207.32596067499631</v>
      </c>
      <c r="C594" s="1">
        <v>397.30884593805388</v>
      </c>
      <c r="D594" s="1">
        <v>767.73788815728665</v>
      </c>
      <c r="E594" s="1" t="s">
        <v>157</v>
      </c>
      <c r="F594" s="1">
        <v>5</v>
      </c>
    </row>
    <row r="595" spans="1:6" x14ac:dyDescent="0.35">
      <c r="A595" s="1">
        <v>2044</v>
      </c>
      <c r="B595" s="1">
        <v>217.9557899860159</v>
      </c>
      <c r="C595" s="1">
        <v>417.67930606919077</v>
      </c>
      <c r="D595" s="1">
        <v>807.10065141252414</v>
      </c>
      <c r="E595" s="1" t="s">
        <v>157</v>
      </c>
      <c r="F595" s="1">
        <v>5</v>
      </c>
    </row>
    <row r="596" spans="1:6" x14ac:dyDescent="0.35">
      <c r="A596" s="1">
        <v>2045</v>
      </c>
      <c r="B596" s="1">
        <v>154.8071954206909</v>
      </c>
      <c r="C596" s="1">
        <v>289.11015950795758</v>
      </c>
      <c r="D596" s="1">
        <v>733.50256591739878</v>
      </c>
      <c r="E596" s="1" t="s">
        <v>157</v>
      </c>
      <c r="F596" s="1">
        <v>5</v>
      </c>
    </row>
    <row r="597" spans="1:6" x14ac:dyDescent="0.35">
      <c r="A597" s="1">
        <v>2046</v>
      </c>
      <c r="B597" s="1">
        <v>158.72615823081449</v>
      </c>
      <c r="C597" s="1">
        <v>296.42901804073841</v>
      </c>
      <c r="D597" s="1">
        <v>715.3923230374545</v>
      </c>
      <c r="E597" s="1" t="s">
        <v>157</v>
      </c>
      <c r="F597" s="1">
        <v>5</v>
      </c>
    </row>
    <row r="598" spans="1:6" x14ac:dyDescent="0.35">
      <c r="A598" s="1">
        <v>2047</v>
      </c>
      <c r="B598" s="1">
        <v>162.74433005680709</v>
      </c>
      <c r="C598" s="1">
        <v>303.9331543593778</v>
      </c>
      <c r="D598" s="1">
        <v>697.7292236474043</v>
      </c>
      <c r="E598" s="1" t="s">
        <v>157</v>
      </c>
      <c r="F598" s="1">
        <v>5</v>
      </c>
    </row>
    <row r="599" spans="1:6" x14ac:dyDescent="0.35">
      <c r="A599" s="1">
        <v>2048</v>
      </c>
      <c r="B599" s="1">
        <v>166.86422238686271</v>
      </c>
      <c r="C599" s="1">
        <v>311.62725879335528</v>
      </c>
      <c r="D599" s="1">
        <v>715.3923230374545</v>
      </c>
      <c r="E599" s="1" t="s">
        <v>157</v>
      </c>
      <c r="F599" s="1">
        <v>5</v>
      </c>
    </row>
    <row r="600" spans="1:6" x14ac:dyDescent="0.35">
      <c r="A600" s="1">
        <v>2049</v>
      </c>
      <c r="B600" s="1">
        <v>171.0884102878012</v>
      </c>
      <c r="C600" s="1">
        <v>319.51614040840639</v>
      </c>
      <c r="D600" s="1">
        <v>733.50256591739878</v>
      </c>
      <c r="E600" s="1" t="s">
        <v>157</v>
      </c>
      <c r="F600" s="1">
        <v>5</v>
      </c>
    </row>
    <row r="601" spans="1:6" x14ac:dyDescent="0.35">
      <c r="A601" s="1">
        <v>2050</v>
      </c>
      <c r="B601" s="1">
        <v>166.86422238686259</v>
      </c>
      <c r="C601" s="1">
        <v>311.62725879335528</v>
      </c>
      <c r="D601" s="1">
        <v>752.07127177857558</v>
      </c>
      <c r="E601" s="1" t="s">
        <v>157</v>
      </c>
      <c r="F601" s="1">
        <v>5</v>
      </c>
    </row>
    <row r="602" spans="1:6" x14ac:dyDescent="0.35">
      <c r="A602" s="1">
        <v>2026</v>
      </c>
      <c r="B602" s="1">
        <v>702.69971785141729</v>
      </c>
      <c r="C602" s="1">
        <v>702.69971785141729</v>
      </c>
      <c r="D602" s="1">
        <v>702.69971785141729</v>
      </c>
      <c r="E602" s="1" t="s">
        <v>158</v>
      </c>
      <c r="F602" s="1">
        <v>5</v>
      </c>
    </row>
    <row r="603" spans="1:6" x14ac:dyDescent="0.35">
      <c r="A603" s="1">
        <v>2027</v>
      </c>
      <c r="B603" s="1">
        <v>738.72790280878223</v>
      </c>
      <c r="C603" s="1">
        <v>738.72790280878223</v>
      </c>
      <c r="D603" s="1">
        <v>862.15846699379745</v>
      </c>
      <c r="E603" s="1" t="s">
        <v>158</v>
      </c>
      <c r="F603" s="1">
        <v>5</v>
      </c>
    </row>
    <row r="604" spans="1:6" x14ac:dyDescent="0.35">
      <c r="A604" s="1">
        <v>2028</v>
      </c>
      <c r="B604" s="1">
        <v>425.84276001902668</v>
      </c>
      <c r="C604" s="1">
        <v>581.32612480442981</v>
      </c>
      <c r="D604" s="1">
        <v>738.12112539693078</v>
      </c>
      <c r="E604" s="1" t="s">
        <v>158</v>
      </c>
      <c r="F604" s="1">
        <v>5</v>
      </c>
    </row>
    <row r="605" spans="1:6" x14ac:dyDescent="0.35">
      <c r="A605" s="1">
        <v>2029</v>
      </c>
      <c r="B605" s="1">
        <v>436.62302081336378</v>
      </c>
      <c r="C605" s="1">
        <v>596.04246571785313</v>
      </c>
      <c r="D605" s="1">
        <v>756.80675064798118</v>
      </c>
      <c r="E605" s="1" t="s">
        <v>158</v>
      </c>
      <c r="F605" s="1">
        <v>5</v>
      </c>
    </row>
    <row r="606" spans="1:6" x14ac:dyDescent="0.35">
      <c r="A606" s="1">
        <v>2030</v>
      </c>
      <c r="B606" s="1">
        <v>447.6761852089943</v>
      </c>
      <c r="C606" s="1">
        <v>611.13135257517831</v>
      </c>
      <c r="D606" s="1">
        <v>775.96540475433619</v>
      </c>
      <c r="E606" s="1" t="s">
        <v>158</v>
      </c>
      <c r="F606" s="1">
        <v>5</v>
      </c>
    </row>
    <row r="607" spans="1:6" x14ac:dyDescent="0.35">
      <c r="A607" s="1">
        <v>2031</v>
      </c>
      <c r="B607" s="1">
        <v>436.62302081336378</v>
      </c>
      <c r="C607" s="1">
        <v>626.60221642187616</v>
      </c>
      <c r="D607" s="1">
        <v>767.87720597577299</v>
      </c>
      <c r="E607" s="1" t="s">
        <v>158</v>
      </c>
      <c r="F607" s="1">
        <v>5</v>
      </c>
    </row>
    <row r="608" spans="1:6" x14ac:dyDescent="0.35">
      <c r="A608" s="1">
        <v>2032</v>
      </c>
      <c r="B608" s="1">
        <v>447.6761852089943</v>
      </c>
      <c r="C608" s="1">
        <v>642.46472705147016</v>
      </c>
      <c r="D608" s="1">
        <v>787.31610999301142</v>
      </c>
      <c r="E608" s="1" t="s">
        <v>158</v>
      </c>
      <c r="F608" s="1">
        <v>5</v>
      </c>
    </row>
    <row r="609" spans="1:6" x14ac:dyDescent="0.35">
      <c r="A609" s="1">
        <v>2033</v>
      </c>
      <c r="B609" s="1">
        <v>470.62903404609551</v>
      </c>
      <c r="C609" s="1">
        <v>713.2090194940962</v>
      </c>
      <c r="D609" s="1">
        <v>1129.0196378566029</v>
      </c>
      <c r="E609" s="1" t="s">
        <v>158</v>
      </c>
      <c r="F609" s="1">
        <v>5</v>
      </c>
    </row>
    <row r="610" spans="1:6" x14ac:dyDescent="0.35">
      <c r="A610" s="1">
        <v>2034</v>
      </c>
      <c r="B610" s="1">
        <v>308.18362030116822</v>
      </c>
      <c r="C610" s="1">
        <v>475.93584695603778</v>
      </c>
      <c r="D610" s="1">
        <v>773.7535535777223</v>
      </c>
      <c r="E610" s="1" t="s">
        <v>158</v>
      </c>
      <c r="F610" s="1">
        <v>5</v>
      </c>
    </row>
    <row r="611" spans="1:6" x14ac:dyDescent="0.35">
      <c r="A611" s="1">
        <v>2035</v>
      </c>
      <c r="B611" s="1">
        <v>315.98532579274712</v>
      </c>
      <c r="C611" s="1">
        <v>487.98422028362609</v>
      </c>
      <c r="D611" s="1">
        <v>754.64951027149812</v>
      </c>
      <c r="E611" s="1" t="s">
        <v>158</v>
      </c>
      <c r="F611" s="1">
        <v>5</v>
      </c>
    </row>
    <row r="612" spans="1:6" x14ac:dyDescent="0.35">
      <c r="A612" s="1">
        <v>2036</v>
      </c>
      <c r="B612" s="1">
        <v>323.98453239914141</v>
      </c>
      <c r="C612" s="1">
        <v>500.33759963412552</v>
      </c>
      <c r="D612" s="1">
        <v>773.7535535777223</v>
      </c>
      <c r="E612" s="1" t="s">
        <v>158</v>
      </c>
      <c r="F612" s="1">
        <v>5</v>
      </c>
    </row>
    <row r="613" spans="1:6" x14ac:dyDescent="0.35">
      <c r="A613" s="1">
        <v>2037</v>
      </c>
      <c r="B613" s="1">
        <v>315.98532579274712</v>
      </c>
      <c r="C613" s="1">
        <v>513.00370627176687</v>
      </c>
      <c r="D613" s="1">
        <v>793.34121804274741</v>
      </c>
      <c r="E613" s="1" t="s">
        <v>158</v>
      </c>
      <c r="F613" s="1">
        <v>5</v>
      </c>
    </row>
    <row r="614" spans="1:6" x14ac:dyDescent="0.35">
      <c r="A614" s="1">
        <v>2038</v>
      </c>
      <c r="B614" s="1">
        <v>358.72624950996573</v>
      </c>
      <c r="C614" s="1">
        <v>539.30596873728416</v>
      </c>
      <c r="D614" s="1">
        <v>1158.8350272100779</v>
      </c>
      <c r="E614" s="1" t="s">
        <v>158</v>
      </c>
      <c r="F614" s="1">
        <v>5</v>
      </c>
    </row>
    <row r="615" spans="1:6" x14ac:dyDescent="0.35">
      <c r="A615" s="1">
        <v>2039</v>
      </c>
      <c r="B615" s="1">
        <v>284.75348192498149</v>
      </c>
      <c r="C615" s="1">
        <v>452.14766017325542</v>
      </c>
      <c r="D615" s="1">
        <v>815.20381944661779</v>
      </c>
      <c r="E615" s="1" t="s">
        <v>158</v>
      </c>
      <c r="F615" s="1">
        <v>5</v>
      </c>
    </row>
    <row r="616" spans="1:6" x14ac:dyDescent="0.35">
      <c r="A616" s="1">
        <v>2040</v>
      </c>
      <c r="B616" s="1">
        <v>299.35310514016572</v>
      </c>
      <c r="C616" s="1">
        <v>560.93951694329257</v>
      </c>
      <c r="D616" s="1">
        <v>857.00021303956828</v>
      </c>
      <c r="E616" s="1" t="s">
        <v>158</v>
      </c>
      <c r="F616" s="1">
        <v>5</v>
      </c>
    </row>
    <row r="617" spans="1:6" x14ac:dyDescent="0.35">
      <c r="A617" s="1">
        <v>2041</v>
      </c>
      <c r="B617" s="1">
        <v>194.2598172067722</v>
      </c>
      <c r="C617" s="1">
        <v>383.18519789574867</v>
      </c>
      <c r="D617" s="1">
        <v>740.82360891856547</v>
      </c>
      <c r="E617" s="1" t="s">
        <v>158</v>
      </c>
      <c r="F617" s="1">
        <v>5</v>
      </c>
    </row>
    <row r="618" spans="1:6" x14ac:dyDescent="0.35">
      <c r="A618" s="1">
        <v>2042</v>
      </c>
      <c r="B618" s="1">
        <v>199.17752789241521</v>
      </c>
      <c r="C618" s="1">
        <v>392.88557736365669</v>
      </c>
      <c r="D618" s="1">
        <v>759.57764786568134</v>
      </c>
      <c r="E618" s="1" t="s">
        <v>158</v>
      </c>
      <c r="F618" s="1">
        <v>5</v>
      </c>
    </row>
    <row r="619" spans="1:6" x14ac:dyDescent="0.35">
      <c r="A619" s="1">
        <v>2043</v>
      </c>
      <c r="B619" s="1">
        <v>204.21973101676949</v>
      </c>
      <c r="C619" s="1">
        <v>402.83152310692748</v>
      </c>
      <c r="D619" s="1">
        <v>778.80644756906327</v>
      </c>
      <c r="E619" s="1" t="s">
        <v>158</v>
      </c>
      <c r="F619" s="1">
        <v>5</v>
      </c>
    </row>
    <row r="620" spans="1:6" x14ac:dyDescent="0.35">
      <c r="A620" s="1">
        <v>2044</v>
      </c>
      <c r="B620" s="1">
        <v>205.6074265908274</v>
      </c>
      <c r="C620" s="1">
        <v>413.0292516654186</v>
      </c>
      <c r="D620" s="1">
        <v>798.52202665447635</v>
      </c>
      <c r="E620" s="1" t="s">
        <v>158</v>
      </c>
      <c r="F620" s="1">
        <v>5</v>
      </c>
    </row>
    <row r="621" spans="1:6" x14ac:dyDescent="0.35">
      <c r="A621" s="1">
        <v>2045</v>
      </c>
      <c r="B621" s="1">
        <v>209.92372832183051</v>
      </c>
      <c r="C621" s="1">
        <v>402.83152310692748</v>
      </c>
      <c r="D621" s="1">
        <v>778.80644756906315</v>
      </c>
      <c r="E621" s="1" t="s">
        <v>158</v>
      </c>
      <c r="F621" s="1">
        <v>5</v>
      </c>
    </row>
    <row r="622" spans="1:6" x14ac:dyDescent="0.35">
      <c r="A622" s="1">
        <v>2046</v>
      </c>
      <c r="B622" s="1">
        <v>215.23797280523499</v>
      </c>
      <c r="C622" s="1">
        <v>413.0292516654186</v>
      </c>
      <c r="D622" s="1">
        <v>798.52202665447624</v>
      </c>
      <c r="E622" s="1" t="s">
        <v>158</v>
      </c>
      <c r="F622" s="1">
        <v>5</v>
      </c>
    </row>
    <row r="623" spans="1:6" x14ac:dyDescent="0.35">
      <c r="A623" s="1">
        <v>2047</v>
      </c>
      <c r="B623" s="1">
        <v>220.6867480282333</v>
      </c>
      <c r="C623" s="1">
        <v>423.48513695144328</v>
      </c>
      <c r="D623" s="1">
        <v>818.73670800064554</v>
      </c>
      <c r="E623" s="1" t="s">
        <v>158</v>
      </c>
      <c r="F623" s="1">
        <v>5</v>
      </c>
    </row>
    <row r="624" spans="1:6" x14ac:dyDescent="0.35">
      <c r="A624" s="1">
        <v>2048</v>
      </c>
      <c r="B624" s="1">
        <v>226.27345965271229</v>
      </c>
      <c r="C624" s="1">
        <v>434.2057142336734</v>
      </c>
      <c r="D624" s="1">
        <v>798.52202665447624</v>
      </c>
      <c r="E624" s="1" t="s">
        <v>158</v>
      </c>
      <c r="F624" s="1">
        <v>5</v>
      </c>
    </row>
    <row r="625" spans="1:6" x14ac:dyDescent="0.35">
      <c r="A625" s="1">
        <v>2049</v>
      </c>
      <c r="B625" s="1">
        <v>237.8747480099029</v>
      </c>
      <c r="C625" s="1">
        <v>456.46791725516852</v>
      </c>
      <c r="D625" s="1">
        <v>839.46312644145598</v>
      </c>
      <c r="E625" s="1" t="s">
        <v>158</v>
      </c>
      <c r="F625" s="1">
        <v>5</v>
      </c>
    </row>
    <row r="626" spans="1:6" x14ac:dyDescent="0.35">
      <c r="A626" s="1">
        <v>2050</v>
      </c>
      <c r="B626" s="1">
        <v>134.5232456081271</v>
      </c>
      <c r="C626" s="1">
        <v>302.53896637889068</v>
      </c>
      <c r="D626" s="1">
        <v>703.95315415155267</v>
      </c>
      <c r="E626" s="1" t="s">
        <v>158</v>
      </c>
      <c r="F626" s="1">
        <v>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B5577-385B-4865-816A-75F7374B5224}">
  <sheetPr>
    <tabColor rgb="FF774936"/>
  </sheetPr>
  <dimension ref="A1:F626"/>
  <sheetViews>
    <sheetView workbookViewId="0">
      <selection activeCell="G6" sqref="G6"/>
    </sheetView>
  </sheetViews>
  <sheetFormatPr defaultRowHeight="14.5" x14ac:dyDescent="0.35"/>
  <cols>
    <col min="1" max="4" width="8.7265625" style="1"/>
    <col min="5" max="5" width="26.08984375" style="1" customWidth="1"/>
    <col min="6" max="6" width="14.7265625" style="1" customWidth="1"/>
  </cols>
  <sheetData>
    <row r="1" spans="1:6" x14ac:dyDescent="0.35">
      <c r="A1" s="20" t="s">
        <v>4</v>
      </c>
      <c r="B1" s="20" t="s">
        <v>129</v>
      </c>
      <c r="C1" s="20" t="s">
        <v>130</v>
      </c>
      <c r="D1" s="20" t="s">
        <v>131</v>
      </c>
      <c r="E1" s="20" t="s">
        <v>132</v>
      </c>
      <c r="F1" s="20" t="s">
        <v>133</v>
      </c>
    </row>
    <row r="2" spans="1:6" x14ac:dyDescent="0.35">
      <c r="A2" s="1">
        <v>2026</v>
      </c>
      <c r="B2" s="1">
        <v>13113.972686119319</v>
      </c>
      <c r="C2" s="1">
        <v>48338.935581351827</v>
      </c>
      <c r="D2" s="1">
        <v>111687.7</v>
      </c>
      <c r="E2" s="1" t="s">
        <v>134</v>
      </c>
      <c r="F2" s="1">
        <v>1</v>
      </c>
    </row>
    <row r="3" spans="1:6" x14ac:dyDescent="0.35">
      <c r="A3" s="1">
        <v>2027</v>
      </c>
      <c r="B3" s="1">
        <v>7086.8888038809027</v>
      </c>
      <c r="C3" s="1">
        <v>26750.060571390051</v>
      </c>
      <c r="D3" s="1">
        <v>66468.60330757768</v>
      </c>
      <c r="E3" s="1" t="s">
        <v>134</v>
      </c>
      <c r="F3" s="1">
        <v>1</v>
      </c>
    </row>
    <row r="4" spans="1:6" x14ac:dyDescent="0.35">
      <c r="A4" s="1">
        <v>2028</v>
      </c>
      <c r="B4" s="1">
        <v>6911.9128958676583</v>
      </c>
      <c r="C4" s="1">
        <v>27427.241578790559</v>
      </c>
      <c r="D4" s="1">
        <v>64827.487644559733</v>
      </c>
      <c r="E4" s="1" t="s">
        <v>134</v>
      </c>
      <c r="F4" s="1">
        <v>1</v>
      </c>
    </row>
    <row r="5" spans="1:6" x14ac:dyDescent="0.35">
      <c r="A5" s="1">
        <v>2029</v>
      </c>
      <c r="B5" s="1">
        <v>7086.8888038809018</v>
      </c>
      <c r="C5" s="1">
        <v>26750.060571390051</v>
      </c>
      <c r="D5" s="1">
        <v>66468.60330757768</v>
      </c>
      <c r="E5" s="1" t="s">
        <v>134</v>
      </c>
      <c r="F5" s="1">
        <v>1</v>
      </c>
    </row>
    <row r="6" spans="1:6" x14ac:dyDescent="0.35">
      <c r="A6" s="1">
        <v>2030</v>
      </c>
      <c r="B6" s="1">
        <v>7266.2942480943721</v>
      </c>
      <c r="C6" s="1">
        <v>27427.241578790559</v>
      </c>
      <c r="D6" s="1">
        <v>64827.487644559733</v>
      </c>
      <c r="E6" s="1" t="s">
        <v>134</v>
      </c>
      <c r="F6" s="1">
        <v>1</v>
      </c>
    </row>
    <row r="7" spans="1:6" x14ac:dyDescent="0.35">
      <c r="A7" s="1">
        <v>2031</v>
      </c>
      <c r="B7" s="1">
        <v>7086.8888038809009</v>
      </c>
      <c r="C7" s="1">
        <v>26750.060571390051</v>
      </c>
      <c r="D7" s="1">
        <v>63226.891271633373</v>
      </c>
      <c r="E7" s="1" t="s">
        <v>134</v>
      </c>
      <c r="F7" s="1">
        <v>1</v>
      </c>
    </row>
    <row r="8" spans="1:6" x14ac:dyDescent="0.35">
      <c r="A8" s="1">
        <v>2032</v>
      </c>
      <c r="B8" s="1">
        <v>6911.9128958676574</v>
      </c>
      <c r="C8" s="1">
        <v>26089.599222634999</v>
      </c>
      <c r="D8" s="1">
        <v>64827.487644559733</v>
      </c>
      <c r="E8" s="1" t="s">
        <v>134</v>
      </c>
      <c r="F8" s="1">
        <v>1</v>
      </c>
    </row>
    <row r="9" spans="1:6" x14ac:dyDescent="0.35">
      <c r="A9" s="1">
        <v>2033</v>
      </c>
      <c r="B9" s="1">
        <v>6741.2571584161806</v>
      </c>
      <c r="C9" s="1">
        <v>25445.444722682591</v>
      </c>
      <c r="D9" s="1">
        <v>66468.60330757768</v>
      </c>
      <c r="E9" s="1" t="s">
        <v>134</v>
      </c>
      <c r="F9" s="1">
        <v>1</v>
      </c>
    </row>
    <row r="10" spans="1:6" x14ac:dyDescent="0.35">
      <c r="A10" s="1">
        <v>2034</v>
      </c>
      <c r="B10" s="1">
        <v>6574.8149261352537</v>
      </c>
      <c r="C10" s="1">
        <v>26089.599222634999</v>
      </c>
      <c r="D10" s="1">
        <v>64827.487644559733</v>
      </c>
      <c r="E10" s="1" t="s">
        <v>134</v>
      </c>
      <c r="F10" s="1">
        <v>1</v>
      </c>
    </row>
    <row r="11" spans="1:6" x14ac:dyDescent="0.35">
      <c r="A11" s="1">
        <v>2035</v>
      </c>
      <c r="B11" s="1">
        <v>6741.2571584161806</v>
      </c>
      <c r="C11" s="1">
        <v>26750.06057139004</v>
      </c>
      <c r="D11" s="1">
        <v>63226.891271633373</v>
      </c>
      <c r="E11" s="1" t="s">
        <v>134</v>
      </c>
      <c r="F11" s="1">
        <v>1</v>
      </c>
    </row>
    <row r="12" spans="1:6" x14ac:dyDescent="0.35">
      <c r="A12" s="1">
        <v>2036</v>
      </c>
      <c r="B12" s="1">
        <v>6911.9128958676556</v>
      </c>
      <c r="C12" s="1">
        <v>26089.599222634992</v>
      </c>
      <c r="D12" s="1">
        <v>61665.813763961691</v>
      </c>
      <c r="E12" s="1" t="s">
        <v>134</v>
      </c>
      <c r="F12" s="1">
        <v>1</v>
      </c>
    </row>
    <row r="13" spans="1:6" x14ac:dyDescent="0.35">
      <c r="A13" s="1">
        <v>2037</v>
      </c>
      <c r="B13" s="1">
        <v>6741.2571584161806</v>
      </c>
      <c r="C13" s="1">
        <v>25445.444722682591</v>
      </c>
      <c r="D13" s="1">
        <v>60143.27939728502</v>
      </c>
      <c r="E13" s="1" t="s">
        <v>134</v>
      </c>
      <c r="F13" s="1">
        <v>1</v>
      </c>
    </row>
    <row r="14" spans="1:6" x14ac:dyDescent="0.35">
      <c r="A14" s="1">
        <v>2038</v>
      </c>
      <c r="B14" s="1">
        <v>6574.8149261352528</v>
      </c>
      <c r="C14" s="1">
        <v>24817.194454001361</v>
      </c>
      <c r="D14" s="1">
        <v>61665.813763961691</v>
      </c>
      <c r="E14" s="1" t="s">
        <v>134</v>
      </c>
      <c r="F14" s="1">
        <v>1</v>
      </c>
    </row>
    <row r="15" spans="1:6" x14ac:dyDescent="0.35">
      <c r="A15" s="1">
        <v>2039</v>
      </c>
      <c r="B15" s="1">
        <v>6741.2571584161806</v>
      </c>
      <c r="C15" s="1">
        <v>25445.444722682591</v>
      </c>
      <c r="D15" s="1">
        <v>63226.891271633373</v>
      </c>
      <c r="E15" s="1" t="s">
        <v>134</v>
      </c>
      <c r="F15" s="1">
        <v>1</v>
      </c>
    </row>
    <row r="16" spans="1:6" x14ac:dyDescent="0.35">
      <c r="A16" s="1">
        <v>2040</v>
      </c>
      <c r="B16" s="1">
        <v>6911.9128958676547</v>
      </c>
      <c r="C16" s="1">
        <v>24817.194454001361</v>
      </c>
      <c r="D16" s="1">
        <v>61665.813763961691</v>
      </c>
      <c r="E16" s="1" t="s">
        <v>134</v>
      </c>
      <c r="F16" s="1">
        <v>1</v>
      </c>
    </row>
    <row r="17" spans="1:6" x14ac:dyDescent="0.35">
      <c r="A17" s="1">
        <v>2041</v>
      </c>
      <c r="B17" s="1">
        <v>6741.2571584161797</v>
      </c>
      <c r="C17" s="1">
        <v>24204.455739722089</v>
      </c>
      <c r="D17" s="1">
        <v>63226.891271633373</v>
      </c>
      <c r="E17" s="1" t="s">
        <v>134</v>
      </c>
      <c r="F17" s="1">
        <v>1</v>
      </c>
    </row>
    <row r="18" spans="1:6" x14ac:dyDescent="0.35">
      <c r="A18" s="1">
        <v>2042</v>
      </c>
      <c r="B18" s="1">
        <v>6574.8149261352519</v>
      </c>
      <c r="C18" s="1">
        <v>23606.84559820202</v>
      </c>
      <c r="D18" s="1">
        <v>61665.813763961691</v>
      </c>
      <c r="E18" s="1" t="s">
        <v>134</v>
      </c>
      <c r="F18" s="1">
        <v>1</v>
      </c>
    </row>
    <row r="19" spans="1:6" x14ac:dyDescent="0.35">
      <c r="A19" s="1">
        <v>2043</v>
      </c>
      <c r="B19" s="1">
        <v>6412.4821672115404</v>
      </c>
      <c r="C19" s="1">
        <v>24204.455739722089</v>
      </c>
      <c r="D19" s="1">
        <v>63226.891271633373</v>
      </c>
      <c r="E19" s="1" t="s">
        <v>134</v>
      </c>
      <c r="F19" s="1">
        <v>1</v>
      </c>
    </row>
    <row r="20" spans="1:6" x14ac:dyDescent="0.35">
      <c r="A20" s="1">
        <v>2044</v>
      </c>
      <c r="B20" s="1">
        <v>6574.814926135251</v>
      </c>
      <c r="C20" s="1">
        <v>23606.84559820202</v>
      </c>
      <c r="D20" s="1">
        <v>61665.813763961691</v>
      </c>
      <c r="E20" s="1" t="s">
        <v>134</v>
      </c>
      <c r="F20" s="1">
        <v>1</v>
      </c>
    </row>
    <row r="21" spans="1:6" x14ac:dyDescent="0.35">
      <c r="A21" s="1">
        <v>2045</v>
      </c>
      <c r="B21" s="1">
        <v>6630.7550868669086</v>
      </c>
      <c r="C21" s="1">
        <v>23023.990503648849</v>
      </c>
      <c r="D21" s="1">
        <v>63226.891271633373</v>
      </c>
      <c r="E21" s="1" t="s">
        <v>134</v>
      </c>
      <c r="F21" s="1">
        <v>1</v>
      </c>
    </row>
    <row r="22" spans="1:6" x14ac:dyDescent="0.35">
      <c r="A22" s="1">
        <v>2046</v>
      </c>
      <c r="B22" s="1">
        <v>6798.6134510589154</v>
      </c>
      <c r="C22" s="1">
        <v>22455.526152654918</v>
      </c>
      <c r="D22" s="1">
        <v>61665.813763961691</v>
      </c>
      <c r="E22" s="1" t="s">
        <v>134</v>
      </c>
      <c r="F22" s="1">
        <v>1</v>
      </c>
    </row>
    <row r="23" spans="1:6" x14ac:dyDescent="0.35">
      <c r="A23" s="1">
        <v>2047</v>
      </c>
      <c r="B23" s="1">
        <v>6630.7550868669086</v>
      </c>
      <c r="C23" s="1">
        <v>23023.990503648849</v>
      </c>
      <c r="D23" s="1">
        <v>60143.27939728502</v>
      </c>
      <c r="E23" s="1" t="s">
        <v>134</v>
      </c>
      <c r="F23" s="1">
        <v>1</v>
      </c>
    </row>
    <row r="24" spans="1:6" x14ac:dyDescent="0.35">
      <c r="A24" s="1">
        <v>2048</v>
      </c>
      <c r="B24" s="1">
        <v>6467.0411604535839</v>
      </c>
      <c r="C24" s="1">
        <v>23606.84559820202</v>
      </c>
      <c r="D24" s="1">
        <v>58658.336538061492</v>
      </c>
      <c r="E24" s="1" t="s">
        <v>134</v>
      </c>
      <c r="F24" s="1">
        <v>1</v>
      </c>
    </row>
    <row r="25" spans="1:6" x14ac:dyDescent="0.35">
      <c r="A25" s="1">
        <v>2049</v>
      </c>
      <c r="B25" s="1">
        <v>6630.7550868669086</v>
      </c>
      <c r="C25" s="1">
        <v>24204.455739722089</v>
      </c>
      <c r="D25" s="1">
        <v>60143.27939728502</v>
      </c>
      <c r="E25" s="1" t="s">
        <v>134</v>
      </c>
      <c r="F25" s="1">
        <v>1</v>
      </c>
    </row>
    <row r="26" spans="1:6" x14ac:dyDescent="0.35">
      <c r="A26" s="1">
        <v>2050</v>
      </c>
      <c r="B26" s="1">
        <v>6798.6134510589154</v>
      </c>
      <c r="C26" s="1">
        <v>23606.84559820202</v>
      </c>
      <c r="D26" s="1">
        <v>58658.336538061492</v>
      </c>
      <c r="E26" s="1" t="s">
        <v>134</v>
      </c>
      <c r="F26" s="1">
        <v>1</v>
      </c>
    </row>
    <row r="27" spans="1:6" x14ac:dyDescent="0.35">
      <c r="A27" s="1">
        <v>2026</v>
      </c>
      <c r="B27" s="1">
        <v>10893.012086164679</v>
      </c>
      <c r="C27" s="1">
        <v>10893.012086164679</v>
      </c>
      <c r="D27" s="1">
        <v>11451.508758659629</v>
      </c>
      <c r="E27" s="1" t="s">
        <v>135</v>
      </c>
      <c r="F27" s="1">
        <v>1</v>
      </c>
    </row>
    <row r="28" spans="1:6" x14ac:dyDescent="0.35">
      <c r="A28" s="1">
        <v>2027</v>
      </c>
      <c r="B28" s="1">
        <v>10624.06265948084</v>
      </c>
      <c r="C28" s="1">
        <v>10624.06265948084</v>
      </c>
      <c r="D28" s="1">
        <v>11168.77</v>
      </c>
      <c r="E28" s="1" t="s">
        <v>135</v>
      </c>
      <c r="F28" s="1">
        <v>1</v>
      </c>
    </row>
    <row r="29" spans="1:6" x14ac:dyDescent="0.35">
      <c r="A29" s="1">
        <v>2028</v>
      </c>
      <c r="B29" s="1">
        <v>10361.753617801751</v>
      </c>
      <c r="C29" s="1">
        <v>10893.012086164679</v>
      </c>
      <c r="D29" s="1">
        <v>11451.508758659629</v>
      </c>
      <c r="E29" s="1" t="s">
        <v>135</v>
      </c>
      <c r="F29" s="1">
        <v>1</v>
      </c>
    </row>
    <row r="30" spans="1:6" x14ac:dyDescent="0.35">
      <c r="A30" s="1">
        <v>2029</v>
      </c>
      <c r="B30" s="1">
        <v>10624.06265948084</v>
      </c>
      <c r="C30" s="1">
        <v>11168.77</v>
      </c>
      <c r="D30" s="1">
        <v>11168.77</v>
      </c>
      <c r="E30" s="1" t="s">
        <v>135</v>
      </c>
      <c r="F30" s="1">
        <v>1</v>
      </c>
    </row>
    <row r="31" spans="1:6" x14ac:dyDescent="0.35">
      <c r="A31" s="1">
        <v>2030</v>
      </c>
      <c r="B31" s="1">
        <v>10361.753617801751</v>
      </c>
      <c r="C31" s="1">
        <v>10893.012086164679</v>
      </c>
      <c r="D31" s="1">
        <v>10893.012086164679</v>
      </c>
      <c r="E31" s="1" t="s">
        <v>135</v>
      </c>
      <c r="F31" s="1">
        <v>1</v>
      </c>
    </row>
    <row r="32" spans="1:6" x14ac:dyDescent="0.35">
      <c r="A32" s="1">
        <v>2031</v>
      </c>
      <c r="B32" s="1">
        <v>13897.807924808771</v>
      </c>
      <c r="C32" s="1">
        <v>49510.158776292548</v>
      </c>
      <c r="D32" s="1">
        <v>111687.7</v>
      </c>
      <c r="E32" s="1" t="s">
        <v>135</v>
      </c>
      <c r="F32" s="1">
        <v>1</v>
      </c>
    </row>
    <row r="33" spans="1:6" x14ac:dyDescent="0.35">
      <c r="A33" s="1">
        <v>2032</v>
      </c>
      <c r="B33" s="1">
        <v>7748.5603039309262</v>
      </c>
      <c r="C33" s="1">
        <v>24500.290179560539</v>
      </c>
      <c r="D33" s="1">
        <v>69437.40626738251</v>
      </c>
      <c r="E33" s="1" t="s">
        <v>135</v>
      </c>
      <c r="F33" s="1">
        <v>1</v>
      </c>
    </row>
    <row r="34" spans="1:6" x14ac:dyDescent="0.35">
      <c r="A34" s="1">
        <v>2033</v>
      </c>
      <c r="B34" s="1">
        <v>7557.247668373102</v>
      </c>
      <c r="C34" s="1">
        <v>25120.517978339591</v>
      </c>
      <c r="D34" s="1">
        <v>67722.990598116434</v>
      </c>
      <c r="E34" s="1" t="s">
        <v>135</v>
      </c>
      <c r="F34" s="1">
        <v>1</v>
      </c>
    </row>
    <row r="35" spans="1:6" x14ac:dyDescent="0.35">
      <c r="A35" s="1">
        <v>2034</v>
      </c>
      <c r="B35" s="1">
        <v>7370.6585586172914</v>
      </c>
      <c r="C35" s="1">
        <v>25756.446918597339</v>
      </c>
      <c r="D35" s="1">
        <v>66050.904002544543</v>
      </c>
      <c r="E35" s="1" t="s">
        <v>135</v>
      </c>
      <c r="F35" s="1">
        <v>1</v>
      </c>
    </row>
    <row r="36" spans="1:6" x14ac:dyDescent="0.35">
      <c r="A36" s="1">
        <v>2035</v>
      </c>
      <c r="B36" s="1">
        <v>7557.2476683731011</v>
      </c>
      <c r="C36" s="1">
        <v>26408.47447662269</v>
      </c>
      <c r="D36" s="1">
        <v>64420.101372113561</v>
      </c>
      <c r="E36" s="1" t="s">
        <v>135</v>
      </c>
      <c r="F36" s="1">
        <v>1</v>
      </c>
    </row>
    <row r="37" spans="1:6" x14ac:dyDescent="0.35">
      <c r="A37" s="1">
        <v>2036</v>
      </c>
      <c r="B37" s="1">
        <v>7370.6585586172914</v>
      </c>
      <c r="C37" s="1">
        <v>25756.446918597339</v>
      </c>
      <c r="D37" s="1">
        <v>64066.312277951329</v>
      </c>
      <c r="E37" s="1" t="s">
        <v>135</v>
      </c>
      <c r="F37" s="1">
        <v>1</v>
      </c>
    </row>
    <row r="38" spans="1:6" x14ac:dyDescent="0.35">
      <c r="A38" s="1">
        <v>2037</v>
      </c>
      <c r="B38" s="1">
        <v>7188.6763503959073</v>
      </c>
      <c r="C38" s="1">
        <v>25120.517978339591</v>
      </c>
      <c r="D38" s="1">
        <v>65688.15869482336</v>
      </c>
      <c r="E38" s="1" t="s">
        <v>135</v>
      </c>
      <c r="F38" s="1">
        <v>1</v>
      </c>
    </row>
    <row r="39" spans="1:6" x14ac:dyDescent="0.35">
      <c r="A39" s="1">
        <v>2038</v>
      </c>
      <c r="B39" s="1">
        <v>7011.1872989047879</v>
      </c>
      <c r="C39" s="1">
        <v>25756.446918597339</v>
      </c>
      <c r="D39" s="1">
        <v>67351.062349210624</v>
      </c>
      <c r="E39" s="1" t="s">
        <v>135</v>
      </c>
      <c r="F39" s="1">
        <v>1</v>
      </c>
    </row>
    <row r="40" spans="1:6" x14ac:dyDescent="0.35">
      <c r="A40" s="1">
        <v>2039</v>
      </c>
      <c r="B40" s="1">
        <v>6838.0804677089918</v>
      </c>
      <c r="C40" s="1">
        <v>26408.47447662269</v>
      </c>
      <c r="D40" s="1">
        <v>65688.15869482336</v>
      </c>
      <c r="E40" s="1" t="s">
        <v>135</v>
      </c>
      <c r="F40" s="1">
        <v>1</v>
      </c>
    </row>
    <row r="41" spans="1:6" x14ac:dyDescent="0.35">
      <c r="A41" s="1">
        <v>2040</v>
      </c>
      <c r="B41" s="1">
        <v>7011.1872989047879</v>
      </c>
      <c r="C41" s="1">
        <v>25756.446918597339</v>
      </c>
      <c r="D41" s="1">
        <v>67351.062349210624</v>
      </c>
      <c r="E41" s="1" t="s">
        <v>135</v>
      </c>
      <c r="F41" s="1">
        <v>1</v>
      </c>
    </row>
    <row r="42" spans="1:6" x14ac:dyDescent="0.35">
      <c r="A42" s="1">
        <v>2041</v>
      </c>
      <c r="B42" s="1">
        <v>7120.317632648992</v>
      </c>
      <c r="C42" s="1">
        <v>26408.47447662269</v>
      </c>
      <c r="D42" s="1">
        <v>65688.15869482336</v>
      </c>
      <c r="E42" s="1" t="s">
        <v>135</v>
      </c>
      <c r="F42" s="1">
        <v>1</v>
      </c>
    </row>
    <row r="43" spans="1:6" x14ac:dyDescent="0.35">
      <c r="A43" s="1">
        <v>2042</v>
      </c>
      <c r="B43" s="1">
        <v>7300.5693316917168</v>
      </c>
      <c r="C43" s="1">
        <v>25756.446918597339</v>
      </c>
      <c r="D43" s="1">
        <v>67351.062349210624</v>
      </c>
      <c r="E43" s="1" t="s">
        <v>135</v>
      </c>
      <c r="F43" s="1">
        <v>1</v>
      </c>
    </row>
    <row r="44" spans="1:6" x14ac:dyDescent="0.35">
      <c r="A44" s="1">
        <v>2043</v>
      </c>
      <c r="B44" s="1">
        <v>7485.3841242204417</v>
      </c>
      <c r="C44" s="1">
        <v>26408.47447662269</v>
      </c>
      <c r="D44" s="1">
        <v>69056.062610029214</v>
      </c>
      <c r="E44" s="1" t="s">
        <v>135</v>
      </c>
      <c r="F44" s="1">
        <v>1</v>
      </c>
    </row>
    <row r="45" spans="1:6" x14ac:dyDescent="0.35">
      <c r="A45" s="1">
        <v>2044</v>
      </c>
      <c r="B45" s="1">
        <v>7300.5693316917168</v>
      </c>
      <c r="C45" s="1">
        <v>25756.446918597339</v>
      </c>
      <c r="D45" s="1">
        <v>67351.062349210624</v>
      </c>
      <c r="E45" s="1" t="s">
        <v>135</v>
      </c>
      <c r="F45" s="1">
        <v>1</v>
      </c>
    </row>
    <row r="46" spans="1:6" x14ac:dyDescent="0.35">
      <c r="A46" s="1">
        <v>2045</v>
      </c>
      <c r="B46" s="1">
        <v>7120.3176326489911</v>
      </c>
      <c r="C46" s="1">
        <v>25120.517978339591</v>
      </c>
      <c r="D46" s="1">
        <v>65688.15869482336</v>
      </c>
      <c r="E46" s="1" t="s">
        <v>135</v>
      </c>
      <c r="F46" s="1">
        <v>1</v>
      </c>
    </row>
    <row r="47" spans="1:6" x14ac:dyDescent="0.35">
      <c r="A47" s="1">
        <v>2046</v>
      </c>
      <c r="B47" s="1">
        <v>6944.5163639126731</v>
      </c>
      <c r="C47" s="1">
        <v>25756.446918597339</v>
      </c>
      <c r="D47" s="1">
        <v>67351.062349210624</v>
      </c>
      <c r="E47" s="1" t="s">
        <v>135</v>
      </c>
      <c r="F47" s="1">
        <v>1</v>
      </c>
    </row>
    <row r="48" spans="1:6" x14ac:dyDescent="0.35">
      <c r="A48" s="1">
        <v>2047</v>
      </c>
      <c r="B48" s="1">
        <v>7120.3176326489911</v>
      </c>
      <c r="C48" s="1">
        <v>26408.47447662269</v>
      </c>
      <c r="D48" s="1">
        <v>66262.656701384636</v>
      </c>
      <c r="E48" s="1" t="s">
        <v>135</v>
      </c>
      <c r="F48" s="1">
        <v>1</v>
      </c>
    </row>
    <row r="49" spans="1:6" x14ac:dyDescent="0.35">
      <c r="A49" s="1">
        <v>2048</v>
      </c>
      <c r="B49" s="1">
        <v>6944.5163639126731</v>
      </c>
      <c r="C49" s="1">
        <v>25756.446918597339</v>
      </c>
      <c r="D49" s="1">
        <v>64626.625878191051</v>
      </c>
      <c r="E49" s="1" t="s">
        <v>135</v>
      </c>
      <c r="F49" s="1">
        <v>1</v>
      </c>
    </row>
    <row r="50" spans="1:6" x14ac:dyDescent="0.35">
      <c r="A50" s="1">
        <v>2049</v>
      </c>
      <c r="B50" s="1">
        <v>6773.0556439669854</v>
      </c>
      <c r="C50" s="1">
        <v>25120.517978339591</v>
      </c>
      <c r="D50" s="1">
        <v>66262.656701384636</v>
      </c>
      <c r="E50" s="1" t="s">
        <v>135</v>
      </c>
      <c r="F50" s="1">
        <v>1</v>
      </c>
    </row>
    <row r="51" spans="1:6" x14ac:dyDescent="0.35">
      <c r="A51" s="1">
        <v>2050</v>
      </c>
      <c r="B51" s="1">
        <v>6836.0335706670439</v>
      </c>
      <c r="C51" s="1">
        <v>24500.290179560539</v>
      </c>
      <c r="D51" s="1">
        <v>64626.625878191051</v>
      </c>
      <c r="E51" s="1" t="s">
        <v>135</v>
      </c>
      <c r="F51" s="1">
        <v>1</v>
      </c>
    </row>
    <row r="52" spans="1:6" x14ac:dyDescent="0.35">
      <c r="A52" s="1">
        <v>2026</v>
      </c>
      <c r="B52" s="1">
        <v>11451.508758659629</v>
      </c>
      <c r="C52" s="1">
        <v>10893.012086164679</v>
      </c>
      <c r="D52" s="1">
        <v>10893.012086164679</v>
      </c>
      <c r="E52" s="1" t="s">
        <v>136</v>
      </c>
      <c r="F52" s="1">
        <v>1</v>
      </c>
    </row>
    <row r="53" spans="1:6" x14ac:dyDescent="0.35">
      <c r="A53" s="1">
        <v>2027</v>
      </c>
      <c r="B53" s="1">
        <v>11168.77</v>
      </c>
      <c r="C53" s="1">
        <v>10624.06265948084</v>
      </c>
      <c r="D53" s="1">
        <v>11168.77</v>
      </c>
      <c r="E53" s="1" t="s">
        <v>136</v>
      </c>
      <c r="F53" s="1">
        <v>1</v>
      </c>
    </row>
    <row r="54" spans="1:6" x14ac:dyDescent="0.35">
      <c r="A54" s="1">
        <v>2028</v>
      </c>
      <c r="B54" s="1">
        <v>10893.012086164679</v>
      </c>
      <c r="C54" s="1">
        <v>10893.012086164679</v>
      </c>
      <c r="D54" s="1">
        <v>10893.012086164679</v>
      </c>
      <c r="E54" s="1" t="s">
        <v>136</v>
      </c>
      <c r="F54" s="1">
        <v>1</v>
      </c>
    </row>
    <row r="55" spans="1:6" x14ac:dyDescent="0.35">
      <c r="A55" s="1">
        <v>2029</v>
      </c>
      <c r="B55" s="1">
        <v>10624.06265948084</v>
      </c>
      <c r="C55" s="1">
        <v>10624.06265948084</v>
      </c>
      <c r="D55" s="1">
        <v>10624.06265948084</v>
      </c>
      <c r="E55" s="1" t="s">
        <v>136</v>
      </c>
      <c r="F55" s="1">
        <v>1</v>
      </c>
    </row>
    <row r="56" spans="1:6" x14ac:dyDescent="0.35">
      <c r="A56" s="1">
        <v>2030</v>
      </c>
      <c r="B56" s="1">
        <v>10893.012086164679</v>
      </c>
      <c r="C56" s="1">
        <v>10893.012086164679</v>
      </c>
      <c r="D56" s="1">
        <v>10893.012086164679</v>
      </c>
      <c r="E56" s="1" t="s">
        <v>136</v>
      </c>
      <c r="F56" s="1">
        <v>1</v>
      </c>
    </row>
    <row r="57" spans="1:6" x14ac:dyDescent="0.35">
      <c r="A57" s="1">
        <v>2031</v>
      </c>
      <c r="B57" s="1">
        <v>10624.06265948084</v>
      </c>
      <c r="C57" s="1">
        <v>11168.77</v>
      </c>
      <c r="D57" s="1">
        <v>11168.77</v>
      </c>
      <c r="E57" s="1" t="s">
        <v>136</v>
      </c>
      <c r="F57" s="1">
        <v>1</v>
      </c>
    </row>
    <row r="58" spans="1:6" x14ac:dyDescent="0.35">
      <c r="A58" s="1">
        <v>2032</v>
      </c>
      <c r="B58" s="1">
        <v>10361.753617801751</v>
      </c>
      <c r="C58" s="1">
        <v>10893.012086164679</v>
      </c>
      <c r="D58" s="1">
        <v>10893.012086164679</v>
      </c>
      <c r="E58" s="1" t="s">
        <v>136</v>
      </c>
      <c r="F58" s="1">
        <v>1</v>
      </c>
    </row>
    <row r="59" spans="1:6" x14ac:dyDescent="0.35">
      <c r="A59" s="1">
        <v>2033</v>
      </c>
      <c r="B59" s="1">
        <v>10624.062659480829</v>
      </c>
      <c r="C59" s="1">
        <v>11168.77</v>
      </c>
      <c r="D59" s="1">
        <v>10624.06265948084</v>
      </c>
      <c r="E59" s="1" t="s">
        <v>136</v>
      </c>
      <c r="F59" s="1">
        <v>1</v>
      </c>
    </row>
    <row r="60" spans="1:6" x14ac:dyDescent="0.35">
      <c r="A60" s="1">
        <v>2034</v>
      </c>
      <c r="B60" s="1">
        <v>10361.753617801751</v>
      </c>
      <c r="C60" s="1">
        <v>11451.50875865962</v>
      </c>
      <c r="D60" s="1">
        <v>10893.012086164679</v>
      </c>
      <c r="E60" s="1" t="s">
        <v>136</v>
      </c>
      <c r="F60" s="1">
        <v>1</v>
      </c>
    </row>
    <row r="61" spans="1:6" x14ac:dyDescent="0.35">
      <c r="A61" s="1">
        <v>2035</v>
      </c>
      <c r="B61" s="1">
        <v>10624.062659480829</v>
      </c>
      <c r="C61" s="1">
        <v>11741.405083071641</v>
      </c>
      <c r="D61" s="1">
        <v>11168.77</v>
      </c>
      <c r="E61" s="1" t="s">
        <v>136</v>
      </c>
      <c r="F61" s="1">
        <v>1</v>
      </c>
    </row>
    <row r="62" spans="1:6" x14ac:dyDescent="0.35">
      <c r="A62" s="1">
        <v>2036</v>
      </c>
      <c r="B62" s="1">
        <v>10361.75361780174</v>
      </c>
      <c r="C62" s="1">
        <v>11451.50875865962</v>
      </c>
      <c r="D62" s="1">
        <v>11451.50875865962</v>
      </c>
      <c r="E62" s="1" t="s">
        <v>136</v>
      </c>
      <c r="F62" s="1">
        <v>1</v>
      </c>
    </row>
    <row r="63" spans="1:6" x14ac:dyDescent="0.35">
      <c r="A63" s="1">
        <v>2037</v>
      </c>
      <c r="B63" s="1">
        <v>10105.921009437479</v>
      </c>
      <c r="C63" s="1">
        <v>11168.76999999999</v>
      </c>
      <c r="D63" s="1">
        <v>11741.405083071641</v>
      </c>
      <c r="E63" s="1" t="s">
        <v>136</v>
      </c>
      <c r="F63" s="1">
        <v>1</v>
      </c>
    </row>
    <row r="64" spans="1:6" x14ac:dyDescent="0.35">
      <c r="A64" s="1">
        <v>2038</v>
      </c>
      <c r="B64" s="1">
        <v>13577.006347725919</v>
      </c>
      <c r="C64" s="1">
        <v>48415.603866678037</v>
      </c>
      <c r="D64" s="1">
        <v>111687.7</v>
      </c>
      <c r="E64" s="1" t="s">
        <v>136</v>
      </c>
      <c r="F64" s="1">
        <v>1</v>
      </c>
    </row>
    <row r="65" spans="1:6" x14ac:dyDescent="0.35">
      <c r="A65" s="1">
        <v>2039</v>
      </c>
      <c r="B65" s="1">
        <v>7424.7204219312016</v>
      </c>
      <c r="C65" s="1">
        <v>24958.03381069444</v>
      </c>
      <c r="D65" s="1">
        <v>66531.067960478875</v>
      </c>
      <c r="E65" s="1" t="s">
        <v>136</v>
      </c>
      <c r="F65" s="1">
        <v>1</v>
      </c>
    </row>
    <row r="66" spans="1:6" x14ac:dyDescent="0.35">
      <c r="A66" s="1">
        <v>2040</v>
      </c>
      <c r="B66" s="1">
        <v>7241.4034215486836</v>
      </c>
      <c r="C66" s="1">
        <v>24341.81776030855</v>
      </c>
      <c r="D66" s="1">
        <v>68215.309964517364</v>
      </c>
      <c r="E66" s="1" t="s">
        <v>136</v>
      </c>
      <c r="F66" s="1">
        <v>1</v>
      </c>
    </row>
    <row r="67" spans="1:6" x14ac:dyDescent="0.35">
      <c r="A67" s="1">
        <v>2041</v>
      </c>
      <c r="B67" s="1">
        <v>7062.6125340323142</v>
      </c>
      <c r="C67" s="1">
        <v>23740.81613841623</v>
      </c>
      <c r="D67" s="1">
        <v>66531.067960478875</v>
      </c>
      <c r="E67" s="1" t="s">
        <v>136</v>
      </c>
      <c r="F67" s="1">
        <v>1</v>
      </c>
    </row>
    <row r="68" spans="1:6" x14ac:dyDescent="0.35">
      <c r="A68" s="1">
        <v>2042</v>
      </c>
      <c r="B68" s="1">
        <v>6888.2360092572553</v>
      </c>
      <c r="C68" s="1">
        <v>23154.65329943956</v>
      </c>
      <c r="D68" s="1">
        <v>64888.410039685667</v>
      </c>
      <c r="E68" s="1" t="s">
        <v>136</v>
      </c>
      <c r="F68" s="1">
        <v>1</v>
      </c>
    </row>
    <row r="69" spans="1:6" x14ac:dyDescent="0.35">
      <c r="A69" s="1">
        <v>2043</v>
      </c>
      <c r="B69" s="1">
        <v>6718.1648562190867</v>
      </c>
      <c r="C69" s="1">
        <v>23740.81613841623</v>
      </c>
      <c r="D69" s="1">
        <v>66531.067960478875</v>
      </c>
      <c r="E69" s="1" t="s">
        <v>136</v>
      </c>
      <c r="F69" s="1">
        <v>1</v>
      </c>
    </row>
    <row r="70" spans="1:6" x14ac:dyDescent="0.35">
      <c r="A70" s="1">
        <v>2044</v>
      </c>
      <c r="B70" s="1">
        <v>6552.292774910873</v>
      </c>
      <c r="C70" s="1">
        <v>24341.81776030855</v>
      </c>
      <c r="D70" s="1">
        <v>68215.309964517364</v>
      </c>
      <c r="E70" s="1" t="s">
        <v>136</v>
      </c>
      <c r="F70" s="1">
        <v>1</v>
      </c>
    </row>
    <row r="71" spans="1:6" x14ac:dyDescent="0.35">
      <c r="A71" s="1">
        <v>2045</v>
      </c>
      <c r="B71" s="1">
        <v>6390.5160898822032</v>
      </c>
      <c r="C71" s="1">
        <v>24958.03381069444</v>
      </c>
      <c r="D71" s="1">
        <v>66531.067960478875</v>
      </c>
      <c r="E71" s="1" t="s">
        <v>136</v>
      </c>
      <c r="F71" s="1">
        <v>1</v>
      </c>
    </row>
    <row r="72" spans="1:6" x14ac:dyDescent="0.35">
      <c r="A72" s="1">
        <v>2046</v>
      </c>
      <c r="B72" s="1">
        <v>6232.7336854386558</v>
      </c>
      <c r="C72" s="1">
        <v>25589.849444664938</v>
      </c>
      <c r="D72" s="1">
        <v>68215.309964517364</v>
      </c>
      <c r="E72" s="1" t="s">
        <v>136</v>
      </c>
      <c r="F72" s="1">
        <v>1</v>
      </c>
    </row>
    <row r="73" spans="1:6" x14ac:dyDescent="0.35">
      <c r="A73" s="1">
        <v>2047</v>
      </c>
      <c r="B73" s="1">
        <v>6078.8469424412006</v>
      </c>
      <c r="C73" s="1">
        <v>26237.659567558621</v>
      </c>
      <c r="D73" s="1">
        <v>66531.067960478875</v>
      </c>
      <c r="E73" s="1" t="s">
        <v>136</v>
      </c>
      <c r="F73" s="1">
        <v>1</v>
      </c>
    </row>
    <row r="74" spans="1:6" x14ac:dyDescent="0.35">
      <c r="A74" s="1">
        <v>2048</v>
      </c>
      <c r="B74" s="1">
        <v>5928.7596766660263</v>
      </c>
      <c r="C74" s="1">
        <v>25589.849444664938</v>
      </c>
      <c r="D74" s="1">
        <v>68215.309964517364</v>
      </c>
      <c r="E74" s="1" t="s">
        <v>136</v>
      </c>
      <c r="F74" s="1">
        <v>1</v>
      </c>
    </row>
    <row r="75" spans="1:6" x14ac:dyDescent="0.35">
      <c r="A75" s="1">
        <v>2049</v>
      </c>
      <c r="B75" s="1">
        <v>6078.8469424412006</v>
      </c>
      <c r="C75" s="1">
        <v>24958.03381069444</v>
      </c>
      <c r="D75" s="1">
        <v>66531.067960478875</v>
      </c>
      <c r="E75" s="1" t="s">
        <v>136</v>
      </c>
      <c r="F75" s="1">
        <v>1</v>
      </c>
    </row>
    <row r="76" spans="1:6" x14ac:dyDescent="0.35">
      <c r="A76" s="1">
        <v>2050</v>
      </c>
      <c r="B76" s="1">
        <v>6232.7336854386558</v>
      </c>
      <c r="C76" s="1">
        <v>25589.849444664938</v>
      </c>
      <c r="D76" s="1">
        <v>64888.410039685667</v>
      </c>
      <c r="E76" s="1" t="s">
        <v>136</v>
      </c>
      <c r="F76" s="1">
        <v>1</v>
      </c>
    </row>
    <row r="77" spans="1:6" x14ac:dyDescent="0.35">
      <c r="A77" s="1">
        <v>2026</v>
      </c>
      <c r="B77" s="1">
        <v>10893.012086164679</v>
      </c>
      <c r="C77" s="1">
        <v>10893.012086164679</v>
      </c>
      <c r="D77" s="1">
        <v>10893.012086164679</v>
      </c>
      <c r="E77" s="1" t="s">
        <v>137</v>
      </c>
      <c r="F77" s="1">
        <v>1</v>
      </c>
    </row>
    <row r="78" spans="1:6" x14ac:dyDescent="0.35">
      <c r="A78" s="1">
        <v>2027</v>
      </c>
      <c r="B78" s="1">
        <v>11168.77</v>
      </c>
      <c r="C78" s="1">
        <v>10624.06265948084</v>
      </c>
      <c r="D78" s="1">
        <v>11168.77</v>
      </c>
      <c r="E78" s="1" t="s">
        <v>137</v>
      </c>
      <c r="F78" s="1">
        <v>1</v>
      </c>
    </row>
    <row r="79" spans="1:6" x14ac:dyDescent="0.35">
      <c r="A79" s="1">
        <v>2028</v>
      </c>
      <c r="B79" s="1">
        <v>11451.508758659629</v>
      </c>
      <c r="C79" s="1">
        <v>10893.012086164679</v>
      </c>
      <c r="D79" s="1">
        <v>11451.508758659629</v>
      </c>
      <c r="E79" s="1" t="s">
        <v>137</v>
      </c>
      <c r="F79" s="1">
        <v>1</v>
      </c>
    </row>
    <row r="80" spans="1:6" x14ac:dyDescent="0.35">
      <c r="A80" s="1">
        <v>2029</v>
      </c>
      <c r="B80" s="1">
        <v>11168.77</v>
      </c>
      <c r="C80" s="1">
        <v>11168.77</v>
      </c>
      <c r="D80" s="1">
        <v>11168.77</v>
      </c>
      <c r="E80" s="1" t="s">
        <v>137</v>
      </c>
      <c r="F80" s="1">
        <v>1</v>
      </c>
    </row>
    <row r="81" spans="1:6" x14ac:dyDescent="0.35">
      <c r="A81" s="1">
        <v>2030</v>
      </c>
      <c r="B81" s="1">
        <v>10893.012086164679</v>
      </c>
      <c r="C81" s="1">
        <v>10893.012086164679</v>
      </c>
      <c r="D81" s="1">
        <v>11451.508758659629</v>
      </c>
      <c r="E81" s="1" t="s">
        <v>137</v>
      </c>
      <c r="F81" s="1">
        <v>1</v>
      </c>
    </row>
    <row r="82" spans="1:6" x14ac:dyDescent="0.35">
      <c r="A82" s="1">
        <v>2031</v>
      </c>
      <c r="B82" s="1">
        <v>10624.06265948084</v>
      </c>
      <c r="C82" s="1">
        <v>10624.06265948084</v>
      </c>
      <c r="D82" s="1">
        <v>11741.40508307165</v>
      </c>
      <c r="E82" s="1" t="s">
        <v>137</v>
      </c>
      <c r="F82" s="1">
        <v>1</v>
      </c>
    </row>
    <row r="83" spans="1:6" x14ac:dyDescent="0.35">
      <c r="A83" s="1">
        <v>2032</v>
      </c>
      <c r="B83" s="1">
        <v>10361.753617801751</v>
      </c>
      <c r="C83" s="1">
        <v>10361.753617801751</v>
      </c>
      <c r="D83" s="1">
        <v>11451.50875865962</v>
      </c>
      <c r="E83" s="1" t="s">
        <v>137</v>
      </c>
      <c r="F83" s="1">
        <v>1</v>
      </c>
    </row>
    <row r="84" spans="1:6" x14ac:dyDescent="0.35">
      <c r="A84" s="1">
        <v>2033</v>
      </c>
      <c r="B84" s="1">
        <v>10105.921009437479</v>
      </c>
      <c r="C84" s="1">
        <v>10105.921009437479</v>
      </c>
      <c r="D84" s="1">
        <v>11168.77</v>
      </c>
      <c r="E84" s="1" t="s">
        <v>137</v>
      </c>
      <c r="F84" s="1">
        <v>1</v>
      </c>
    </row>
    <row r="85" spans="1:6" x14ac:dyDescent="0.35">
      <c r="A85" s="1">
        <v>2034</v>
      </c>
      <c r="B85" s="1">
        <v>9856.4049306797478</v>
      </c>
      <c r="C85" s="1">
        <v>10361.753617801751</v>
      </c>
      <c r="D85" s="1">
        <v>11451.50875865962</v>
      </c>
      <c r="E85" s="1" t="s">
        <v>137</v>
      </c>
      <c r="F85" s="1">
        <v>1</v>
      </c>
    </row>
    <row r="86" spans="1:6" x14ac:dyDescent="0.35">
      <c r="A86" s="1">
        <v>2035</v>
      </c>
      <c r="B86" s="1">
        <v>10105.921009437479</v>
      </c>
      <c r="C86" s="1">
        <v>10624.062659480829</v>
      </c>
      <c r="D86" s="1">
        <v>11741.405083071641</v>
      </c>
      <c r="E86" s="1" t="s">
        <v>137</v>
      </c>
      <c r="F86" s="1">
        <v>1</v>
      </c>
    </row>
    <row r="87" spans="1:6" x14ac:dyDescent="0.35">
      <c r="A87" s="1">
        <v>2036</v>
      </c>
      <c r="B87" s="1">
        <v>9856.4049306797478</v>
      </c>
      <c r="C87" s="1">
        <v>10893.012086164679</v>
      </c>
      <c r="D87" s="1">
        <v>12038.640167875739</v>
      </c>
      <c r="E87" s="1" t="s">
        <v>137</v>
      </c>
      <c r="F87" s="1">
        <v>1</v>
      </c>
    </row>
    <row r="88" spans="1:6" x14ac:dyDescent="0.35">
      <c r="A88" s="1">
        <v>2037</v>
      </c>
      <c r="B88" s="1">
        <v>9613.0494258568888</v>
      </c>
      <c r="C88" s="1">
        <v>10624.062659480829</v>
      </c>
      <c r="D88" s="1">
        <v>12343.39979467575</v>
      </c>
      <c r="E88" s="1" t="s">
        <v>137</v>
      </c>
      <c r="F88" s="1">
        <v>1</v>
      </c>
    </row>
    <row r="89" spans="1:6" x14ac:dyDescent="0.35">
      <c r="A89" s="1">
        <v>2038</v>
      </c>
      <c r="B89" s="1">
        <v>9375.7023898564948</v>
      </c>
      <c r="C89" s="1">
        <v>10361.753617801751</v>
      </c>
      <c r="D89" s="1">
        <v>12038.640167875739</v>
      </c>
      <c r="E89" s="1" t="s">
        <v>137</v>
      </c>
      <c r="F89" s="1">
        <v>1</v>
      </c>
    </row>
    <row r="90" spans="1:6" x14ac:dyDescent="0.35">
      <c r="A90" s="1">
        <v>2039</v>
      </c>
      <c r="B90" s="1">
        <v>9613.049425856887</v>
      </c>
      <c r="C90" s="1">
        <v>10105.921009437479</v>
      </c>
      <c r="D90" s="1">
        <v>11741.405083071641</v>
      </c>
      <c r="E90" s="1" t="s">
        <v>137</v>
      </c>
      <c r="F90" s="1">
        <v>1</v>
      </c>
    </row>
    <row r="91" spans="1:6" x14ac:dyDescent="0.35">
      <c r="A91" s="1">
        <v>2040</v>
      </c>
      <c r="B91" s="1">
        <v>9375.702389856493</v>
      </c>
      <c r="C91" s="1">
        <v>10361.753617801751</v>
      </c>
      <c r="D91" s="1">
        <v>12038.640167875739</v>
      </c>
      <c r="E91" s="1" t="s">
        <v>137</v>
      </c>
      <c r="F91" s="1">
        <v>1</v>
      </c>
    </row>
    <row r="92" spans="1:6" x14ac:dyDescent="0.35">
      <c r="A92" s="1">
        <v>2041</v>
      </c>
      <c r="B92" s="1">
        <v>9613.0494258568851</v>
      </c>
      <c r="C92" s="1">
        <v>10105.921009437479</v>
      </c>
      <c r="D92" s="1">
        <v>11741.405083071641</v>
      </c>
      <c r="E92" s="1" t="s">
        <v>137</v>
      </c>
      <c r="F92" s="1">
        <v>1</v>
      </c>
    </row>
    <row r="93" spans="1:6" x14ac:dyDescent="0.35">
      <c r="A93" s="1">
        <v>2042</v>
      </c>
      <c r="B93" s="1">
        <v>13273.561815707801</v>
      </c>
      <c r="C93" s="1">
        <v>46992.712198164591</v>
      </c>
      <c r="D93" s="1">
        <v>111687.7</v>
      </c>
      <c r="E93" s="1" t="s">
        <v>137</v>
      </c>
      <c r="F93" s="1">
        <v>1</v>
      </c>
    </row>
    <row r="94" spans="1:6" x14ac:dyDescent="0.35">
      <c r="A94" s="1">
        <v>2043</v>
      </c>
      <c r="B94" s="1">
        <v>7139.609646485248</v>
      </c>
      <c r="C94" s="1">
        <v>25297.42741029332</v>
      </c>
      <c r="D94" s="1">
        <v>66683.949008592244</v>
      </c>
      <c r="E94" s="1" t="s">
        <v>137</v>
      </c>
      <c r="F94" s="1">
        <v>1</v>
      </c>
    </row>
    <row r="95" spans="1:6" x14ac:dyDescent="0.35">
      <c r="A95" s="1">
        <v>2044</v>
      </c>
      <c r="B95" s="1">
        <v>7320.3497251833969</v>
      </c>
      <c r="C95" s="1">
        <v>24672.83170207631</v>
      </c>
      <c r="D95" s="1">
        <v>65037.516441271917</v>
      </c>
      <c r="E95" s="1" t="s">
        <v>137</v>
      </c>
      <c r="F95" s="1">
        <v>1</v>
      </c>
    </row>
    <row r="96" spans="1:6" x14ac:dyDescent="0.35">
      <c r="A96" s="1">
        <v>2045</v>
      </c>
      <c r="B96" s="1">
        <v>7139.609646485248</v>
      </c>
      <c r="C96" s="1">
        <v>25297.42741029332</v>
      </c>
      <c r="D96" s="1">
        <v>66683.949008592244</v>
      </c>
      <c r="E96" s="1" t="s">
        <v>137</v>
      </c>
      <c r="F96" s="1">
        <v>1</v>
      </c>
    </row>
    <row r="97" spans="1:6" x14ac:dyDescent="0.35">
      <c r="A97" s="1">
        <v>2046</v>
      </c>
      <c r="B97" s="1">
        <v>6963.3320562301624</v>
      </c>
      <c r="C97" s="1">
        <v>24672.831702076299</v>
      </c>
      <c r="D97" s="1">
        <v>65037.516441271917</v>
      </c>
      <c r="E97" s="1" t="s">
        <v>137</v>
      </c>
      <c r="F97" s="1">
        <v>1</v>
      </c>
    </row>
    <row r="98" spans="1:6" x14ac:dyDescent="0.35">
      <c r="A98" s="1">
        <v>2047</v>
      </c>
      <c r="B98" s="1">
        <v>7139.609646485248</v>
      </c>
      <c r="C98" s="1">
        <v>24063.657316841891</v>
      </c>
      <c r="D98" s="1">
        <v>66683.949008592244</v>
      </c>
      <c r="E98" s="1" t="s">
        <v>137</v>
      </c>
      <c r="F98" s="1">
        <v>1</v>
      </c>
    </row>
    <row r="99" spans="1:6" x14ac:dyDescent="0.35">
      <c r="A99" s="1">
        <v>2048</v>
      </c>
      <c r="B99" s="1">
        <v>7320.3497251833969</v>
      </c>
      <c r="C99" s="1">
        <v>23469.52350076901</v>
      </c>
      <c r="D99" s="1">
        <v>65037.516441271917</v>
      </c>
      <c r="E99" s="1" t="s">
        <v>137</v>
      </c>
      <c r="F99" s="1">
        <v>1</v>
      </c>
    </row>
    <row r="100" spans="1:6" x14ac:dyDescent="0.35">
      <c r="A100" s="1">
        <v>2049</v>
      </c>
      <c r="B100" s="1">
        <v>7505.6652607573842</v>
      </c>
      <c r="C100" s="1">
        <v>24063.657316841891</v>
      </c>
      <c r="D100" s="1">
        <v>63431.734438878149</v>
      </c>
      <c r="E100" s="1" t="s">
        <v>137</v>
      </c>
      <c r="F100" s="1">
        <v>1</v>
      </c>
    </row>
    <row r="101" spans="1:6" x14ac:dyDescent="0.35">
      <c r="A101" s="1">
        <v>2050</v>
      </c>
      <c r="B101" s="1">
        <v>7320.3497251833969</v>
      </c>
      <c r="C101" s="1">
        <v>23469.52350076901</v>
      </c>
      <c r="D101" s="1">
        <v>61865.599335386803</v>
      </c>
      <c r="E101" s="1" t="s">
        <v>137</v>
      </c>
      <c r="F101" s="1">
        <v>1</v>
      </c>
    </row>
    <row r="102" spans="1:6" x14ac:dyDescent="0.35">
      <c r="A102" s="1">
        <v>2026</v>
      </c>
      <c r="B102" s="1">
        <v>10893.012086164679</v>
      </c>
      <c r="C102" s="1">
        <v>10893.012086164679</v>
      </c>
      <c r="D102" s="1">
        <v>10893.012086164679</v>
      </c>
      <c r="E102" s="1" t="s">
        <v>138</v>
      </c>
      <c r="F102" s="1">
        <v>1</v>
      </c>
    </row>
    <row r="103" spans="1:6" x14ac:dyDescent="0.35">
      <c r="A103" s="1">
        <v>2027</v>
      </c>
      <c r="B103" s="1">
        <v>10624.06265948084</v>
      </c>
      <c r="C103" s="1">
        <v>11168.77</v>
      </c>
      <c r="D103" s="1">
        <v>11168.77</v>
      </c>
      <c r="E103" s="1" t="s">
        <v>138</v>
      </c>
      <c r="F103" s="1">
        <v>1</v>
      </c>
    </row>
    <row r="104" spans="1:6" x14ac:dyDescent="0.35">
      <c r="A104" s="1">
        <v>2028</v>
      </c>
      <c r="B104" s="1">
        <v>10893.012086164679</v>
      </c>
      <c r="C104" s="1">
        <v>11451.508758659629</v>
      </c>
      <c r="D104" s="1">
        <v>11449.176196270229</v>
      </c>
      <c r="E104" s="1" t="s">
        <v>138</v>
      </c>
      <c r="F104" s="1">
        <v>1</v>
      </c>
    </row>
    <row r="105" spans="1:6" x14ac:dyDescent="0.35">
      <c r="A105" s="1">
        <v>2029</v>
      </c>
      <c r="B105" s="1">
        <v>10624.06265948084</v>
      </c>
      <c r="C105" s="1">
        <v>11741.40508307165</v>
      </c>
      <c r="D105" s="1">
        <v>11739.013471584231</v>
      </c>
      <c r="E105" s="1" t="s">
        <v>138</v>
      </c>
      <c r="F105" s="1">
        <v>1</v>
      </c>
    </row>
    <row r="106" spans="1:6" x14ac:dyDescent="0.35">
      <c r="A106" s="1">
        <v>2030</v>
      </c>
      <c r="B106" s="1">
        <v>10361.753617801751</v>
      </c>
      <c r="C106" s="1">
        <v>12038.64016787575</v>
      </c>
      <c r="D106" s="1">
        <v>11449.176196270229</v>
      </c>
      <c r="E106" s="1" t="s">
        <v>138</v>
      </c>
      <c r="F106" s="1">
        <v>1</v>
      </c>
    </row>
    <row r="107" spans="1:6" x14ac:dyDescent="0.35">
      <c r="A107" s="1">
        <v>2031</v>
      </c>
      <c r="B107" s="1">
        <v>10105.921009437479</v>
      </c>
      <c r="C107" s="1">
        <v>11741.40508307165</v>
      </c>
      <c r="D107" s="1">
        <v>11739.013471584231</v>
      </c>
      <c r="E107" s="1" t="s">
        <v>138</v>
      </c>
      <c r="F107" s="1">
        <v>1</v>
      </c>
    </row>
    <row r="108" spans="1:6" x14ac:dyDescent="0.35">
      <c r="A108" s="1">
        <v>2032</v>
      </c>
      <c r="B108" s="1">
        <v>9856.404930679746</v>
      </c>
      <c r="C108" s="1">
        <v>11451.50875865962</v>
      </c>
      <c r="D108" s="1">
        <v>12036.188012455281</v>
      </c>
      <c r="E108" s="1" t="s">
        <v>138</v>
      </c>
      <c r="F108" s="1">
        <v>1</v>
      </c>
    </row>
    <row r="109" spans="1:6" x14ac:dyDescent="0.35">
      <c r="A109" s="1">
        <v>2033</v>
      </c>
      <c r="B109" s="1">
        <v>9613.049425856887</v>
      </c>
      <c r="C109" s="1">
        <v>11741.405083071641</v>
      </c>
      <c r="D109" s="1">
        <v>12340.88556264527</v>
      </c>
      <c r="E109" s="1" t="s">
        <v>138</v>
      </c>
      <c r="F109" s="1">
        <v>1</v>
      </c>
    </row>
    <row r="110" spans="1:6" x14ac:dyDescent="0.35">
      <c r="A110" s="1">
        <v>2034</v>
      </c>
      <c r="B110" s="1">
        <v>9375.702389856493</v>
      </c>
      <c r="C110" s="1">
        <v>11451.50875865962</v>
      </c>
      <c r="D110" s="1">
        <v>12036.188012455281</v>
      </c>
      <c r="E110" s="1" t="s">
        <v>138</v>
      </c>
      <c r="F110" s="1">
        <v>1</v>
      </c>
    </row>
    <row r="111" spans="1:6" x14ac:dyDescent="0.35">
      <c r="A111" s="1">
        <v>2035</v>
      </c>
      <c r="B111" s="1">
        <v>9144.2154730547645</v>
      </c>
      <c r="C111" s="1">
        <v>11741.405083071641</v>
      </c>
      <c r="D111" s="1">
        <v>12340.88556264527</v>
      </c>
      <c r="E111" s="1" t="s">
        <v>138</v>
      </c>
      <c r="F111" s="1">
        <v>1</v>
      </c>
    </row>
    <row r="112" spans="1:6" x14ac:dyDescent="0.35">
      <c r="A112" s="1">
        <v>2036</v>
      </c>
      <c r="B112" s="1">
        <v>9375.702389856493</v>
      </c>
      <c r="C112" s="1">
        <v>11451.50875865962</v>
      </c>
      <c r="D112" s="1">
        <v>12036.188012455281</v>
      </c>
      <c r="E112" s="1" t="s">
        <v>138</v>
      </c>
      <c r="F112" s="1">
        <v>1</v>
      </c>
    </row>
    <row r="113" spans="1:6" x14ac:dyDescent="0.35">
      <c r="A113" s="1">
        <v>2037</v>
      </c>
      <c r="B113" s="1">
        <v>9613.0494258568851</v>
      </c>
      <c r="C113" s="1">
        <v>11168.76999999999</v>
      </c>
      <c r="D113" s="1">
        <v>12340.88556264527</v>
      </c>
      <c r="E113" s="1" t="s">
        <v>138</v>
      </c>
      <c r="F113" s="1">
        <v>1</v>
      </c>
    </row>
    <row r="114" spans="1:6" x14ac:dyDescent="0.35">
      <c r="A114" s="1">
        <v>2038</v>
      </c>
      <c r="B114" s="1">
        <v>9375.7023898564912</v>
      </c>
      <c r="C114" s="1">
        <v>10893.012086164679</v>
      </c>
      <c r="D114" s="1">
        <v>12036.188012455281</v>
      </c>
      <c r="E114" s="1" t="s">
        <v>138</v>
      </c>
      <c r="F114" s="1">
        <v>1</v>
      </c>
    </row>
    <row r="115" spans="1:6" x14ac:dyDescent="0.35">
      <c r="A115" s="1">
        <v>2039</v>
      </c>
      <c r="B115" s="1">
        <v>9613.0494258568833</v>
      </c>
      <c r="C115" s="1">
        <v>11168.76999999999</v>
      </c>
      <c r="D115" s="1">
        <v>12340.88556264527</v>
      </c>
      <c r="E115" s="1" t="s">
        <v>138</v>
      </c>
      <c r="F115" s="1">
        <v>1</v>
      </c>
    </row>
    <row r="116" spans="1:6" x14ac:dyDescent="0.35">
      <c r="A116" s="1">
        <v>2040</v>
      </c>
      <c r="B116" s="1">
        <v>9856.4049306797424</v>
      </c>
      <c r="C116" s="1">
        <v>10893.012086164679</v>
      </c>
      <c r="D116" s="1">
        <v>12653.29656804182</v>
      </c>
      <c r="E116" s="1" t="s">
        <v>138</v>
      </c>
      <c r="F116" s="1">
        <v>1</v>
      </c>
    </row>
    <row r="117" spans="1:6" x14ac:dyDescent="0.35">
      <c r="A117" s="1">
        <v>2041</v>
      </c>
      <c r="B117" s="1">
        <v>9613.0494258568833</v>
      </c>
      <c r="C117" s="1">
        <v>10624.062659480829</v>
      </c>
      <c r="D117" s="1">
        <v>12340.88556264527</v>
      </c>
      <c r="E117" s="1" t="s">
        <v>138</v>
      </c>
      <c r="F117" s="1">
        <v>1</v>
      </c>
    </row>
    <row r="118" spans="1:6" x14ac:dyDescent="0.35">
      <c r="A118" s="1">
        <v>2042</v>
      </c>
      <c r="B118" s="1">
        <v>9375.7023898564894</v>
      </c>
      <c r="C118" s="1">
        <v>10361.753617801751</v>
      </c>
      <c r="D118" s="1">
        <v>12036.188012455281</v>
      </c>
      <c r="E118" s="1" t="s">
        <v>138</v>
      </c>
      <c r="F118" s="1">
        <v>1</v>
      </c>
    </row>
    <row r="119" spans="1:6" x14ac:dyDescent="0.35">
      <c r="A119" s="1">
        <v>2043</v>
      </c>
      <c r="B119" s="1">
        <v>9613.0494258568815</v>
      </c>
      <c r="C119" s="1">
        <v>10105.921009437479</v>
      </c>
      <c r="D119" s="1">
        <v>11739.013471584231</v>
      </c>
      <c r="E119" s="1" t="s">
        <v>138</v>
      </c>
      <c r="F119" s="1">
        <v>1</v>
      </c>
    </row>
    <row r="120" spans="1:6" x14ac:dyDescent="0.35">
      <c r="A120" s="1">
        <v>2044</v>
      </c>
      <c r="B120" s="1">
        <v>9375.7023898564876</v>
      </c>
      <c r="C120" s="1">
        <v>10361.753617801751</v>
      </c>
      <c r="D120" s="1">
        <v>12036.188012455281</v>
      </c>
      <c r="E120" s="1" t="s">
        <v>138</v>
      </c>
      <c r="F120" s="1">
        <v>1</v>
      </c>
    </row>
    <row r="121" spans="1:6" x14ac:dyDescent="0.35">
      <c r="A121" s="1">
        <v>2045</v>
      </c>
      <c r="B121" s="1">
        <v>9613.0494258568797</v>
      </c>
      <c r="C121" s="1">
        <v>10571.597169564729</v>
      </c>
      <c r="D121" s="1">
        <v>11739.013471584231</v>
      </c>
      <c r="E121" s="1" t="s">
        <v>138</v>
      </c>
      <c r="F121" s="1">
        <v>1</v>
      </c>
    </row>
    <row r="122" spans="1:6" x14ac:dyDescent="0.35">
      <c r="A122" s="1">
        <v>2046</v>
      </c>
      <c r="B122" s="1">
        <v>9375.7023898564876</v>
      </c>
      <c r="C122" s="1">
        <v>10310.58350544715</v>
      </c>
      <c r="D122" s="1">
        <v>11948.804418526041</v>
      </c>
      <c r="E122" s="1" t="s">
        <v>138</v>
      </c>
      <c r="F122" s="1">
        <v>1</v>
      </c>
    </row>
    <row r="123" spans="1:6" x14ac:dyDescent="0.35">
      <c r="A123" s="1">
        <v>2047</v>
      </c>
      <c r="B123" s="1">
        <v>12382.26090836641</v>
      </c>
      <c r="C123" s="1">
        <v>45746.232375308813</v>
      </c>
      <c r="D123" s="1">
        <v>111687.7</v>
      </c>
      <c r="E123" s="1" t="s">
        <v>138</v>
      </c>
      <c r="F123" s="1">
        <v>1</v>
      </c>
    </row>
    <row r="124" spans="1:6" x14ac:dyDescent="0.35">
      <c r="A124" s="1">
        <v>2048</v>
      </c>
      <c r="B124" s="1">
        <v>7222.2328892142896</v>
      </c>
      <c r="C124" s="1">
        <v>25322.97948318546</v>
      </c>
      <c r="D124" s="1">
        <v>68134.639398933665</v>
      </c>
      <c r="E124" s="1" t="s">
        <v>138</v>
      </c>
      <c r="F124" s="1">
        <v>1</v>
      </c>
    </row>
    <row r="125" spans="1:6" x14ac:dyDescent="0.35">
      <c r="A125" s="1">
        <v>2049</v>
      </c>
      <c r="B125" s="1">
        <v>7043.9153238277186</v>
      </c>
      <c r="C125" s="1">
        <v>24697.752892040891</v>
      </c>
      <c r="D125" s="1">
        <v>66452.389158256163</v>
      </c>
      <c r="E125" s="1" t="s">
        <v>138</v>
      </c>
      <c r="F125" s="1">
        <v>1</v>
      </c>
    </row>
    <row r="126" spans="1:6" x14ac:dyDescent="0.35">
      <c r="A126" s="1">
        <v>2050</v>
      </c>
      <c r="B126" s="1">
        <v>6870.0004348174371</v>
      </c>
      <c r="C126" s="1">
        <v>25322.97948318546</v>
      </c>
      <c r="D126" s="1">
        <v>64811.673824011341</v>
      </c>
      <c r="E126" s="1" t="s">
        <v>138</v>
      </c>
      <c r="F126" s="1">
        <v>1</v>
      </c>
    </row>
    <row r="127" spans="1:6" x14ac:dyDescent="0.35">
      <c r="A127" s="1">
        <v>2026</v>
      </c>
      <c r="B127" s="1">
        <v>11451.508758659629</v>
      </c>
      <c r="C127" s="1">
        <v>10893.012086164679</v>
      </c>
      <c r="D127" s="1">
        <v>10893.012086164679</v>
      </c>
      <c r="E127" s="1" t="s">
        <v>139</v>
      </c>
      <c r="F127" s="1">
        <v>2</v>
      </c>
    </row>
    <row r="128" spans="1:6" x14ac:dyDescent="0.35">
      <c r="A128" s="1">
        <v>2027</v>
      </c>
      <c r="B128" s="1">
        <v>11741.40508307165</v>
      </c>
      <c r="C128" s="1">
        <v>10624.06265948084</v>
      </c>
      <c r="D128" s="1">
        <v>11168.77</v>
      </c>
      <c r="E128" s="1" t="s">
        <v>139</v>
      </c>
      <c r="F128" s="1">
        <v>2</v>
      </c>
    </row>
    <row r="129" spans="1:6" x14ac:dyDescent="0.35">
      <c r="A129" s="1">
        <v>2028</v>
      </c>
      <c r="B129" s="1">
        <v>11451.50875865962</v>
      </c>
      <c r="C129" s="1">
        <v>10361.753617801751</v>
      </c>
      <c r="D129" s="1">
        <v>10893.012086164679</v>
      </c>
      <c r="E129" s="1" t="s">
        <v>139</v>
      </c>
      <c r="F129" s="1">
        <v>2</v>
      </c>
    </row>
    <row r="130" spans="1:6" x14ac:dyDescent="0.35">
      <c r="A130" s="1">
        <v>2029</v>
      </c>
      <c r="B130" s="1">
        <v>12038.640167875739</v>
      </c>
      <c r="C130" s="1">
        <v>48919.152200725941</v>
      </c>
      <c r="D130" s="1">
        <v>111687.7</v>
      </c>
      <c r="E130" s="1" t="s">
        <v>139</v>
      </c>
      <c r="F130" s="1">
        <v>2</v>
      </c>
    </row>
    <row r="131" spans="1:6" x14ac:dyDescent="0.35">
      <c r="A131" s="1">
        <v>2030</v>
      </c>
      <c r="B131" s="1">
        <v>7154.6381738089312</v>
      </c>
      <c r="C131" s="1">
        <v>24270.869497460699</v>
      </c>
      <c r="D131" s="1">
        <v>70955.001384514733</v>
      </c>
      <c r="E131" s="1" t="s">
        <v>139</v>
      </c>
      <c r="F131" s="1">
        <v>2</v>
      </c>
    </row>
    <row r="132" spans="1:6" x14ac:dyDescent="0.35">
      <c r="A132" s="1">
        <v>2031</v>
      </c>
      <c r="B132" s="1">
        <v>7063.4090450652311</v>
      </c>
      <c r="C132" s="1">
        <v>24885.289484021599</v>
      </c>
      <c r="D132" s="1">
        <v>69203.116158301287</v>
      </c>
      <c r="E132" s="1" t="s">
        <v>139</v>
      </c>
      <c r="F132" s="1">
        <v>2</v>
      </c>
    </row>
    <row r="133" spans="1:6" x14ac:dyDescent="0.35">
      <c r="A133" s="1">
        <v>2032</v>
      </c>
      <c r="B133" s="1">
        <v>6889.0128543626997</v>
      </c>
      <c r="C133" s="1">
        <v>24270.869497460699</v>
      </c>
      <c r="D133" s="1">
        <v>67494.485132439309</v>
      </c>
      <c r="E133" s="1" t="s">
        <v>139</v>
      </c>
      <c r="F133" s="1">
        <v>2</v>
      </c>
    </row>
    <row r="134" spans="1:6" x14ac:dyDescent="0.35">
      <c r="A134" s="1">
        <v>2033</v>
      </c>
      <c r="B134" s="1">
        <v>6718.9225209505375</v>
      </c>
      <c r="C134" s="1">
        <v>24885.289484021599</v>
      </c>
      <c r="D134" s="1">
        <v>65828.040356916987</v>
      </c>
      <c r="E134" s="1" t="s">
        <v>139</v>
      </c>
      <c r="F134" s="1">
        <v>2</v>
      </c>
    </row>
    <row r="135" spans="1:6" x14ac:dyDescent="0.35">
      <c r="A135" s="1">
        <v>2034</v>
      </c>
      <c r="B135" s="1">
        <v>6553.0317328334513</v>
      </c>
      <c r="C135" s="1">
        <v>25515.263586594909</v>
      </c>
      <c r="D135" s="1">
        <v>67494.485132439309</v>
      </c>
      <c r="E135" s="1" t="s">
        <v>139</v>
      </c>
      <c r="F135" s="1">
        <v>2</v>
      </c>
    </row>
    <row r="136" spans="1:6" x14ac:dyDescent="0.35">
      <c r="A136" s="1">
        <v>2035</v>
      </c>
      <c r="B136" s="1">
        <v>6391.2368028686651</v>
      </c>
      <c r="C136" s="1">
        <v>26161.18555950213</v>
      </c>
      <c r="D136" s="1">
        <v>69203.116158301287</v>
      </c>
      <c r="E136" s="1" t="s">
        <v>139</v>
      </c>
      <c r="F136" s="1">
        <v>2</v>
      </c>
    </row>
    <row r="137" spans="1:6" x14ac:dyDescent="0.35">
      <c r="A137" s="1">
        <v>2036</v>
      </c>
      <c r="B137" s="1">
        <v>6553.0317328334504</v>
      </c>
      <c r="C137" s="1">
        <v>25515.263586594909</v>
      </c>
      <c r="D137" s="1">
        <v>67494.485132439309</v>
      </c>
      <c r="E137" s="1" t="s">
        <v>139</v>
      </c>
      <c r="F137" s="1">
        <v>2</v>
      </c>
    </row>
    <row r="138" spans="1:6" x14ac:dyDescent="0.35">
      <c r="A138" s="1">
        <v>2037</v>
      </c>
      <c r="B138" s="1">
        <v>18062.422506965431</v>
      </c>
      <c r="C138" s="1">
        <v>111687.7</v>
      </c>
      <c r="D138" s="1">
        <v>111687.7</v>
      </c>
      <c r="E138" s="1" t="s">
        <v>139</v>
      </c>
      <c r="F138" s="1">
        <v>2</v>
      </c>
    </row>
    <row r="139" spans="1:6" x14ac:dyDescent="0.35">
      <c r="A139" s="1">
        <v>2038</v>
      </c>
      <c r="B139" s="1">
        <v>8406.7554679354289</v>
      </c>
      <c r="C139" s="1">
        <v>43912.021627479291</v>
      </c>
      <c r="D139" s="1">
        <v>82421.591252931961</v>
      </c>
      <c r="E139" s="1" t="s">
        <v>139</v>
      </c>
      <c r="F139" s="1">
        <v>2</v>
      </c>
    </row>
    <row r="140" spans="1:6" x14ac:dyDescent="0.35">
      <c r="A140" s="1">
        <v>2039</v>
      </c>
      <c r="B140" s="1">
        <v>8199.1919358758078</v>
      </c>
      <c r="C140" s="1">
        <v>45023.659747450263</v>
      </c>
      <c r="D140" s="1">
        <v>80386.594914132264</v>
      </c>
      <c r="E140" s="1" t="s">
        <v>139</v>
      </c>
      <c r="F140" s="1">
        <v>2</v>
      </c>
    </row>
    <row r="141" spans="1:6" x14ac:dyDescent="0.35">
      <c r="A141" s="1">
        <v>2040</v>
      </c>
      <c r="B141" s="1">
        <v>8406.7554679354289</v>
      </c>
      <c r="C141" s="1">
        <v>43912.021627479291</v>
      </c>
      <c r="D141" s="1">
        <v>82421.591252931961</v>
      </c>
      <c r="E141" s="1" t="s">
        <v>139</v>
      </c>
      <c r="F141" s="1">
        <v>2</v>
      </c>
    </row>
    <row r="142" spans="1:6" x14ac:dyDescent="0.35">
      <c r="A142" s="1">
        <v>2041</v>
      </c>
      <c r="B142" s="1">
        <v>8619.5734958256162</v>
      </c>
      <c r="C142" s="1">
        <v>45023.659747450263</v>
      </c>
      <c r="D142" s="1">
        <v>80386.594914132264</v>
      </c>
      <c r="E142" s="1" t="s">
        <v>139</v>
      </c>
      <c r="F142" s="1">
        <v>2</v>
      </c>
    </row>
    <row r="143" spans="1:6" x14ac:dyDescent="0.35">
      <c r="A143" s="1">
        <v>2042</v>
      </c>
      <c r="B143" s="1">
        <v>8406.7554679354289</v>
      </c>
      <c r="C143" s="1">
        <v>43912.021627479291</v>
      </c>
      <c r="D143" s="1">
        <v>78401.842813959549</v>
      </c>
      <c r="E143" s="1" t="s">
        <v>139</v>
      </c>
      <c r="F143" s="1">
        <v>2</v>
      </c>
    </row>
    <row r="144" spans="1:6" x14ac:dyDescent="0.35">
      <c r="A144" s="1">
        <v>2043</v>
      </c>
      <c r="B144" s="1">
        <v>8619.5734958256162</v>
      </c>
      <c r="C144" s="1">
        <v>45023.659747450263</v>
      </c>
      <c r="D144" s="1">
        <v>76466.094417742046</v>
      </c>
      <c r="E144" s="1" t="s">
        <v>139</v>
      </c>
      <c r="F144" s="1">
        <v>2</v>
      </c>
    </row>
    <row r="145" spans="1:6" x14ac:dyDescent="0.35">
      <c r="A145" s="1">
        <v>2044</v>
      </c>
      <c r="B145" s="1">
        <v>8406.7554679354289</v>
      </c>
      <c r="C145" s="1">
        <v>43912.021627479291</v>
      </c>
      <c r="D145" s="1">
        <v>78401.842813959549</v>
      </c>
      <c r="E145" s="1" t="s">
        <v>139</v>
      </c>
      <c r="F145" s="1">
        <v>2</v>
      </c>
    </row>
    <row r="146" spans="1:6" x14ac:dyDescent="0.35">
      <c r="A146" s="1">
        <v>2045</v>
      </c>
      <c r="B146" s="1">
        <v>8199.1919358758078</v>
      </c>
      <c r="C146" s="1">
        <v>42827.829950483057</v>
      </c>
      <c r="D146" s="1">
        <v>80386.594914132264</v>
      </c>
      <c r="E146" s="1" t="s">
        <v>139</v>
      </c>
      <c r="F146" s="1">
        <v>2</v>
      </c>
    </row>
    <row r="147" spans="1:6" x14ac:dyDescent="0.35">
      <c r="A147" s="1">
        <v>2046</v>
      </c>
      <c r="B147" s="1">
        <v>8406.7554679354289</v>
      </c>
      <c r="C147" s="1">
        <v>43912.021627479291</v>
      </c>
      <c r="D147" s="1">
        <v>78401.842813959549</v>
      </c>
      <c r="E147" s="1" t="s">
        <v>139</v>
      </c>
      <c r="F147" s="1">
        <v>2</v>
      </c>
    </row>
    <row r="148" spans="1:6" x14ac:dyDescent="0.35">
      <c r="A148" s="1">
        <v>2047</v>
      </c>
      <c r="B148" s="1">
        <v>8199.1919358758078</v>
      </c>
      <c r="C148" s="1">
        <v>45023.659747450263</v>
      </c>
      <c r="D148" s="1">
        <v>78885.282456372181</v>
      </c>
      <c r="E148" s="1" t="s">
        <v>139</v>
      </c>
      <c r="F148" s="1">
        <v>2</v>
      </c>
    </row>
    <row r="149" spans="1:6" x14ac:dyDescent="0.35">
      <c r="A149" s="1">
        <v>2048</v>
      </c>
      <c r="B149" s="1">
        <v>7996.7531656824494</v>
      </c>
      <c r="C149" s="1">
        <v>46163.439120407827</v>
      </c>
      <c r="D149" s="1">
        <v>80882.27288935885</v>
      </c>
      <c r="E149" s="1" t="s">
        <v>139</v>
      </c>
      <c r="F149" s="1">
        <v>2</v>
      </c>
    </row>
    <row r="150" spans="1:6" x14ac:dyDescent="0.35">
      <c r="A150" s="1">
        <v>2049</v>
      </c>
      <c r="B150" s="1">
        <v>8199.1919358758078</v>
      </c>
      <c r="C150" s="1">
        <v>47332.072145563092</v>
      </c>
      <c r="D150" s="1">
        <v>82929.817375842715</v>
      </c>
      <c r="E150" s="1" t="s">
        <v>139</v>
      </c>
      <c r="F150" s="1">
        <v>2</v>
      </c>
    </row>
    <row r="151" spans="1:6" x14ac:dyDescent="0.35">
      <c r="A151" s="1">
        <v>2050</v>
      </c>
      <c r="B151" s="1">
        <v>8194.4882550905495</v>
      </c>
      <c r="C151" s="1">
        <v>46163.439120407827</v>
      </c>
      <c r="D151" s="1">
        <v>85029.195697781048</v>
      </c>
      <c r="E151" s="1" t="s">
        <v>139</v>
      </c>
      <c r="F151" s="1">
        <v>2</v>
      </c>
    </row>
    <row r="152" spans="1:6" x14ac:dyDescent="0.35">
      <c r="A152" s="1">
        <v>2026</v>
      </c>
      <c r="B152" s="1">
        <v>10893.012086164679</v>
      </c>
      <c r="C152" s="1">
        <v>10893.012086164679</v>
      </c>
      <c r="D152" s="1">
        <v>11451.508758659629</v>
      </c>
      <c r="E152" s="1" t="s">
        <v>140</v>
      </c>
      <c r="F152" s="1">
        <v>2</v>
      </c>
    </row>
    <row r="153" spans="1:6" x14ac:dyDescent="0.35">
      <c r="A153" s="1">
        <v>2027</v>
      </c>
      <c r="B153" s="1">
        <v>10624.06265948084</v>
      </c>
      <c r="C153" s="1">
        <v>11168.77</v>
      </c>
      <c r="D153" s="1">
        <v>11168.77</v>
      </c>
      <c r="E153" s="1" t="s">
        <v>140</v>
      </c>
      <c r="F153" s="1">
        <v>2</v>
      </c>
    </row>
    <row r="154" spans="1:6" x14ac:dyDescent="0.35">
      <c r="A154" s="1">
        <v>2028</v>
      </c>
      <c r="B154" s="1">
        <v>10361.753617801751</v>
      </c>
      <c r="C154" s="1">
        <v>10893.012086164679</v>
      </c>
      <c r="D154" s="1">
        <v>11451.508758659629</v>
      </c>
      <c r="E154" s="1" t="s">
        <v>140</v>
      </c>
      <c r="F154" s="1">
        <v>2</v>
      </c>
    </row>
    <row r="155" spans="1:6" x14ac:dyDescent="0.35">
      <c r="A155" s="1">
        <v>2029</v>
      </c>
      <c r="B155" s="1">
        <v>10624.06265948084</v>
      </c>
      <c r="C155" s="1">
        <v>11168.77</v>
      </c>
      <c r="D155" s="1">
        <v>11741.40508307165</v>
      </c>
      <c r="E155" s="1" t="s">
        <v>140</v>
      </c>
      <c r="F155" s="1">
        <v>2</v>
      </c>
    </row>
    <row r="156" spans="1:6" x14ac:dyDescent="0.35">
      <c r="A156" s="1">
        <v>2030</v>
      </c>
      <c r="B156" s="1">
        <v>14775.79587066927</v>
      </c>
      <c r="C156" s="1">
        <v>43295.863293252587</v>
      </c>
      <c r="D156" s="1">
        <v>103010.6665534416</v>
      </c>
      <c r="E156" s="1" t="s">
        <v>140</v>
      </c>
      <c r="F156" s="1">
        <v>2</v>
      </c>
    </row>
    <row r="157" spans="1:6" x14ac:dyDescent="0.35">
      <c r="A157" s="1">
        <v>2031</v>
      </c>
      <c r="B157" s="1">
        <v>6908.061063454049</v>
      </c>
      <c r="C157" s="1">
        <v>22480.763155642981</v>
      </c>
      <c r="D157" s="1">
        <v>67650.033011602733</v>
      </c>
      <c r="E157" s="1" t="s">
        <v>140</v>
      </c>
      <c r="F157" s="1">
        <v>2</v>
      </c>
    </row>
    <row r="158" spans="1:6" x14ac:dyDescent="0.35">
      <c r="A158" s="1">
        <v>2032</v>
      </c>
      <c r="B158" s="1">
        <v>6737.5004280837184</v>
      </c>
      <c r="C158" s="1">
        <v>23049.866384409219</v>
      </c>
      <c r="D158" s="1">
        <v>65979.747745260058</v>
      </c>
      <c r="E158" s="1" t="s">
        <v>140</v>
      </c>
      <c r="F158" s="1">
        <v>2</v>
      </c>
    </row>
    <row r="159" spans="1:6" x14ac:dyDescent="0.35">
      <c r="A159" s="1">
        <v>2033</v>
      </c>
      <c r="B159" s="1">
        <v>6571.1509498051846</v>
      </c>
      <c r="C159" s="1">
        <v>23633.376530002519</v>
      </c>
      <c r="D159" s="1">
        <v>67650.033011602733</v>
      </c>
      <c r="E159" s="1" t="s">
        <v>140</v>
      </c>
      <c r="F159" s="1">
        <v>2</v>
      </c>
    </row>
    <row r="160" spans="1:6" x14ac:dyDescent="0.35">
      <c r="A160" s="1">
        <v>2034</v>
      </c>
      <c r="B160" s="1">
        <v>6408.9086547793886</v>
      </c>
      <c r="C160" s="1">
        <v>24231.658305258741</v>
      </c>
      <c r="D160" s="1">
        <v>65979.747745260058</v>
      </c>
      <c r="E160" s="1" t="s">
        <v>140</v>
      </c>
      <c r="F160" s="1">
        <v>2</v>
      </c>
    </row>
    <row r="161" spans="1:6" x14ac:dyDescent="0.35">
      <c r="A161" s="1">
        <v>2035</v>
      </c>
      <c r="B161" s="1">
        <v>6250.6721362905046</v>
      </c>
      <c r="C161" s="1">
        <v>23633.376530002519</v>
      </c>
      <c r="D161" s="1">
        <v>67650.033011602733</v>
      </c>
      <c r="E161" s="1" t="s">
        <v>140</v>
      </c>
      <c r="F161" s="1">
        <v>2</v>
      </c>
    </row>
    <row r="162" spans="1:6" x14ac:dyDescent="0.35">
      <c r="A162" s="1">
        <v>2036</v>
      </c>
      <c r="B162" s="1">
        <v>6408.9086547793877</v>
      </c>
      <c r="C162" s="1">
        <v>23049.866384409219</v>
      </c>
      <c r="D162" s="1">
        <v>69362.601750773043</v>
      </c>
      <c r="E162" s="1" t="s">
        <v>140</v>
      </c>
      <c r="F162" s="1">
        <v>2</v>
      </c>
    </row>
    <row r="163" spans="1:6" x14ac:dyDescent="0.35">
      <c r="A163" s="1">
        <v>2037</v>
      </c>
      <c r="B163" s="1">
        <v>6250.6721362905046</v>
      </c>
      <c r="C163" s="1">
        <v>23633.376530002519</v>
      </c>
      <c r="D163" s="1">
        <v>71118.524373981825</v>
      </c>
      <c r="E163" s="1" t="s">
        <v>140</v>
      </c>
      <c r="F163" s="1">
        <v>2</v>
      </c>
    </row>
    <row r="164" spans="1:6" x14ac:dyDescent="0.35">
      <c r="A164" s="1">
        <v>2038</v>
      </c>
      <c r="B164" s="1">
        <v>6408.9086547793877</v>
      </c>
      <c r="C164" s="1">
        <v>23049.866384409219</v>
      </c>
      <c r="D164" s="1">
        <v>69362.601750773043</v>
      </c>
      <c r="E164" s="1" t="s">
        <v>140</v>
      </c>
      <c r="F164" s="1">
        <v>2</v>
      </c>
    </row>
    <row r="165" spans="1:6" x14ac:dyDescent="0.35">
      <c r="A165" s="1">
        <v>2039</v>
      </c>
      <c r="B165" s="1">
        <v>6571.1509498051828</v>
      </c>
      <c r="C165" s="1">
        <v>23633.376530002519</v>
      </c>
      <c r="D165" s="1">
        <v>71118.524373981825</v>
      </c>
      <c r="E165" s="1" t="s">
        <v>140</v>
      </c>
      <c r="F165" s="1">
        <v>2</v>
      </c>
    </row>
    <row r="166" spans="1:6" x14ac:dyDescent="0.35">
      <c r="A166" s="1">
        <v>2040</v>
      </c>
      <c r="B166" s="1">
        <v>6737.5004280837175</v>
      </c>
      <c r="C166" s="1">
        <v>24231.658305258741</v>
      </c>
      <c r="D166" s="1">
        <v>69362.601750773043</v>
      </c>
      <c r="E166" s="1" t="s">
        <v>140</v>
      </c>
      <c r="F166" s="1">
        <v>2</v>
      </c>
    </row>
    <row r="167" spans="1:6" x14ac:dyDescent="0.35">
      <c r="A167" s="1">
        <v>2041</v>
      </c>
      <c r="B167" s="1">
        <v>6571.1509498051828</v>
      </c>
      <c r="C167" s="1">
        <v>23633.376530002519</v>
      </c>
      <c r="D167" s="1">
        <v>67650.033011602733</v>
      </c>
      <c r="E167" s="1" t="s">
        <v>140</v>
      </c>
      <c r="F167" s="1">
        <v>2</v>
      </c>
    </row>
    <row r="168" spans="1:6" x14ac:dyDescent="0.35">
      <c r="A168" s="1">
        <v>2042</v>
      </c>
      <c r="B168" s="1">
        <v>6737.5004280837175</v>
      </c>
      <c r="C168" s="1">
        <v>23049.866384409219</v>
      </c>
      <c r="D168" s="1">
        <v>65979.747745260058</v>
      </c>
      <c r="E168" s="1" t="s">
        <v>140</v>
      </c>
      <c r="F168" s="1">
        <v>2</v>
      </c>
    </row>
    <row r="169" spans="1:6" x14ac:dyDescent="0.35">
      <c r="A169" s="1">
        <v>2043</v>
      </c>
      <c r="B169" s="1">
        <v>6908.0610634540471</v>
      </c>
      <c r="C169" s="1">
        <v>22480.763155642981</v>
      </c>
      <c r="D169" s="1">
        <v>67650.033011602733</v>
      </c>
      <c r="E169" s="1" t="s">
        <v>140</v>
      </c>
      <c r="F169" s="1">
        <v>2</v>
      </c>
    </row>
    <row r="170" spans="1:6" x14ac:dyDescent="0.35">
      <c r="A170" s="1">
        <v>2044</v>
      </c>
      <c r="B170" s="1">
        <v>6737.5004280837175</v>
      </c>
      <c r="C170" s="1">
        <v>21925.711135659942</v>
      </c>
      <c r="D170" s="1">
        <v>69362.601750773043</v>
      </c>
      <c r="E170" s="1" t="s">
        <v>140</v>
      </c>
      <c r="F170" s="1">
        <v>2</v>
      </c>
    </row>
    <row r="171" spans="1:6" x14ac:dyDescent="0.35">
      <c r="A171" s="1">
        <v>2045</v>
      </c>
      <c r="B171" s="1">
        <v>6571.1509498051828</v>
      </c>
      <c r="C171" s="1">
        <v>22480.763155642981</v>
      </c>
      <c r="D171" s="1">
        <v>71118.524373981825</v>
      </c>
      <c r="E171" s="1" t="s">
        <v>140</v>
      </c>
      <c r="F171" s="1">
        <v>2</v>
      </c>
    </row>
    <row r="172" spans="1:6" x14ac:dyDescent="0.35">
      <c r="A172" s="1">
        <v>2046</v>
      </c>
      <c r="B172" s="1">
        <v>6737.5004280837175</v>
      </c>
      <c r="C172" s="1">
        <v>23049.866384409219</v>
      </c>
      <c r="D172" s="1">
        <v>69362.601750773043</v>
      </c>
      <c r="E172" s="1" t="s">
        <v>140</v>
      </c>
      <c r="F172" s="1">
        <v>2</v>
      </c>
    </row>
    <row r="173" spans="1:6" x14ac:dyDescent="0.35">
      <c r="A173" s="1">
        <v>2047</v>
      </c>
      <c r="B173" s="1">
        <v>16695.55410931211</v>
      </c>
      <c r="C173" s="1">
        <v>90979.7092801994</v>
      </c>
      <c r="D173" s="1">
        <v>111687.7</v>
      </c>
      <c r="E173" s="1" t="s">
        <v>140</v>
      </c>
      <c r="F173" s="1">
        <v>2</v>
      </c>
    </row>
    <row r="174" spans="1:6" x14ac:dyDescent="0.35">
      <c r="A174" s="1">
        <v>2048</v>
      </c>
      <c r="B174" s="1">
        <v>9406.5849884204017</v>
      </c>
      <c r="C174" s="1">
        <v>38198.919805159821</v>
      </c>
      <c r="D174" s="1">
        <v>80250.876238279088</v>
      </c>
      <c r="E174" s="1" t="s">
        <v>140</v>
      </c>
      <c r="F174" s="1">
        <v>2</v>
      </c>
    </row>
    <row r="175" spans="1:6" x14ac:dyDescent="0.35">
      <c r="A175" s="1">
        <v>2049</v>
      </c>
      <c r="B175" s="1">
        <v>9174.3355775433356</v>
      </c>
      <c r="C175" s="1">
        <v>39165.930063930427</v>
      </c>
      <c r="D175" s="1">
        <v>78269.475044152583</v>
      </c>
      <c r="E175" s="1" t="s">
        <v>140</v>
      </c>
      <c r="F175" s="1">
        <v>2</v>
      </c>
    </row>
    <row r="176" spans="1:6" x14ac:dyDescent="0.35">
      <c r="A176" s="1">
        <v>2050</v>
      </c>
      <c r="B176" s="1">
        <v>9406.5849884203999</v>
      </c>
      <c r="C176" s="1">
        <v>40157.420303950188</v>
      </c>
      <c r="D176" s="1">
        <v>80250.876238279088</v>
      </c>
      <c r="E176" s="1" t="s">
        <v>140</v>
      </c>
      <c r="F176" s="1">
        <v>2</v>
      </c>
    </row>
    <row r="177" spans="1:6" x14ac:dyDescent="0.35">
      <c r="A177" s="1">
        <v>2026</v>
      </c>
      <c r="B177" s="1">
        <v>10893.012086164679</v>
      </c>
      <c r="C177" s="1">
        <v>11451.508758659629</v>
      </c>
      <c r="D177" s="1">
        <v>10893.012086164679</v>
      </c>
      <c r="E177" s="1" t="s">
        <v>141</v>
      </c>
      <c r="F177" s="1">
        <v>2</v>
      </c>
    </row>
    <row r="178" spans="1:6" x14ac:dyDescent="0.35">
      <c r="A178" s="1">
        <v>2027</v>
      </c>
      <c r="B178" s="1">
        <v>10624.06265948084</v>
      </c>
      <c r="C178" s="1">
        <v>11741.40508307165</v>
      </c>
      <c r="D178" s="1">
        <v>11168.77</v>
      </c>
      <c r="E178" s="1" t="s">
        <v>141</v>
      </c>
      <c r="F178" s="1">
        <v>2</v>
      </c>
    </row>
    <row r="179" spans="1:6" x14ac:dyDescent="0.35">
      <c r="A179" s="1">
        <v>2028</v>
      </c>
      <c r="B179" s="1">
        <v>10361.753617801751</v>
      </c>
      <c r="C179" s="1">
        <v>12038.64016787575</v>
      </c>
      <c r="D179" s="1">
        <v>10893.012086164679</v>
      </c>
      <c r="E179" s="1" t="s">
        <v>141</v>
      </c>
      <c r="F179" s="1">
        <v>2</v>
      </c>
    </row>
    <row r="180" spans="1:6" x14ac:dyDescent="0.35">
      <c r="A180" s="1">
        <v>2029</v>
      </c>
      <c r="B180" s="1">
        <v>10624.06265948084</v>
      </c>
      <c r="C180" s="1">
        <v>12343.39979467575</v>
      </c>
      <c r="D180" s="1">
        <v>10624.06265948084</v>
      </c>
      <c r="E180" s="1" t="s">
        <v>141</v>
      </c>
      <c r="F180" s="1">
        <v>2</v>
      </c>
    </row>
    <row r="181" spans="1:6" x14ac:dyDescent="0.35">
      <c r="A181" s="1">
        <v>2030</v>
      </c>
      <c r="B181" s="1">
        <v>10361.753617801751</v>
      </c>
      <c r="C181" s="1">
        <v>12038.64016787575</v>
      </c>
      <c r="D181" s="1">
        <v>10893.012086164679</v>
      </c>
      <c r="E181" s="1" t="s">
        <v>141</v>
      </c>
      <c r="F181" s="1">
        <v>2</v>
      </c>
    </row>
    <row r="182" spans="1:6" x14ac:dyDescent="0.35">
      <c r="A182" s="1">
        <v>2031</v>
      </c>
      <c r="B182" s="1">
        <v>15096.29631875001</v>
      </c>
      <c r="C182" s="1">
        <v>47133.37125722674</v>
      </c>
      <c r="D182" s="1">
        <v>111687.7</v>
      </c>
      <c r="E182" s="1" t="s">
        <v>141</v>
      </c>
      <c r="F182" s="1">
        <v>2</v>
      </c>
    </row>
    <row r="183" spans="1:6" x14ac:dyDescent="0.35">
      <c r="A183" s="1">
        <v>2032</v>
      </c>
      <c r="B183" s="1">
        <v>6147.4076782220691</v>
      </c>
      <c r="C183" s="1">
        <v>24898.272863197901</v>
      </c>
      <c r="D183" s="1">
        <v>68477.900308763157</v>
      </c>
      <c r="E183" s="1" t="s">
        <v>141</v>
      </c>
      <c r="F183" s="1">
        <v>2</v>
      </c>
    </row>
    <row r="184" spans="1:6" x14ac:dyDescent="0.35">
      <c r="A184" s="1">
        <v>2033</v>
      </c>
      <c r="B184" s="1">
        <v>5995.6276418490615</v>
      </c>
      <c r="C184" s="1">
        <v>24283.532315862969</v>
      </c>
      <c r="D184" s="1">
        <v>70211.426608339316</v>
      </c>
      <c r="E184" s="1" t="s">
        <v>141</v>
      </c>
      <c r="F184" s="1">
        <v>2</v>
      </c>
    </row>
    <row r="185" spans="1:6" x14ac:dyDescent="0.35">
      <c r="A185" s="1">
        <v>2034</v>
      </c>
      <c r="B185" s="1">
        <v>6147.4076782220691</v>
      </c>
      <c r="C185" s="1">
        <v>24898.272863197901</v>
      </c>
      <c r="D185" s="1">
        <v>71988.837335121512</v>
      </c>
      <c r="E185" s="1" t="s">
        <v>141</v>
      </c>
      <c r="F185" s="1">
        <v>2</v>
      </c>
    </row>
    <row r="186" spans="1:6" x14ac:dyDescent="0.35">
      <c r="A186" s="1">
        <v>2035</v>
      </c>
      <c r="B186" s="1">
        <v>5995.6276418490615</v>
      </c>
      <c r="C186" s="1">
        <v>24283.532315862969</v>
      </c>
      <c r="D186" s="1">
        <v>70211.426608339316</v>
      </c>
      <c r="E186" s="1" t="s">
        <v>141</v>
      </c>
      <c r="F186" s="1">
        <v>2</v>
      </c>
    </row>
    <row r="187" spans="1:6" x14ac:dyDescent="0.35">
      <c r="A187" s="1">
        <v>2036</v>
      </c>
      <c r="B187" s="1">
        <v>19715.66521985452</v>
      </c>
      <c r="C187" s="1">
        <v>111687.7</v>
      </c>
      <c r="D187" s="1">
        <v>111687.7</v>
      </c>
      <c r="E187" s="1" t="s">
        <v>141</v>
      </c>
      <c r="F187" s="1">
        <v>2</v>
      </c>
    </row>
    <row r="188" spans="1:6" x14ac:dyDescent="0.35">
      <c r="A188" s="1">
        <v>2037</v>
      </c>
      <c r="B188" s="1">
        <v>9097.5587298226037</v>
      </c>
      <c r="C188" s="1">
        <v>41463.565310122693</v>
      </c>
      <c r="D188" s="1">
        <v>81114.899261883998</v>
      </c>
      <c r="E188" s="1" t="s">
        <v>141</v>
      </c>
      <c r="F188" s="1">
        <v>2</v>
      </c>
    </row>
    <row r="189" spans="1:6" x14ac:dyDescent="0.35">
      <c r="A189" s="1">
        <v>2038</v>
      </c>
      <c r="B189" s="1">
        <v>8872.9392044558736</v>
      </c>
      <c r="C189" s="1">
        <v>42513.220463320969</v>
      </c>
      <c r="D189" s="1">
        <v>79112.165263295145</v>
      </c>
      <c r="E189" s="1" t="s">
        <v>141</v>
      </c>
      <c r="F189" s="1">
        <v>2</v>
      </c>
    </row>
    <row r="190" spans="1:6" x14ac:dyDescent="0.35">
      <c r="A190" s="1">
        <v>2039</v>
      </c>
      <c r="B190" s="1">
        <v>8653.8655549306022</v>
      </c>
      <c r="C190" s="1">
        <v>41463.565310122693</v>
      </c>
      <c r="D190" s="1">
        <v>77158.8789433153</v>
      </c>
      <c r="E190" s="1" t="s">
        <v>141</v>
      </c>
      <c r="F190" s="1">
        <v>2</v>
      </c>
    </row>
    <row r="191" spans="1:6" x14ac:dyDescent="0.35">
      <c r="A191" s="1">
        <v>2040</v>
      </c>
      <c r="B191" s="1">
        <v>8872.9392044558736</v>
      </c>
      <c r="C191" s="1">
        <v>40439.826234996777</v>
      </c>
      <c r="D191" s="1">
        <v>75253.819434409612</v>
      </c>
      <c r="E191" s="1" t="s">
        <v>141</v>
      </c>
      <c r="F191" s="1">
        <v>2</v>
      </c>
    </row>
    <row r="192" spans="1:6" x14ac:dyDescent="0.35">
      <c r="A192" s="1">
        <v>2041</v>
      </c>
      <c r="B192" s="1">
        <v>8653.8655549306022</v>
      </c>
      <c r="C192" s="1">
        <v>39441.363367695762</v>
      </c>
      <c r="D192" s="1">
        <v>77158.8789433153</v>
      </c>
      <c r="E192" s="1" t="s">
        <v>141</v>
      </c>
      <c r="F192" s="1">
        <v>2</v>
      </c>
    </row>
    <row r="193" spans="1:6" x14ac:dyDescent="0.35">
      <c r="A193" s="1">
        <v>2042</v>
      </c>
      <c r="B193" s="1">
        <v>8872.9392044558736</v>
      </c>
      <c r="C193" s="1">
        <v>38467.552636424851</v>
      </c>
      <c r="D193" s="1">
        <v>79112.165263295145</v>
      </c>
      <c r="E193" s="1" t="s">
        <v>141</v>
      </c>
      <c r="F193" s="1">
        <v>2</v>
      </c>
    </row>
    <row r="194" spans="1:6" x14ac:dyDescent="0.35">
      <c r="A194" s="1">
        <v>2043</v>
      </c>
      <c r="B194" s="1">
        <v>9097.5587298226037</v>
      </c>
      <c r="C194" s="1">
        <v>37517.785377776767</v>
      </c>
      <c r="D194" s="1">
        <v>81114.899261883998</v>
      </c>
      <c r="E194" s="1" t="s">
        <v>141</v>
      </c>
      <c r="F194" s="1">
        <v>2</v>
      </c>
    </row>
    <row r="195" spans="1:6" x14ac:dyDescent="0.35">
      <c r="A195" s="1">
        <v>2044</v>
      </c>
      <c r="B195" s="1">
        <v>9327.8645255461324</v>
      </c>
      <c r="C195" s="1">
        <v>36591.467956297332</v>
      </c>
      <c r="D195" s="1">
        <v>79112.165263295145</v>
      </c>
      <c r="E195" s="1" t="s">
        <v>141</v>
      </c>
      <c r="F195" s="1">
        <v>2</v>
      </c>
    </row>
    <row r="196" spans="1:6" x14ac:dyDescent="0.35">
      <c r="A196" s="1">
        <v>2045</v>
      </c>
      <c r="B196" s="1">
        <v>9564.0005402458773</v>
      </c>
      <c r="C196" s="1">
        <v>37517.785377776767</v>
      </c>
      <c r="D196" s="1">
        <v>81114.899261883998</v>
      </c>
      <c r="E196" s="1" t="s">
        <v>141</v>
      </c>
      <c r="F196" s="1">
        <v>2</v>
      </c>
    </row>
    <row r="197" spans="1:6" x14ac:dyDescent="0.35">
      <c r="A197" s="1">
        <v>2046</v>
      </c>
      <c r="B197" s="1">
        <v>9327.8645255461324</v>
      </c>
      <c r="C197" s="1">
        <v>36591.467956297332</v>
      </c>
      <c r="D197" s="1">
        <v>79112.165263295145</v>
      </c>
      <c r="E197" s="1" t="s">
        <v>141</v>
      </c>
      <c r="F197" s="1">
        <v>2</v>
      </c>
    </row>
    <row r="198" spans="1:6" x14ac:dyDescent="0.35">
      <c r="A198" s="1">
        <v>2047</v>
      </c>
      <c r="B198" s="1">
        <v>9097.5587298226037</v>
      </c>
      <c r="C198" s="1">
        <v>37517.785377776767</v>
      </c>
      <c r="D198" s="1">
        <v>79353.7193573205</v>
      </c>
      <c r="E198" s="1" t="s">
        <v>141</v>
      </c>
      <c r="F198" s="1">
        <v>2</v>
      </c>
    </row>
    <row r="199" spans="1:6" x14ac:dyDescent="0.35">
      <c r="A199" s="1">
        <v>2048</v>
      </c>
      <c r="B199" s="1">
        <v>8872.9392044558736</v>
      </c>
      <c r="C199" s="1">
        <v>38467.552636424851</v>
      </c>
      <c r="D199" s="1">
        <v>81362.568326912777</v>
      </c>
      <c r="E199" s="1" t="s">
        <v>141</v>
      </c>
      <c r="F199" s="1">
        <v>2</v>
      </c>
    </row>
    <row r="200" spans="1:6" x14ac:dyDescent="0.35">
      <c r="A200" s="1">
        <v>2049</v>
      </c>
      <c r="B200" s="1">
        <v>8653.8655549306022</v>
      </c>
      <c r="C200" s="1">
        <v>39441.363367695747</v>
      </c>
      <c r="D200" s="1">
        <v>83422.271550285644</v>
      </c>
      <c r="E200" s="1" t="s">
        <v>141</v>
      </c>
      <c r="F200" s="1">
        <v>2</v>
      </c>
    </row>
    <row r="201" spans="1:6" x14ac:dyDescent="0.35">
      <c r="A201" s="1">
        <v>2050</v>
      </c>
      <c r="B201" s="1">
        <v>8872.9392044558736</v>
      </c>
      <c r="C201" s="1">
        <v>40439.826234996763</v>
      </c>
      <c r="D201" s="1">
        <v>81362.568326912762</v>
      </c>
      <c r="E201" s="1" t="s">
        <v>141</v>
      </c>
      <c r="F201" s="1">
        <v>2</v>
      </c>
    </row>
    <row r="202" spans="1:6" x14ac:dyDescent="0.35">
      <c r="A202" s="1">
        <v>2026</v>
      </c>
      <c r="B202" s="1">
        <v>10893.012086164679</v>
      </c>
      <c r="C202" s="1">
        <v>10893.012086164679</v>
      </c>
      <c r="D202" s="1">
        <v>11451.508758659629</v>
      </c>
      <c r="E202" s="1" t="s">
        <v>142</v>
      </c>
      <c r="F202" s="1">
        <v>2</v>
      </c>
    </row>
    <row r="203" spans="1:6" x14ac:dyDescent="0.35">
      <c r="A203" s="1">
        <v>2027</v>
      </c>
      <c r="B203" s="1">
        <v>10624.06265948084</v>
      </c>
      <c r="C203" s="1">
        <v>11168.77</v>
      </c>
      <c r="D203" s="1">
        <v>11168.77</v>
      </c>
      <c r="E203" s="1" t="s">
        <v>142</v>
      </c>
      <c r="F203" s="1">
        <v>2</v>
      </c>
    </row>
    <row r="204" spans="1:6" x14ac:dyDescent="0.35">
      <c r="A204" s="1">
        <v>2028</v>
      </c>
      <c r="B204" s="1">
        <v>10361.753617801751</v>
      </c>
      <c r="C204" s="1">
        <v>11451.508758659629</v>
      </c>
      <c r="D204" s="1">
        <v>10893.012086164679</v>
      </c>
      <c r="E204" s="1" t="s">
        <v>142</v>
      </c>
      <c r="F204" s="1">
        <v>2</v>
      </c>
    </row>
    <row r="205" spans="1:6" x14ac:dyDescent="0.35">
      <c r="A205" s="1">
        <v>2029</v>
      </c>
      <c r="B205" s="1">
        <v>10624.06265948084</v>
      </c>
      <c r="C205" s="1">
        <v>11741.40508307165</v>
      </c>
      <c r="D205" s="1">
        <v>11168.77</v>
      </c>
      <c r="E205" s="1" t="s">
        <v>142</v>
      </c>
      <c r="F205" s="1">
        <v>2</v>
      </c>
    </row>
    <row r="206" spans="1:6" x14ac:dyDescent="0.35">
      <c r="A206" s="1">
        <v>2030</v>
      </c>
      <c r="B206" s="1">
        <v>10893.012086164679</v>
      </c>
      <c r="C206" s="1">
        <v>12038.64016787575</v>
      </c>
      <c r="D206" s="1">
        <v>11451.508758659629</v>
      </c>
      <c r="E206" s="1" t="s">
        <v>142</v>
      </c>
      <c r="F206" s="1">
        <v>2</v>
      </c>
    </row>
    <row r="207" spans="1:6" x14ac:dyDescent="0.35">
      <c r="A207" s="1">
        <v>2031</v>
      </c>
      <c r="B207" s="1">
        <v>10624.062659480829</v>
      </c>
      <c r="C207" s="1">
        <v>11741.40508307165</v>
      </c>
      <c r="D207" s="1">
        <v>11741.40508307165</v>
      </c>
      <c r="E207" s="1" t="s">
        <v>142</v>
      </c>
      <c r="F207" s="1">
        <v>2</v>
      </c>
    </row>
    <row r="208" spans="1:6" x14ac:dyDescent="0.35">
      <c r="A208" s="1">
        <v>2032</v>
      </c>
      <c r="B208" s="1">
        <v>10361.753617801751</v>
      </c>
      <c r="C208" s="1">
        <v>12038.64016787575</v>
      </c>
      <c r="D208" s="1">
        <v>12038.64016787575</v>
      </c>
      <c r="E208" s="1" t="s">
        <v>142</v>
      </c>
      <c r="F208" s="1">
        <v>2</v>
      </c>
    </row>
    <row r="209" spans="1:6" x14ac:dyDescent="0.35">
      <c r="A209" s="1">
        <v>2033</v>
      </c>
      <c r="B209" s="1">
        <v>10618.328188854501</v>
      </c>
      <c r="C209" s="1">
        <v>11741.40508307165</v>
      </c>
      <c r="D209" s="1">
        <v>11741.40508307165</v>
      </c>
      <c r="E209" s="1" t="s">
        <v>142</v>
      </c>
      <c r="F209" s="1">
        <v>2</v>
      </c>
    </row>
    <row r="210" spans="1:6" x14ac:dyDescent="0.35">
      <c r="A210" s="1">
        <v>2034</v>
      </c>
      <c r="B210" s="1">
        <v>10356.16073175965</v>
      </c>
      <c r="C210" s="1">
        <v>11451.50875865962</v>
      </c>
      <c r="D210" s="1">
        <v>12038.64016787575</v>
      </c>
      <c r="E210" s="1" t="s">
        <v>142</v>
      </c>
      <c r="F210" s="1">
        <v>2</v>
      </c>
    </row>
    <row r="211" spans="1:6" x14ac:dyDescent="0.35">
      <c r="A211" s="1">
        <v>2035</v>
      </c>
      <c r="B211" s="1">
        <v>12837.25543173175</v>
      </c>
      <c r="C211" s="1">
        <v>41729.816559030143</v>
      </c>
      <c r="D211" s="1">
        <v>111687.7</v>
      </c>
      <c r="E211" s="1" t="s">
        <v>142</v>
      </c>
      <c r="F211" s="1">
        <v>2</v>
      </c>
    </row>
    <row r="212" spans="1:6" x14ac:dyDescent="0.35">
      <c r="A212" s="1">
        <v>2036</v>
      </c>
      <c r="B212" s="1">
        <v>5796.154910546371</v>
      </c>
      <c r="C212" s="1">
        <v>21777.429942994921</v>
      </c>
      <c r="D212" s="1">
        <v>72731.520717734122</v>
      </c>
      <c r="E212" s="1" t="s">
        <v>142</v>
      </c>
      <c r="F212" s="1">
        <v>2</v>
      </c>
    </row>
    <row r="213" spans="1:6" x14ac:dyDescent="0.35">
      <c r="A213" s="1">
        <v>2037</v>
      </c>
      <c r="B213" s="1">
        <v>5942.8852706851121</v>
      </c>
      <c r="C213" s="1">
        <v>21239.74328190555</v>
      </c>
      <c r="D213" s="1">
        <v>70935.77307290012</v>
      </c>
      <c r="E213" s="1" t="s">
        <v>142</v>
      </c>
      <c r="F213" s="1">
        <v>2</v>
      </c>
    </row>
    <row r="214" spans="1:6" x14ac:dyDescent="0.35">
      <c r="A214" s="1">
        <v>2038</v>
      </c>
      <c r="B214" s="1">
        <v>5796.15491054637</v>
      </c>
      <c r="C214" s="1">
        <v>20715.332151779668</v>
      </c>
      <c r="D214" s="1">
        <v>72731.520717734122</v>
      </c>
      <c r="E214" s="1" t="s">
        <v>142</v>
      </c>
      <c r="F214" s="1">
        <v>2</v>
      </c>
    </row>
    <row r="215" spans="1:6" x14ac:dyDescent="0.35">
      <c r="A215" s="1">
        <v>2039</v>
      </c>
      <c r="B215" s="1">
        <v>5942.8852706851112</v>
      </c>
      <c r="C215" s="1">
        <v>21239.74328190555</v>
      </c>
      <c r="D215" s="1">
        <v>70935.77307290012</v>
      </c>
      <c r="E215" s="1" t="s">
        <v>142</v>
      </c>
      <c r="F215" s="1">
        <v>2</v>
      </c>
    </row>
    <row r="216" spans="1:6" x14ac:dyDescent="0.35">
      <c r="A216" s="1">
        <v>2040</v>
      </c>
      <c r="B216" s="1">
        <v>6093.3301275753574</v>
      </c>
      <c r="C216" s="1">
        <v>21777.429942994921</v>
      </c>
      <c r="D216" s="1">
        <v>72731.520717734122</v>
      </c>
      <c r="E216" s="1" t="s">
        <v>142</v>
      </c>
      <c r="F216" s="1">
        <v>2</v>
      </c>
    </row>
    <row r="217" spans="1:6" x14ac:dyDescent="0.35">
      <c r="A217" s="1">
        <v>2041</v>
      </c>
      <c r="B217" s="1">
        <v>21367.567153446489</v>
      </c>
      <c r="C217" s="1">
        <v>111687.7</v>
      </c>
      <c r="D217" s="1">
        <v>111687.7</v>
      </c>
      <c r="E217" s="1" t="s">
        <v>142</v>
      </c>
      <c r="F217" s="1">
        <v>2</v>
      </c>
    </row>
    <row r="218" spans="1:6" x14ac:dyDescent="0.35">
      <c r="A218" s="1">
        <v>2042</v>
      </c>
      <c r="B218" s="1">
        <v>9646.1751618145754</v>
      </c>
      <c r="C218" s="1">
        <v>41579.113463387461</v>
      </c>
      <c r="D218" s="1">
        <v>79469.198277844349</v>
      </c>
      <c r="E218" s="1" t="s">
        <v>142</v>
      </c>
      <c r="F218" s="1">
        <v>2</v>
      </c>
    </row>
    <row r="219" spans="1:6" x14ac:dyDescent="0.35">
      <c r="A219" s="1">
        <v>2043</v>
      </c>
      <c r="B219" s="1">
        <v>9408.0102484792606</v>
      </c>
      <c r="C219" s="1">
        <v>40552.521494192493</v>
      </c>
      <c r="D219" s="1">
        <v>77507.096781326487</v>
      </c>
      <c r="E219" s="1" t="s">
        <v>142</v>
      </c>
      <c r="F219" s="1">
        <v>2</v>
      </c>
    </row>
    <row r="220" spans="1:6" x14ac:dyDescent="0.35">
      <c r="A220" s="1">
        <v>2044</v>
      </c>
      <c r="B220" s="1">
        <v>9175.7256478059589</v>
      </c>
      <c r="C220" s="1">
        <v>41579.113463387461</v>
      </c>
      <c r="D220" s="1">
        <v>79469.198277844334</v>
      </c>
      <c r="E220" s="1" t="s">
        <v>142</v>
      </c>
      <c r="F220" s="1">
        <v>2</v>
      </c>
    </row>
    <row r="221" spans="1:6" x14ac:dyDescent="0.35">
      <c r="A221" s="1">
        <v>2045</v>
      </c>
      <c r="B221" s="1">
        <v>8949.1761743577445</v>
      </c>
      <c r="C221" s="1">
        <v>42631.69373201202</v>
      </c>
      <c r="D221" s="1">
        <v>81480.970610227698</v>
      </c>
      <c r="E221" s="1" t="s">
        <v>142</v>
      </c>
      <c r="F221" s="1">
        <v>2</v>
      </c>
    </row>
    <row r="222" spans="1:6" x14ac:dyDescent="0.35">
      <c r="A222" s="1">
        <v>2046</v>
      </c>
      <c r="B222" s="1">
        <v>9175.7256478059571</v>
      </c>
      <c r="C222" s="1">
        <v>41579.113463387461</v>
      </c>
      <c r="D222" s="1">
        <v>79469.198277844334</v>
      </c>
      <c r="E222" s="1" t="s">
        <v>142</v>
      </c>
      <c r="F222" s="1">
        <v>2</v>
      </c>
    </row>
    <row r="223" spans="1:6" x14ac:dyDescent="0.35">
      <c r="A223" s="1">
        <v>2047</v>
      </c>
      <c r="B223" s="1">
        <v>8949.1761743577426</v>
      </c>
      <c r="C223" s="1">
        <v>42631.69373201202</v>
      </c>
      <c r="D223" s="1">
        <v>81480.970610227698</v>
      </c>
      <c r="E223" s="1" t="s">
        <v>142</v>
      </c>
      <c r="F223" s="1">
        <v>2</v>
      </c>
    </row>
    <row r="224" spans="1:6" x14ac:dyDescent="0.35">
      <c r="A224" s="1">
        <v>2048</v>
      </c>
      <c r="B224" s="1">
        <v>9175.7256478059553</v>
      </c>
      <c r="C224" s="1">
        <v>41579.113463387461</v>
      </c>
      <c r="D224" s="1">
        <v>79469.198277844334</v>
      </c>
      <c r="E224" s="1" t="s">
        <v>142</v>
      </c>
      <c r="F224" s="1">
        <v>2</v>
      </c>
    </row>
    <row r="225" spans="1:6" x14ac:dyDescent="0.35">
      <c r="A225" s="1">
        <v>2049</v>
      </c>
      <c r="B225" s="1">
        <v>9408.0102484792569</v>
      </c>
      <c r="C225" s="1">
        <v>40552.521494192493</v>
      </c>
      <c r="D225" s="1">
        <v>81480.970610227698</v>
      </c>
      <c r="E225" s="1" t="s">
        <v>142</v>
      </c>
      <c r="F225" s="1">
        <v>2</v>
      </c>
    </row>
    <row r="226" spans="1:6" x14ac:dyDescent="0.35">
      <c r="A226" s="1">
        <v>2050</v>
      </c>
      <c r="B226" s="1">
        <v>9646.1751618145718</v>
      </c>
      <c r="C226" s="1">
        <v>41579.113463387461</v>
      </c>
      <c r="D226" s="1">
        <v>79469.198277844334</v>
      </c>
      <c r="E226" s="1" t="s">
        <v>142</v>
      </c>
      <c r="F226" s="1">
        <v>2</v>
      </c>
    </row>
    <row r="227" spans="1:6" x14ac:dyDescent="0.35">
      <c r="A227" s="1">
        <v>2026</v>
      </c>
      <c r="B227" s="1">
        <v>10893.012086164679</v>
      </c>
      <c r="C227" s="1">
        <v>11451.508758659629</v>
      </c>
      <c r="D227" s="1">
        <v>10893.012086164679</v>
      </c>
      <c r="E227" s="1" t="s">
        <v>143</v>
      </c>
      <c r="F227" s="1">
        <v>2</v>
      </c>
    </row>
    <row r="228" spans="1:6" x14ac:dyDescent="0.35">
      <c r="A228" s="1">
        <v>2027</v>
      </c>
      <c r="B228" s="1">
        <v>11168.77</v>
      </c>
      <c r="C228" s="1">
        <v>11741.40508307165</v>
      </c>
      <c r="D228" s="1">
        <v>11168.77</v>
      </c>
      <c r="E228" s="1" t="s">
        <v>143</v>
      </c>
      <c r="F228" s="1">
        <v>2</v>
      </c>
    </row>
    <row r="229" spans="1:6" x14ac:dyDescent="0.35">
      <c r="A229" s="1">
        <v>2028</v>
      </c>
      <c r="B229" s="1">
        <v>10893.012086164679</v>
      </c>
      <c r="C229" s="1">
        <v>12038.64016787575</v>
      </c>
      <c r="D229" s="1">
        <v>11451.508758659629</v>
      </c>
      <c r="E229" s="1" t="s">
        <v>143</v>
      </c>
      <c r="F229" s="1">
        <v>2</v>
      </c>
    </row>
    <row r="230" spans="1:6" x14ac:dyDescent="0.35">
      <c r="A230" s="1">
        <v>2029</v>
      </c>
      <c r="B230" s="1">
        <v>11168.77</v>
      </c>
      <c r="C230" s="1">
        <v>11741.40508307165</v>
      </c>
      <c r="D230" s="1">
        <v>11168.77</v>
      </c>
      <c r="E230" s="1" t="s">
        <v>143</v>
      </c>
      <c r="F230" s="1">
        <v>2</v>
      </c>
    </row>
    <row r="231" spans="1:6" x14ac:dyDescent="0.35">
      <c r="A231" s="1">
        <v>2030</v>
      </c>
      <c r="B231" s="1">
        <v>10893.012086164679</v>
      </c>
      <c r="C231" s="1">
        <v>12038.64016787575</v>
      </c>
      <c r="D231" s="1">
        <v>11451.508758659629</v>
      </c>
      <c r="E231" s="1" t="s">
        <v>143</v>
      </c>
      <c r="F231" s="1">
        <v>2</v>
      </c>
    </row>
    <row r="232" spans="1:6" x14ac:dyDescent="0.35">
      <c r="A232" s="1">
        <v>2031</v>
      </c>
      <c r="B232" s="1">
        <v>11168.77</v>
      </c>
      <c r="C232" s="1">
        <v>11741.40508307165</v>
      </c>
      <c r="D232" s="1">
        <v>11741.40508307165</v>
      </c>
      <c r="E232" s="1" t="s">
        <v>143</v>
      </c>
      <c r="F232" s="1">
        <v>2</v>
      </c>
    </row>
    <row r="233" spans="1:6" x14ac:dyDescent="0.35">
      <c r="A233" s="1">
        <v>2032</v>
      </c>
      <c r="B233" s="1">
        <v>10893.012086164679</v>
      </c>
      <c r="C233" s="1">
        <v>11451.50875865962</v>
      </c>
      <c r="D233" s="1">
        <v>11451.50875865962</v>
      </c>
      <c r="E233" s="1" t="s">
        <v>143</v>
      </c>
      <c r="F233" s="1">
        <v>2</v>
      </c>
    </row>
    <row r="234" spans="1:6" x14ac:dyDescent="0.35">
      <c r="A234" s="1">
        <v>2033</v>
      </c>
      <c r="B234" s="1">
        <v>10624.06265948084</v>
      </c>
      <c r="C234" s="1">
        <v>11168.77</v>
      </c>
      <c r="D234" s="1">
        <v>11168.77</v>
      </c>
      <c r="E234" s="1" t="s">
        <v>143</v>
      </c>
      <c r="F234" s="1">
        <v>2</v>
      </c>
    </row>
    <row r="235" spans="1:6" x14ac:dyDescent="0.35">
      <c r="A235" s="1">
        <v>2034</v>
      </c>
      <c r="B235" s="1">
        <v>10361.753617801751</v>
      </c>
      <c r="C235" s="1">
        <v>10893.012086164679</v>
      </c>
      <c r="D235" s="1">
        <v>11451.50875865962</v>
      </c>
      <c r="E235" s="1" t="s">
        <v>143</v>
      </c>
      <c r="F235" s="1">
        <v>2</v>
      </c>
    </row>
    <row r="236" spans="1:6" x14ac:dyDescent="0.35">
      <c r="A236" s="1">
        <v>2035</v>
      </c>
      <c r="B236" s="1">
        <v>10105.921009437479</v>
      </c>
      <c r="C236" s="1">
        <v>11168.77</v>
      </c>
      <c r="D236" s="1">
        <v>11741.405083071641</v>
      </c>
      <c r="E236" s="1" t="s">
        <v>143</v>
      </c>
      <c r="F236" s="1">
        <v>2</v>
      </c>
    </row>
    <row r="237" spans="1:6" x14ac:dyDescent="0.35">
      <c r="A237" s="1">
        <v>2036</v>
      </c>
      <c r="B237" s="1">
        <v>9856.4049306797478</v>
      </c>
      <c r="C237" s="1">
        <v>10893.012086164679</v>
      </c>
      <c r="D237" s="1">
        <v>12038.640167875739</v>
      </c>
      <c r="E237" s="1" t="s">
        <v>143</v>
      </c>
      <c r="F237" s="1">
        <v>2</v>
      </c>
    </row>
    <row r="238" spans="1:6" x14ac:dyDescent="0.35">
      <c r="A238" s="1">
        <v>2037</v>
      </c>
      <c r="B238" s="1">
        <v>10105.921009437479</v>
      </c>
      <c r="C238" s="1">
        <v>10624.06265948084</v>
      </c>
      <c r="D238" s="1">
        <v>12343.39979467575</v>
      </c>
      <c r="E238" s="1" t="s">
        <v>143</v>
      </c>
      <c r="F238" s="1">
        <v>2</v>
      </c>
    </row>
    <row r="239" spans="1:6" x14ac:dyDescent="0.35">
      <c r="A239" s="1">
        <v>2038</v>
      </c>
      <c r="B239" s="1">
        <v>9856.4049306797478</v>
      </c>
      <c r="C239" s="1">
        <v>10893.012086164679</v>
      </c>
      <c r="D239" s="1">
        <v>12038.640167875739</v>
      </c>
      <c r="E239" s="1" t="s">
        <v>143</v>
      </c>
      <c r="F239" s="1">
        <v>2</v>
      </c>
    </row>
    <row r="240" spans="1:6" x14ac:dyDescent="0.35">
      <c r="A240" s="1">
        <v>2039</v>
      </c>
      <c r="B240" s="1">
        <v>10105.921009437479</v>
      </c>
      <c r="C240" s="1">
        <v>10624.062659480829</v>
      </c>
      <c r="D240" s="1">
        <v>11741.405083071641</v>
      </c>
      <c r="E240" s="1" t="s">
        <v>143</v>
      </c>
      <c r="F240" s="1">
        <v>2</v>
      </c>
    </row>
    <row r="241" spans="1:6" x14ac:dyDescent="0.35">
      <c r="A241" s="1">
        <v>2040</v>
      </c>
      <c r="B241" s="1">
        <v>10361.753617801751</v>
      </c>
      <c r="C241" s="1">
        <v>10361.753617801751</v>
      </c>
      <c r="D241" s="1">
        <v>12038.640167875739</v>
      </c>
      <c r="E241" s="1" t="s">
        <v>143</v>
      </c>
      <c r="F241" s="1">
        <v>2</v>
      </c>
    </row>
    <row r="242" spans="1:6" x14ac:dyDescent="0.35">
      <c r="A242" s="1">
        <v>2041</v>
      </c>
      <c r="B242" s="1">
        <v>10105.921009437479</v>
      </c>
      <c r="C242" s="1">
        <v>10624.062659480829</v>
      </c>
      <c r="D242" s="1">
        <v>11741.405083071641</v>
      </c>
      <c r="E242" s="1" t="s">
        <v>143</v>
      </c>
      <c r="F242" s="1">
        <v>2</v>
      </c>
    </row>
    <row r="243" spans="1:6" x14ac:dyDescent="0.35">
      <c r="A243" s="1">
        <v>2042</v>
      </c>
      <c r="B243" s="1">
        <v>13336.23640793859</v>
      </c>
      <c r="C243" s="1">
        <v>49824.318496476903</v>
      </c>
      <c r="D243" s="1">
        <v>111687.7</v>
      </c>
      <c r="E243" s="1" t="s">
        <v>143</v>
      </c>
      <c r="F243" s="1">
        <v>2</v>
      </c>
    </row>
    <row r="244" spans="1:6" x14ac:dyDescent="0.35">
      <c r="A244" s="1">
        <v>2043</v>
      </c>
      <c r="B244" s="1">
        <v>6456.7748505129239</v>
      </c>
      <c r="C244" s="1">
        <v>25181.151581559261</v>
      </c>
      <c r="D244" s="1">
        <v>66683.949008592244</v>
      </c>
      <c r="E244" s="1" t="s">
        <v>143</v>
      </c>
      <c r="F244" s="1">
        <v>2</v>
      </c>
    </row>
    <row r="245" spans="1:6" x14ac:dyDescent="0.35">
      <c r="A245" s="1">
        <v>2044</v>
      </c>
      <c r="B245" s="1">
        <v>6620.2288840527599</v>
      </c>
      <c r="C245" s="1">
        <v>25818.615468790351</v>
      </c>
      <c r="D245" s="1">
        <v>65037.516441271917</v>
      </c>
      <c r="E245" s="1" t="s">
        <v>143</v>
      </c>
      <c r="F245" s="1">
        <v>2</v>
      </c>
    </row>
    <row r="246" spans="1:6" x14ac:dyDescent="0.35">
      <c r="A246" s="1">
        <v>2045</v>
      </c>
      <c r="B246" s="1">
        <v>6456.7748505129239</v>
      </c>
      <c r="C246" s="1">
        <v>25181.151581559261</v>
      </c>
      <c r="D246" s="1">
        <v>66683.949008592244</v>
      </c>
      <c r="E246" s="1" t="s">
        <v>143</v>
      </c>
      <c r="F246" s="1">
        <v>2</v>
      </c>
    </row>
    <row r="247" spans="1:6" x14ac:dyDescent="0.35">
      <c r="A247" s="1">
        <v>2046</v>
      </c>
      <c r="B247" s="1">
        <v>6297.3565114405101</v>
      </c>
      <c r="C247" s="1">
        <v>24559.426733782671</v>
      </c>
      <c r="D247" s="1">
        <v>65037.516441271917</v>
      </c>
      <c r="E247" s="1" t="s">
        <v>143</v>
      </c>
      <c r="F247" s="1">
        <v>2</v>
      </c>
    </row>
    <row r="248" spans="1:6" x14ac:dyDescent="0.35">
      <c r="A248" s="1">
        <v>2047</v>
      </c>
      <c r="B248" s="1">
        <v>6141.8742251840913</v>
      </c>
      <c r="C248" s="1">
        <v>23953.052327191861</v>
      </c>
      <c r="D248" s="1">
        <v>66683.949008592244</v>
      </c>
      <c r="E248" s="1" t="s">
        <v>143</v>
      </c>
      <c r="F248" s="1">
        <v>2</v>
      </c>
    </row>
    <row r="249" spans="1:6" x14ac:dyDescent="0.35">
      <c r="A249" s="1">
        <v>2048</v>
      </c>
      <c r="B249" s="1">
        <v>6297.3565114405101</v>
      </c>
      <c r="C249" s="1">
        <v>23361.649358043542</v>
      </c>
      <c r="D249" s="1">
        <v>65037.516441271917</v>
      </c>
      <c r="E249" s="1" t="s">
        <v>143</v>
      </c>
      <c r="F249" s="1">
        <v>2</v>
      </c>
    </row>
    <row r="250" spans="1:6" x14ac:dyDescent="0.35">
      <c r="A250" s="1">
        <v>2049</v>
      </c>
      <c r="B250" s="1">
        <v>6141.8742251840913</v>
      </c>
      <c r="C250" s="1">
        <v>22784.848180230201</v>
      </c>
      <c r="D250" s="1">
        <v>63431.734438878149</v>
      </c>
      <c r="E250" s="1" t="s">
        <v>143</v>
      </c>
      <c r="F250" s="1">
        <v>2</v>
      </c>
    </row>
    <row r="251" spans="1:6" x14ac:dyDescent="0.35">
      <c r="A251" s="1">
        <v>2050</v>
      </c>
      <c r="B251" s="1">
        <v>18591.606174902241</v>
      </c>
      <c r="C251" s="1">
        <v>96112.548474659328</v>
      </c>
      <c r="D251" s="1">
        <v>111687.7</v>
      </c>
      <c r="E251" s="1" t="s">
        <v>143</v>
      </c>
      <c r="F251" s="1">
        <v>2</v>
      </c>
    </row>
    <row r="252" spans="1:6" x14ac:dyDescent="0.35">
      <c r="A252" s="1">
        <v>2026</v>
      </c>
      <c r="B252" s="1">
        <v>11451.508758659629</v>
      </c>
      <c r="C252" s="1">
        <v>10893.012086164679</v>
      </c>
      <c r="D252" s="1">
        <v>11451.508758659629</v>
      </c>
      <c r="E252" s="1" t="s">
        <v>144</v>
      </c>
      <c r="F252" s="1">
        <v>3</v>
      </c>
    </row>
    <row r="253" spans="1:6" x14ac:dyDescent="0.35">
      <c r="A253" s="1">
        <v>2027</v>
      </c>
      <c r="B253" s="1">
        <v>11230.18339292302</v>
      </c>
      <c r="C253" s="1">
        <v>10624.06265948084</v>
      </c>
      <c r="D253" s="1">
        <v>11168.77</v>
      </c>
      <c r="E253" s="1" t="s">
        <v>144</v>
      </c>
      <c r="F253" s="1">
        <v>3</v>
      </c>
    </row>
    <row r="254" spans="1:6" x14ac:dyDescent="0.35">
      <c r="A254" s="1">
        <v>2028</v>
      </c>
      <c r="B254" s="1">
        <v>11514.476839026311</v>
      </c>
      <c r="C254" s="1">
        <v>10361.753617801751</v>
      </c>
      <c r="D254" s="1">
        <v>11451.508758659629</v>
      </c>
      <c r="E254" s="1" t="s">
        <v>144</v>
      </c>
      <c r="F254" s="1">
        <v>3</v>
      </c>
    </row>
    <row r="255" spans="1:6" x14ac:dyDescent="0.35">
      <c r="A255" s="1">
        <v>2029</v>
      </c>
      <c r="B255" s="1">
        <v>11805.967207981999</v>
      </c>
      <c r="C255" s="1">
        <v>10624.06265948084</v>
      </c>
      <c r="D255" s="1">
        <v>11741.40508307165</v>
      </c>
      <c r="E255" s="1" t="s">
        <v>144</v>
      </c>
      <c r="F255" s="1">
        <v>3</v>
      </c>
    </row>
    <row r="256" spans="1:6" x14ac:dyDescent="0.35">
      <c r="A256" s="1">
        <v>2030</v>
      </c>
      <c r="B256" s="1">
        <v>11514.476839026311</v>
      </c>
      <c r="C256" s="1">
        <v>10361.753617801751</v>
      </c>
      <c r="D256" s="1">
        <v>12038.64016787575</v>
      </c>
      <c r="E256" s="1" t="s">
        <v>144</v>
      </c>
      <c r="F256" s="1">
        <v>3</v>
      </c>
    </row>
    <row r="257" spans="1:6" x14ac:dyDescent="0.35">
      <c r="A257" s="1">
        <v>2031</v>
      </c>
      <c r="B257" s="1">
        <v>11805.967207981999</v>
      </c>
      <c r="C257" s="1">
        <v>10105.921009437479</v>
      </c>
      <c r="D257" s="1">
        <v>12343.39979467575</v>
      </c>
      <c r="E257" s="1" t="s">
        <v>144</v>
      </c>
      <c r="F257" s="1">
        <v>3</v>
      </c>
    </row>
    <row r="258" spans="1:6" x14ac:dyDescent="0.35">
      <c r="A258" s="1">
        <v>2032</v>
      </c>
      <c r="B258" s="1">
        <v>11849.010567653209</v>
      </c>
      <c r="C258" s="1">
        <v>10361.753617801751</v>
      </c>
      <c r="D258" s="1">
        <v>12038.64016787575</v>
      </c>
      <c r="E258" s="1" t="s">
        <v>144</v>
      </c>
      <c r="F258" s="1">
        <v>3</v>
      </c>
    </row>
    <row r="259" spans="1:6" x14ac:dyDescent="0.35">
      <c r="A259" s="1">
        <v>2033</v>
      </c>
      <c r="B259" s="1">
        <v>12148.969698268589</v>
      </c>
      <c r="C259" s="1">
        <v>10624.062659480829</v>
      </c>
      <c r="D259" s="1">
        <v>12343.39979467575</v>
      </c>
      <c r="E259" s="1" t="s">
        <v>144</v>
      </c>
      <c r="F259" s="1">
        <v>3</v>
      </c>
    </row>
    <row r="260" spans="1:6" x14ac:dyDescent="0.35">
      <c r="A260" s="1">
        <v>2034</v>
      </c>
      <c r="B260" s="1">
        <v>11849.010567653209</v>
      </c>
      <c r="C260" s="1">
        <v>10361.753617801751</v>
      </c>
      <c r="D260" s="1">
        <v>12655.87444815918</v>
      </c>
      <c r="E260" s="1" t="s">
        <v>144</v>
      </c>
      <c r="F260" s="1">
        <v>3</v>
      </c>
    </row>
    <row r="261" spans="1:6" x14ac:dyDescent="0.35">
      <c r="A261" s="1">
        <v>2035</v>
      </c>
      <c r="B261" s="1">
        <v>12148.969698268589</v>
      </c>
      <c r="C261" s="1">
        <v>10624.062659480829</v>
      </c>
      <c r="D261" s="1">
        <v>12343.39979467575</v>
      </c>
      <c r="E261" s="1" t="s">
        <v>144</v>
      </c>
      <c r="F261" s="1">
        <v>3</v>
      </c>
    </row>
    <row r="262" spans="1:6" x14ac:dyDescent="0.35">
      <c r="A262" s="1">
        <v>2036</v>
      </c>
      <c r="B262" s="1">
        <v>11855.330251299791</v>
      </c>
      <c r="C262" s="1">
        <v>10361.75361780174</v>
      </c>
      <c r="D262" s="1">
        <v>12038.64016787575</v>
      </c>
      <c r="E262" s="1" t="s">
        <v>144</v>
      </c>
      <c r="F262" s="1">
        <v>3</v>
      </c>
    </row>
    <row r="263" spans="1:6" x14ac:dyDescent="0.35">
      <c r="A263" s="1">
        <v>2037</v>
      </c>
      <c r="B263" s="1">
        <v>12463.16603118378</v>
      </c>
      <c r="C263" s="1">
        <v>42101.790287780277</v>
      </c>
      <c r="D263" s="1">
        <v>111687.7</v>
      </c>
      <c r="E263" s="1" t="s">
        <v>144</v>
      </c>
      <c r="F263" s="1">
        <v>3</v>
      </c>
    </row>
    <row r="264" spans="1:6" x14ac:dyDescent="0.35">
      <c r="A264" s="1">
        <v>2038</v>
      </c>
      <c r="B264" s="1">
        <v>3423.959341956519</v>
      </c>
      <c r="C264" s="1">
        <v>23204.665791127471</v>
      </c>
      <c r="D264" s="1">
        <v>61627.835862022577</v>
      </c>
      <c r="E264" s="1" t="s">
        <v>144</v>
      </c>
      <c r="F264" s="1">
        <v>3</v>
      </c>
    </row>
    <row r="265" spans="1:6" x14ac:dyDescent="0.35">
      <c r="A265" s="1">
        <v>2039</v>
      </c>
      <c r="B265" s="1">
        <v>23637.26217151216</v>
      </c>
      <c r="C265" s="1">
        <v>111687.7</v>
      </c>
      <c r="D265" s="1">
        <v>111687.7</v>
      </c>
      <c r="E265" s="1" t="s">
        <v>144</v>
      </c>
      <c r="F265" s="1">
        <v>3</v>
      </c>
    </row>
    <row r="266" spans="1:6" x14ac:dyDescent="0.35">
      <c r="A266" s="1">
        <v>2040</v>
      </c>
      <c r="B266" s="1">
        <v>16597.053550863311</v>
      </c>
      <c r="C266" s="1">
        <v>37824.009574909353</v>
      </c>
      <c r="D266" s="1">
        <v>79152.08636073157</v>
      </c>
      <c r="E266" s="1" t="s">
        <v>144</v>
      </c>
      <c r="F266" s="1">
        <v>3</v>
      </c>
    </row>
    <row r="267" spans="1:6" x14ac:dyDescent="0.35">
      <c r="A267" s="1">
        <v>2041</v>
      </c>
      <c r="B267" s="1">
        <v>28400.4768944444</v>
      </c>
      <c r="C267" s="1">
        <v>111687.7</v>
      </c>
      <c r="D267" s="1">
        <v>111687.7</v>
      </c>
      <c r="E267" s="1" t="s">
        <v>144</v>
      </c>
      <c r="F267" s="1">
        <v>3</v>
      </c>
    </row>
    <row r="268" spans="1:6" x14ac:dyDescent="0.35">
      <c r="A268" s="1">
        <v>2042</v>
      </c>
      <c r="B268" s="1">
        <v>14025.662502048261</v>
      </c>
      <c r="C268" s="1">
        <v>48671.515735348366</v>
      </c>
      <c r="D268" s="1">
        <v>84117.1307117244</v>
      </c>
      <c r="E268" s="1" t="s">
        <v>144</v>
      </c>
      <c r="F268" s="1">
        <v>3</v>
      </c>
    </row>
    <row r="269" spans="1:6" x14ac:dyDescent="0.35">
      <c r="A269" s="1">
        <v>2043</v>
      </c>
      <c r="B269" s="1">
        <v>13679.367661011771</v>
      </c>
      <c r="C269" s="1">
        <v>47469.811730128233</v>
      </c>
      <c r="D269" s="1">
        <v>86246.566013860836</v>
      </c>
      <c r="E269" s="1" t="s">
        <v>144</v>
      </c>
      <c r="F269" s="1">
        <v>3</v>
      </c>
    </row>
    <row r="270" spans="1:6" x14ac:dyDescent="0.35">
      <c r="A270" s="1">
        <v>2044</v>
      </c>
      <c r="B270" s="1">
        <v>13341.62287006461</v>
      </c>
      <c r="C270" s="1">
        <v>46297.777902512869</v>
      </c>
      <c r="D270" s="1">
        <v>88429.908227319829</v>
      </c>
      <c r="E270" s="1" t="s">
        <v>144</v>
      </c>
      <c r="F270" s="1">
        <v>3</v>
      </c>
    </row>
    <row r="271" spans="1:6" x14ac:dyDescent="0.35">
      <c r="A271" s="1">
        <v>2045</v>
      </c>
      <c r="B271" s="1">
        <v>13012.21702771791</v>
      </c>
      <c r="C271" s="1">
        <v>45154.681693207109</v>
      </c>
      <c r="D271" s="1">
        <v>86246.566013860836</v>
      </c>
      <c r="E271" s="1" t="s">
        <v>144</v>
      </c>
      <c r="F271" s="1">
        <v>3</v>
      </c>
    </row>
    <row r="272" spans="1:6" x14ac:dyDescent="0.35">
      <c r="A272" s="1">
        <v>2046</v>
      </c>
      <c r="B272" s="1">
        <v>13341.62287006461</v>
      </c>
      <c r="C272" s="1">
        <v>46189.990221122738</v>
      </c>
      <c r="D272" s="1">
        <v>88429.908227319829</v>
      </c>
      <c r="E272" s="1" t="s">
        <v>144</v>
      </c>
      <c r="F272" s="1">
        <v>3</v>
      </c>
    </row>
    <row r="273" spans="1:6" x14ac:dyDescent="0.35">
      <c r="A273" s="1">
        <v>2047</v>
      </c>
      <c r="B273" s="1">
        <v>13012.21702771791</v>
      </c>
      <c r="C273" s="1">
        <v>45049.555299152758</v>
      </c>
      <c r="D273" s="1">
        <v>90668.522012058616</v>
      </c>
      <c r="E273" s="1" t="s">
        <v>144</v>
      </c>
      <c r="F273" s="1">
        <v>3</v>
      </c>
    </row>
    <row r="274" spans="1:6" x14ac:dyDescent="0.35">
      <c r="A274" s="1">
        <v>2048</v>
      </c>
      <c r="B274" s="1">
        <v>13341.62287006461</v>
      </c>
      <c r="C274" s="1">
        <v>43937.277815732181</v>
      </c>
      <c r="D274" s="1">
        <v>92963.806574565708</v>
      </c>
      <c r="E274" s="1" t="s">
        <v>144</v>
      </c>
      <c r="F274" s="1">
        <v>3</v>
      </c>
    </row>
    <row r="275" spans="1:6" x14ac:dyDescent="0.35">
      <c r="A275" s="1">
        <v>2049</v>
      </c>
      <c r="B275" s="1">
        <v>13012.21702771791</v>
      </c>
      <c r="C275" s="1">
        <v>42852.462561226173</v>
      </c>
      <c r="D275" s="1">
        <v>95317.196542410529</v>
      </c>
      <c r="E275" s="1" t="s">
        <v>144</v>
      </c>
      <c r="F275" s="1">
        <v>3</v>
      </c>
    </row>
    <row r="276" spans="1:6" x14ac:dyDescent="0.35">
      <c r="A276" s="1">
        <v>2050</v>
      </c>
      <c r="B276" s="1">
        <v>12690.94424459712</v>
      </c>
      <c r="C276" s="1">
        <v>41794.431490786912</v>
      </c>
      <c r="D276" s="1">
        <v>97730.162860932323</v>
      </c>
      <c r="E276" s="1" t="s">
        <v>144</v>
      </c>
      <c r="F276" s="1">
        <v>3</v>
      </c>
    </row>
    <row r="277" spans="1:6" x14ac:dyDescent="0.35">
      <c r="A277" s="1">
        <v>2026</v>
      </c>
      <c r="B277" s="1">
        <v>11741.40508307165</v>
      </c>
      <c r="C277" s="1">
        <v>32978.04702967107</v>
      </c>
      <c r="D277" s="1">
        <v>111687.7</v>
      </c>
      <c r="E277" s="1" t="s">
        <v>145</v>
      </c>
      <c r="F277" s="1">
        <v>3</v>
      </c>
    </row>
    <row r="278" spans="1:6" x14ac:dyDescent="0.35">
      <c r="A278" s="1">
        <v>2027</v>
      </c>
      <c r="B278" s="1">
        <v>6835.9007931104143</v>
      </c>
      <c r="C278" s="1">
        <v>21768.569642061029</v>
      </c>
      <c r="D278" s="1">
        <v>62736.392369107583</v>
      </c>
      <c r="E278" s="1" t="s">
        <v>145</v>
      </c>
      <c r="F278" s="1">
        <v>3</v>
      </c>
    </row>
    <row r="279" spans="1:6" x14ac:dyDescent="0.35">
      <c r="A279" s="1">
        <v>2028</v>
      </c>
      <c r="B279" s="1">
        <v>6667.1218011629271</v>
      </c>
      <c r="C279" s="1">
        <v>22319.643606194219</v>
      </c>
      <c r="D279" s="1">
        <v>61187.425322489267</v>
      </c>
      <c r="E279" s="1" t="s">
        <v>145</v>
      </c>
      <c r="F279" s="1">
        <v>3</v>
      </c>
    </row>
    <row r="280" spans="1:6" x14ac:dyDescent="0.35">
      <c r="A280" s="1">
        <v>2029</v>
      </c>
      <c r="B280" s="1">
        <v>6502.5099773743932</v>
      </c>
      <c r="C280" s="1">
        <v>21768.569642061018</v>
      </c>
      <c r="D280" s="1">
        <v>59676.702408517187</v>
      </c>
      <c r="E280" s="1" t="s">
        <v>145</v>
      </c>
      <c r="F280" s="1">
        <v>3</v>
      </c>
    </row>
    <row r="281" spans="1:6" x14ac:dyDescent="0.35">
      <c r="A281" s="1">
        <v>2030</v>
      </c>
      <c r="B281" s="1">
        <v>6667.1218011629271</v>
      </c>
      <c r="C281" s="1">
        <v>22319.643606194219</v>
      </c>
      <c r="D281" s="1">
        <v>58203.27937619188</v>
      </c>
      <c r="E281" s="1" t="s">
        <v>145</v>
      </c>
      <c r="F281" s="1">
        <v>3</v>
      </c>
    </row>
    <row r="282" spans="1:6" x14ac:dyDescent="0.35">
      <c r="A282" s="1">
        <v>2031</v>
      </c>
      <c r="B282" s="1">
        <v>16914.400775679609</v>
      </c>
      <c r="C282" s="1">
        <v>111687.7</v>
      </c>
      <c r="D282" s="1">
        <v>111687.7</v>
      </c>
      <c r="E282" s="1" t="s">
        <v>145</v>
      </c>
      <c r="F282" s="1">
        <v>3</v>
      </c>
    </row>
    <row r="283" spans="1:6" x14ac:dyDescent="0.35">
      <c r="A283" s="1">
        <v>2032</v>
      </c>
      <c r="B283" s="1">
        <v>11078.10983274564</v>
      </c>
      <c r="C283" s="1">
        <v>43673.662397946093</v>
      </c>
      <c r="D283" s="1">
        <v>82505.890062484352</v>
      </c>
      <c r="E283" s="1" t="s">
        <v>145</v>
      </c>
      <c r="F283" s="1">
        <v>3</v>
      </c>
    </row>
    <row r="284" spans="1:6" x14ac:dyDescent="0.35">
      <c r="A284" s="1">
        <v>2033</v>
      </c>
      <c r="B284" s="1">
        <v>10804.59032641536</v>
      </c>
      <c r="C284" s="1">
        <v>42595.355831295892</v>
      </c>
      <c r="D284" s="1">
        <v>84594.536613391421</v>
      </c>
      <c r="E284" s="1" t="s">
        <v>145</v>
      </c>
      <c r="F284" s="1">
        <v>3</v>
      </c>
    </row>
    <row r="285" spans="1:6" x14ac:dyDescent="0.35">
      <c r="A285" s="1">
        <v>2034</v>
      </c>
      <c r="B285" s="1">
        <v>10537.82404075834</v>
      </c>
      <c r="C285" s="1">
        <v>41543.672748636724</v>
      </c>
      <c r="D285" s="1">
        <v>82505.890062484352</v>
      </c>
      <c r="E285" s="1" t="s">
        <v>145</v>
      </c>
      <c r="F285" s="1">
        <v>3</v>
      </c>
    </row>
    <row r="286" spans="1:6" x14ac:dyDescent="0.35">
      <c r="A286" s="1">
        <v>2035</v>
      </c>
      <c r="B286" s="1">
        <v>10277.64423816206</v>
      </c>
      <c r="C286" s="1">
        <v>40517.955813806722</v>
      </c>
      <c r="D286" s="1">
        <v>80468.812378660892</v>
      </c>
      <c r="E286" s="1" t="s">
        <v>145</v>
      </c>
      <c r="F286" s="1">
        <v>3</v>
      </c>
    </row>
    <row r="287" spans="1:6" x14ac:dyDescent="0.35">
      <c r="A287" s="1">
        <v>2036</v>
      </c>
      <c r="B287" s="1">
        <v>10537.82404075834</v>
      </c>
      <c r="C287" s="1">
        <v>39517.563920331697</v>
      </c>
      <c r="D287" s="1">
        <v>78482.030322056162</v>
      </c>
      <c r="E287" s="1" t="s">
        <v>145</v>
      </c>
      <c r="F287" s="1">
        <v>3</v>
      </c>
    </row>
    <row r="288" spans="1:6" x14ac:dyDescent="0.35">
      <c r="A288" s="1">
        <v>2037</v>
      </c>
      <c r="B288" s="1">
        <v>10804.59032641536</v>
      </c>
      <c r="C288" s="1">
        <v>40517.955813806722</v>
      </c>
      <c r="D288" s="1">
        <v>80468.812378660892</v>
      </c>
      <c r="E288" s="1" t="s">
        <v>145</v>
      </c>
      <c r="F288" s="1">
        <v>3</v>
      </c>
    </row>
    <row r="289" spans="1:6" x14ac:dyDescent="0.35">
      <c r="A289" s="1">
        <v>2038</v>
      </c>
      <c r="B289" s="1">
        <v>10537.824040758331</v>
      </c>
      <c r="C289" s="1">
        <v>41543.672748636724</v>
      </c>
      <c r="D289" s="1">
        <v>78482.030322056162</v>
      </c>
      <c r="E289" s="1" t="s">
        <v>145</v>
      </c>
      <c r="F289" s="1">
        <v>3</v>
      </c>
    </row>
    <row r="290" spans="1:6" x14ac:dyDescent="0.35">
      <c r="A290" s="1">
        <v>2039</v>
      </c>
      <c r="B290" s="1">
        <v>10804.590326415349</v>
      </c>
      <c r="C290" s="1">
        <v>40517.955813806722</v>
      </c>
      <c r="D290" s="1">
        <v>80468.812378660892</v>
      </c>
      <c r="E290" s="1" t="s">
        <v>145</v>
      </c>
      <c r="F290" s="1">
        <v>3</v>
      </c>
    </row>
    <row r="291" spans="1:6" x14ac:dyDescent="0.35">
      <c r="A291" s="1">
        <v>2040</v>
      </c>
      <c r="B291" s="1">
        <v>10537.824040758331</v>
      </c>
      <c r="C291" s="1">
        <v>41543.672748636724</v>
      </c>
      <c r="D291" s="1">
        <v>82505.890062484352</v>
      </c>
      <c r="E291" s="1" t="s">
        <v>145</v>
      </c>
      <c r="F291" s="1">
        <v>3</v>
      </c>
    </row>
    <row r="292" spans="1:6" x14ac:dyDescent="0.35">
      <c r="A292" s="1">
        <v>2041</v>
      </c>
      <c r="B292" s="1">
        <v>10804.590326415349</v>
      </c>
      <c r="C292" s="1">
        <v>42595.355831295892</v>
      </c>
      <c r="D292" s="1">
        <v>84594.536613391421</v>
      </c>
      <c r="E292" s="1" t="s">
        <v>145</v>
      </c>
      <c r="F292" s="1">
        <v>3</v>
      </c>
    </row>
    <row r="293" spans="1:6" x14ac:dyDescent="0.35">
      <c r="A293" s="1">
        <v>2042</v>
      </c>
      <c r="B293" s="1">
        <v>21560.027384386001</v>
      </c>
      <c r="C293" s="1">
        <v>111687.7</v>
      </c>
      <c r="D293" s="1">
        <v>111687.7</v>
      </c>
      <c r="E293" s="1" t="s">
        <v>145</v>
      </c>
      <c r="F293" s="1">
        <v>3</v>
      </c>
    </row>
    <row r="294" spans="1:6" x14ac:dyDescent="0.35">
      <c r="A294" s="1">
        <v>2043</v>
      </c>
      <c r="B294" s="1">
        <v>14245.81640717707</v>
      </c>
      <c r="C294" s="1">
        <v>47123.198612487373</v>
      </c>
      <c r="D294" s="1">
        <v>92434.016768302026</v>
      </c>
      <c r="E294" s="1" t="s">
        <v>145</v>
      </c>
      <c r="F294" s="1">
        <v>3</v>
      </c>
    </row>
    <row r="295" spans="1:6" x14ac:dyDescent="0.35">
      <c r="A295" s="1">
        <v>2044</v>
      </c>
      <c r="B295" s="1">
        <v>13894.08594685565</v>
      </c>
      <c r="C295" s="1">
        <v>45959.722693238713</v>
      </c>
      <c r="D295" s="1">
        <v>90151.812762718066</v>
      </c>
      <c r="E295" s="1" t="s">
        <v>145</v>
      </c>
      <c r="F295" s="1">
        <v>3</v>
      </c>
    </row>
    <row r="296" spans="1:6" x14ac:dyDescent="0.35">
      <c r="A296" s="1">
        <v>2045</v>
      </c>
      <c r="B296" s="1">
        <v>13551.039742541871</v>
      </c>
      <c r="C296" s="1">
        <v>47123.198612487373</v>
      </c>
      <c r="D296" s="1">
        <v>92434.016768302012</v>
      </c>
      <c r="E296" s="1" t="s">
        <v>145</v>
      </c>
      <c r="F296" s="1">
        <v>3</v>
      </c>
    </row>
    <row r="297" spans="1:6" x14ac:dyDescent="0.35">
      <c r="A297" s="1">
        <v>2046</v>
      </c>
      <c r="B297" s="1">
        <v>13216.463379190949</v>
      </c>
      <c r="C297" s="1">
        <v>48316.128064859091</v>
      </c>
      <c r="D297" s="1">
        <v>94773.995043348652</v>
      </c>
      <c r="E297" s="1" t="s">
        <v>145</v>
      </c>
      <c r="F297" s="1">
        <v>3</v>
      </c>
    </row>
    <row r="298" spans="1:6" x14ac:dyDescent="0.35">
      <c r="A298" s="1">
        <v>2047</v>
      </c>
      <c r="B298" s="1">
        <v>13551.039742541871</v>
      </c>
      <c r="C298" s="1">
        <v>49539.256670094743</v>
      </c>
      <c r="D298" s="1">
        <v>92434.016768302012</v>
      </c>
      <c r="E298" s="1" t="s">
        <v>145</v>
      </c>
      <c r="F298" s="1">
        <v>3</v>
      </c>
    </row>
    <row r="299" spans="1:6" x14ac:dyDescent="0.35">
      <c r="A299" s="1">
        <v>2048</v>
      </c>
      <c r="B299" s="1">
        <v>13894.085946855639</v>
      </c>
      <c r="C299" s="1">
        <v>48316.128064859076</v>
      </c>
      <c r="D299" s="1">
        <v>90151.812762718051</v>
      </c>
      <c r="E299" s="1" t="s">
        <v>145</v>
      </c>
      <c r="F299" s="1">
        <v>3</v>
      </c>
    </row>
    <row r="300" spans="1:6" x14ac:dyDescent="0.35">
      <c r="A300" s="1">
        <v>2049</v>
      </c>
      <c r="B300" s="1">
        <v>14245.81640717707</v>
      </c>
      <c r="C300" s="1">
        <v>49539.256670094728</v>
      </c>
      <c r="D300" s="1">
        <v>92434.016768301997</v>
      </c>
      <c r="E300" s="1" t="s">
        <v>145</v>
      </c>
      <c r="F300" s="1">
        <v>3</v>
      </c>
    </row>
    <row r="301" spans="1:6" x14ac:dyDescent="0.35">
      <c r="A301" s="1">
        <v>2050</v>
      </c>
      <c r="B301" s="1">
        <v>13894.085946855639</v>
      </c>
      <c r="C301" s="1">
        <v>50793.348923388803</v>
      </c>
      <c r="D301" s="1">
        <v>90151.812762718037</v>
      </c>
      <c r="E301" s="1" t="s">
        <v>145</v>
      </c>
      <c r="F301" s="1">
        <v>3</v>
      </c>
    </row>
    <row r="302" spans="1:6" x14ac:dyDescent="0.35">
      <c r="A302" s="1">
        <v>2026</v>
      </c>
      <c r="B302" s="1">
        <v>10893.012086164679</v>
      </c>
      <c r="C302" s="1">
        <v>10893.012086164679</v>
      </c>
      <c r="D302" s="1">
        <v>11451.508758659629</v>
      </c>
      <c r="E302" s="1" t="s">
        <v>146</v>
      </c>
      <c r="F302" s="1">
        <v>3</v>
      </c>
    </row>
    <row r="303" spans="1:6" x14ac:dyDescent="0.35">
      <c r="A303" s="1">
        <v>2027</v>
      </c>
      <c r="B303" s="1">
        <v>11168.77</v>
      </c>
      <c r="C303" s="1">
        <v>11168.77</v>
      </c>
      <c r="D303" s="1">
        <v>11168.77</v>
      </c>
      <c r="E303" s="1" t="s">
        <v>146</v>
      </c>
      <c r="F303" s="1">
        <v>3</v>
      </c>
    </row>
    <row r="304" spans="1:6" x14ac:dyDescent="0.35">
      <c r="A304" s="1">
        <v>2028</v>
      </c>
      <c r="B304" s="1">
        <v>11451.508758659629</v>
      </c>
      <c r="C304" s="1">
        <v>10893.012086164679</v>
      </c>
      <c r="D304" s="1">
        <v>11451.508758659629</v>
      </c>
      <c r="E304" s="1" t="s">
        <v>146</v>
      </c>
      <c r="F304" s="1">
        <v>3</v>
      </c>
    </row>
    <row r="305" spans="1:6" x14ac:dyDescent="0.35">
      <c r="A305" s="1">
        <v>2029</v>
      </c>
      <c r="B305" s="1">
        <v>11741.40508307165</v>
      </c>
      <c r="C305" s="1">
        <v>10624.06265948084</v>
      </c>
      <c r="D305" s="1">
        <v>11168.77</v>
      </c>
      <c r="E305" s="1" t="s">
        <v>146</v>
      </c>
      <c r="F305" s="1">
        <v>3</v>
      </c>
    </row>
    <row r="306" spans="1:6" x14ac:dyDescent="0.35">
      <c r="A306" s="1">
        <v>2030</v>
      </c>
      <c r="B306" s="1">
        <v>12038.64016787575</v>
      </c>
      <c r="C306" s="1">
        <v>10361.753617801751</v>
      </c>
      <c r="D306" s="1">
        <v>10893.012086164679</v>
      </c>
      <c r="E306" s="1" t="s">
        <v>146</v>
      </c>
      <c r="F306" s="1">
        <v>3</v>
      </c>
    </row>
    <row r="307" spans="1:6" x14ac:dyDescent="0.35">
      <c r="A307" s="1">
        <v>2031</v>
      </c>
      <c r="B307" s="1">
        <v>11741.40508307165</v>
      </c>
      <c r="C307" s="1">
        <v>10105.921009437479</v>
      </c>
      <c r="D307" s="1">
        <v>11168.77</v>
      </c>
      <c r="E307" s="1" t="s">
        <v>146</v>
      </c>
      <c r="F307" s="1">
        <v>3</v>
      </c>
    </row>
    <row r="308" spans="1:6" x14ac:dyDescent="0.35">
      <c r="A308" s="1">
        <v>2032</v>
      </c>
      <c r="B308" s="1">
        <v>11451.50875865962</v>
      </c>
      <c r="C308" s="1">
        <v>9856.4049306797478</v>
      </c>
      <c r="D308" s="1">
        <v>11451.508758659629</v>
      </c>
      <c r="E308" s="1" t="s">
        <v>146</v>
      </c>
      <c r="F308" s="1">
        <v>3</v>
      </c>
    </row>
    <row r="309" spans="1:6" x14ac:dyDescent="0.35">
      <c r="A309" s="1">
        <v>2033</v>
      </c>
      <c r="B309" s="1">
        <v>11741.405083071641</v>
      </c>
      <c r="C309" s="1">
        <v>9737.3751997921281</v>
      </c>
      <c r="D309" s="1">
        <v>11741.40508307165</v>
      </c>
      <c r="E309" s="1" t="s">
        <v>146</v>
      </c>
      <c r="F309" s="1">
        <v>3</v>
      </c>
    </row>
    <row r="310" spans="1:6" x14ac:dyDescent="0.35">
      <c r="A310" s="1">
        <v>2034</v>
      </c>
      <c r="B310" s="1">
        <v>12343.39979467575</v>
      </c>
      <c r="C310" s="1">
        <v>52298.854842565474</v>
      </c>
      <c r="D310" s="1">
        <v>111687.7</v>
      </c>
      <c r="E310" s="1" t="s">
        <v>146</v>
      </c>
      <c r="F310" s="1">
        <v>3</v>
      </c>
    </row>
    <row r="311" spans="1:6" x14ac:dyDescent="0.35">
      <c r="A311" s="1">
        <v>2035</v>
      </c>
      <c r="B311" s="1">
        <v>7278.1348271425504</v>
      </c>
      <c r="C311" s="1">
        <v>21682.923291879932</v>
      </c>
      <c r="D311" s="1">
        <v>63459.026617398871</v>
      </c>
      <c r="E311" s="1" t="s">
        <v>146</v>
      </c>
      <c r="F311" s="1">
        <v>3</v>
      </c>
    </row>
    <row r="312" spans="1:6" x14ac:dyDescent="0.35">
      <c r="A312" s="1">
        <v>2036</v>
      </c>
      <c r="B312" s="1">
        <v>7098.4370379907441</v>
      </c>
      <c r="C312" s="1">
        <v>22231.82910833582</v>
      </c>
      <c r="D312" s="1">
        <v>61892.217667618912</v>
      </c>
      <c r="E312" s="1" t="s">
        <v>146</v>
      </c>
      <c r="F312" s="1">
        <v>3</v>
      </c>
    </row>
    <row r="313" spans="1:6" x14ac:dyDescent="0.35">
      <c r="A313" s="1">
        <v>2037</v>
      </c>
      <c r="B313" s="1">
        <v>7278.1348271425504</v>
      </c>
      <c r="C313" s="1">
        <v>21682.923291879932</v>
      </c>
      <c r="D313" s="1">
        <v>63459.026617398871</v>
      </c>
      <c r="E313" s="1" t="s">
        <v>146</v>
      </c>
      <c r="F313" s="1">
        <v>3</v>
      </c>
    </row>
    <row r="314" spans="1:6" x14ac:dyDescent="0.35">
      <c r="A314" s="1">
        <v>2038</v>
      </c>
      <c r="B314" s="1">
        <v>7098.4370379907441</v>
      </c>
      <c r="C314" s="1">
        <v>21147.570008320501</v>
      </c>
      <c r="D314" s="1">
        <v>65065.499524581261</v>
      </c>
      <c r="E314" s="1" t="s">
        <v>146</v>
      </c>
      <c r="F314" s="1">
        <v>3</v>
      </c>
    </row>
    <row r="315" spans="1:6" x14ac:dyDescent="0.35">
      <c r="A315" s="1">
        <v>2039</v>
      </c>
      <c r="B315" s="1">
        <v>6923.1760030614096</v>
      </c>
      <c r="C315" s="1">
        <v>20625.434644428071</v>
      </c>
      <c r="D315" s="1">
        <v>63459.026617398857</v>
      </c>
      <c r="E315" s="1" t="s">
        <v>146</v>
      </c>
      <c r="F315" s="1">
        <v>3</v>
      </c>
    </row>
    <row r="316" spans="1:6" x14ac:dyDescent="0.35">
      <c r="A316" s="1">
        <v>2040</v>
      </c>
      <c r="B316" s="1">
        <v>7098.4370379907441</v>
      </c>
      <c r="C316" s="1">
        <v>21147.570008320501</v>
      </c>
      <c r="D316" s="1">
        <v>61892.217667618897</v>
      </c>
      <c r="E316" s="1" t="s">
        <v>146</v>
      </c>
      <c r="F316" s="1">
        <v>3</v>
      </c>
    </row>
    <row r="317" spans="1:6" x14ac:dyDescent="0.35">
      <c r="A317" s="1">
        <v>2041</v>
      </c>
      <c r="B317" s="1">
        <v>6923.1760030614096</v>
      </c>
      <c r="C317" s="1">
        <v>20625.434644428071</v>
      </c>
      <c r="D317" s="1">
        <v>60364.093368643807</v>
      </c>
      <c r="E317" s="1" t="s">
        <v>146</v>
      </c>
      <c r="F317" s="1">
        <v>3</v>
      </c>
    </row>
    <row r="318" spans="1:6" x14ac:dyDescent="0.35">
      <c r="A318" s="1">
        <v>2042</v>
      </c>
      <c r="B318" s="1">
        <v>7098.4370379907441</v>
      </c>
      <c r="C318" s="1">
        <v>20116.19084860327</v>
      </c>
      <c r="D318" s="1">
        <v>61892.217667618897</v>
      </c>
      <c r="E318" s="1" t="s">
        <v>146</v>
      </c>
      <c r="F318" s="1">
        <v>3</v>
      </c>
    </row>
    <row r="319" spans="1:6" x14ac:dyDescent="0.35">
      <c r="A319" s="1">
        <v>2043</v>
      </c>
      <c r="B319" s="1">
        <v>6923.1760030614096</v>
      </c>
      <c r="C319" s="1">
        <v>19619.5203268964</v>
      </c>
      <c r="D319" s="1">
        <v>63459.026617398857</v>
      </c>
      <c r="E319" s="1" t="s">
        <v>146</v>
      </c>
      <c r="F319" s="1">
        <v>3</v>
      </c>
    </row>
    <row r="320" spans="1:6" x14ac:dyDescent="0.35">
      <c r="A320" s="1">
        <v>2044</v>
      </c>
      <c r="B320" s="1">
        <v>7098.4370379907441</v>
      </c>
      <c r="C320" s="1">
        <v>19135.112644063411</v>
      </c>
      <c r="D320" s="1">
        <v>61892.217667618897</v>
      </c>
      <c r="E320" s="1" t="s">
        <v>146</v>
      </c>
      <c r="F320" s="1">
        <v>3</v>
      </c>
    </row>
    <row r="321" spans="1:6" x14ac:dyDescent="0.35">
      <c r="A321" s="1">
        <v>2045</v>
      </c>
      <c r="B321" s="1">
        <v>7278.1348271425504</v>
      </c>
      <c r="C321" s="1">
        <v>18662.66502953372</v>
      </c>
      <c r="D321" s="1">
        <v>60364.093368643807</v>
      </c>
      <c r="E321" s="1" t="s">
        <v>146</v>
      </c>
      <c r="F321" s="1">
        <v>3</v>
      </c>
    </row>
    <row r="322" spans="1:6" x14ac:dyDescent="0.35">
      <c r="A322" s="1">
        <v>2046</v>
      </c>
      <c r="B322" s="1">
        <v>7098.4370379907441</v>
      </c>
      <c r="C322" s="1">
        <v>19135.112644063411</v>
      </c>
      <c r="D322" s="1">
        <v>61892.217667618897</v>
      </c>
      <c r="E322" s="1" t="s">
        <v>146</v>
      </c>
      <c r="F322" s="1">
        <v>3</v>
      </c>
    </row>
    <row r="323" spans="1:6" x14ac:dyDescent="0.35">
      <c r="A323" s="1">
        <v>2047</v>
      </c>
      <c r="B323" s="1">
        <v>6923.1760030614096</v>
      </c>
      <c r="C323" s="1">
        <v>19619.5203268964</v>
      </c>
      <c r="D323" s="1">
        <v>63459.026617398857</v>
      </c>
      <c r="E323" s="1" t="s">
        <v>146</v>
      </c>
      <c r="F323" s="1">
        <v>3</v>
      </c>
    </row>
    <row r="324" spans="1:6" x14ac:dyDescent="0.35">
      <c r="A324" s="1">
        <v>2048</v>
      </c>
      <c r="B324" s="1">
        <v>21497.903662166798</v>
      </c>
      <c r="C324" s="1">
        <v>103299.9727330204</v>
      </c>
      <c r="D324" s="1">
        <v>111687.7</v>
      </c>
      <c r="E324" s="1" t="s">
        <v>146</v>
      </c>
      <c r="F324" s="1">
        <v>3</v>
      </c>
    </row>
    <row r="325" spans="1:6" x14ac:dyDescent="0.35">
      <c r="A325" s="1">
        <v>2049</v>
      </c>
      <c r="B325" s="1">
        <v>12750.354004907011</v>
      </c>
      <c r="C325" s="1">
        <v>40392.591888770992</v>
      </c>
      <c r="D325" s="1">
        <v>79923.9151137585</v>
      </c>
      <c r="E325" s="1" t="s">
        <v>146</v>
      </c>
      <c r="F325" s="1">
        <v>3</v>
      </c>
    </row>
    <row r="326" spans="1:6" x14ac:dyDescent="0.35">
      <c r="A326" s="1">
        <v>2050</v>
      </c>
      <c r="B326" s="1">
        <v>24224.750824149029</v>
      </c>
      <c r="C326" s="1">
        <v>111687.7</v>
      </c>
      <c r="D326" s="1">
        <v>111687.7</v>
      </c>
      <c r="E326" s="1" t="s">
        <v>146</v>
      </c>
      <c r="F326" s="1">
        <v>3</v>
      </c>
    </row>
    <row r="327" spans="1:6" x14ac:dyDescent="0.35">
      <c r="A327" s="1">
        <v>2026</v>
      </c>
      <c r="B327" s="1">
        <v>11451.508758659629</v>
      </c>
      <c r="C327" s="1">
        <v>10893.012086164679</v>
      </c>
      <c r="D327" s="1">
        <v>10893.012086164679</v>
      </c>
      <c r="E327" s="1" t="s">
        <v>147</v>
      </c>
      <c r="F327" s="1">
        <v>3</v>
      </c>
    </row>
    <row r="328" spans="1:6" x14ac:dyDescent="0.35">
      <c r="A328" s="1">
        <v>2027</v>
      </c>
      <c r="B328" s="1">
        <v>11168.77</v>
      </c>
      <c r="C328" s="1">
        <v>10624.06265948084</v>
      </c>
      <c r="D328" s="1">
        <v>10624.06265948084</v>
      </c>
      <c r="E328" s="1" t="s">
        <v>147</v>
      </c>
      <c r="F328" s="1">
        <v>3</v>
      </c>
    </row>
    <row r="329" spans="1:6" x14ac:dyDescent="0.35">
      <c r="A329" s="1">
        <v>2028</v>
      </c>
      <c r="B329" s="1">
        <v>10893.012086164679</v>
      </c>
      <c r="C329" s="1">
        <v>10893.012086164679</v>
      </c>
      <c r="D329" s="1">
        <v>10832.45265717509</v>
      </c>
      <c r="E329" s="1" t="s">
        <v>147</v>
      </c>
      <c r="F329" s="1">
        <v>3</v>
      </c>
    </row>
    <row r="330" spans="1:6" x14ac:dyDescent="0.35">
      <c r="A330" s="1">
        <v>2029</v>
      </c>
      <c r="B330" s="1">
        <v>15169.09759240968</v>
      </c>
      <c r="C330" s="1">
        <v>53492.670450620673</v>
      </c>
      <c r="D330" s="1">
        <v>107946.79554736421</v>
      </c>
      <c r="E330" s="1" t="s">
        <v>147</v>
      </c>
      <c r="F330" s="1">
        <v>3</v>
      </c>
    </row>
    <row r="331" spans="1:6" x14ac:dyDescent="0.35">
      <c r="A331" s="1">
        <v>2030</v>
      </c>
      <c r="B331" s="1">
        <v>6942.2843692422484</v>
      </c>
      <c r="C331" s="1">
        <v>22615.739027188109</v>
      </c>
      <c r="D331" s="1">
        <v>71150.243057075175</v>
      </c>
      <c r="E331" s="1" t="s">
        <v>147</v>
      </c>
      <c r="F331" s="1">
        <v>3</v>
      </c>
    </row>
    <row r="332" spans="1:6" x14ac:dyDescent="0.35">
      <c r="A332" s="1">
        <v>2031</v>
      </c>
      <c r="B332" s="1">
        <v>7118.0291347644734</v>
      </c>
      <c r="C332" s="1">
        <v>23188.2591864104</v>
      </c>
      <c r="D332" s="1">
        <v>69393.53729679047</v>
      </c>
      <c r="E332" s="1" t="s">
        <v>147</v>
      </c>
      <c r="F332" s="1">
        <v>3</v>
      </c>
    </row>
    <row r="333" spans="1:6" x14ac:dyDescent="0.35">
      <c r="A333" s="1">
        <v>2032</v>
      </c>
      <c r="B333" s="1">
        <v>6942.2843692422466</v>
      </c>
      <c r="C333" s="1">
        <v>22615.739027188101</v>
      </c>
      <c r="D333" s="1">
        <v>70185.849680133368</v>
      </c>
      <c r="E333" s="1" t="s">
        <v>147</v>
      </c>
      <c r="F333" s="1">
        <v>3</v>
      </c>
    </row>
    <row r="334" spans="1:6" x14ac:dyDescent="0.35">
      <c r="A334" s="1">
        <v>2033</v>
      </c>
      <c r="B334" s="1">
        <v>6770.8787574413254</v>
      </c>
      <c r="C334" s="1">
        <v>23188.2591864104</v>
      </c>
      <c r="D334" s="1">
        <v>68452.954877164651</v>
      </c>
      <c r="E334" s="1" t="s">
        <v>147</v>
      </c>
      <c r="F334" s="1">
        <v>3</v>
      </c>
    </row>
    <row r="335" spans="1:6" x14ac:dyDescent="0.35">
      <c r="A335" s="1">
        <v>2034</v>
      </c>
      <c r="B335" s="1">
        <v>6603.705165274604</v>
      </c>
      <c r="C335" s="1">
        <v>23775.272762466069</v>
      </c>
      <c r="D335" s="1">
        <v>66762.845399326878</v>
      </c>
      <c r="E335" s="1" t="s">
        <v>147</v>
      </c>
      <c r="F335" s="1">
        <v>3</v>
      </c>
    </row>
    <row r="336" spans="1:6" x14ac:dyDescent="0.35">
      <c r="A336" s="1">
        <v>2035</v>
      </c>
      <c r="B336" s="1">
        <v>6440.6591038050201</v>
      </c>
      <c r="C336" s="1">
        <v>23188.2591864104</v>
      </c>
      <c r="D336" s="1">
        <v>68452.954877164651</v>
      </c>
      <c r="E336" s="1" t="s">
        <v>147</v>
      </c>
      <c r="F336" s="1">
        <v>3</v>
      </c>
    </row>
    <row r="337" spans="1:6" x14ac:dyDescent="0.35">
      <c r="A337" s="1">
        <v>2036</v>
      </c>
      <c r="B337" s="1">
        <v>6603.705165274604</v>
      </c>
      <c r="C337" s="1">
        <v>22615.739027188101</v>
      </c>
      <c r="D337" s="1">
        <v>70185.849680133368</v>
      </c>
      <c r="E337" s="1" t="s">
        <v>147</v>
      </c>
      <c r="F337" s="1">
        <v>3</v>
      </c>
    </row>
    <row r="338" spans="1:6" x14ac:dyDescent="0.35">
      <c r="A338" s="1">
        <v>2037</v>
      </c>
      <c r="B338" s="1">
        <v>6770.8787574413236</v>
      </c>
      <c r="C338" s="1">
        <v>23188.2591864104</v>
      </c>
      <c r="D338" s="1">
        <v>68452.954877164651</v>
      </c>
      <c r="E338" s="1" t="s">
        <v>147</v>
      </c>
      <c r="F338" s="1">
        <v>3</v>
      </c>
    </row>
    <row r="339" spans="1:6" x14ac:dyDescent="0.35">
      <c r="A339" s="1">
        <v>2038</v>
      </c>
      <c r="B339" s="1">
        <v>6942.2843692422457</v>
      </c>
      <c r="C339" s="1">
        <v>23775.272762466069</v>
      </c>
      <c r="D339" s="1">
        <v>70185.849680133368</v>
      </c>
      <c r="E339" s="1" t="s">
        <v>147</v>
      </c>
      <c r="F339" s="1">
        <v>3</v>
      </c>
    </row>
    <row r="340" spans="1:6" x14ac:dyDescent="0.35">
      <c r="A340" s="1">
        <v>2039</v>
      </c>
      <c r="B340" s="1">
        <v>7118.0291347644716</v>
      </c>
      <c r="C340" s="1">
        <v>24377.14665794907</v>
      </c>
      <c r="D340" s="1">
        <v>68452.954877164651</v>
      </c>
      <c r="E340" s="1" t="s">
        <v>147</v>
      </c>
      <c r="F340" s="1">
        <v>3</v>
      </c>
    </row>
    <row r="341" spans="1:6" x14ac:dyDescent="0.35">
      <c r="A341" s="1">
        <v>2040</v>
      </c>
      <c r="B341" s="1">
        <v>6942.2843692422457</v>
      </c>
      <c r="C341" s="1">
        <v>24994.257063636731</v>
      </c>
      <c r="D341" s="1">
        <v>70185.849680133368</v>
      </c>
      <c r="E341" s="1" t="s">
        <v>147</v>
      </c>
      <c r="F341" s="1">
        <v>3</v>
      </c>
    </row>
    <row r="342" spans="1:6" x14ac:dyDescent="0.35">
      <c r="A342" s="1">
        <v>2041</v>
      </c>
      <c r="B342" s="1">
        <v>7118.0291347644716</v>
      </c>
      <c r="C342" s="1">
        <v>24377.14665794907</v>
      </c>
      <c r="D342" s="1">
        <v>68452.954877164651</v>
      </c>
      <c r="E342" s="1" t="s">
        <v>147</v>
      </c>
      <c r="F342" s="1">
        <v>3</v>
      </c>
    </row>
    <row r="343" spans="1:6" x14ac:dyDescent="0.35">
      <c r="A343" s="1">
        <v>2042</v>
      </c>
      <c r="B343" s="1">
        <v>6942.2843692422457</v>
      </c>
      <c r="C343" s="1">
        <v>24994.25706363672</v>
      </c>
      <c r="D343" s="1">
        <v>66762.845399326878</v>
      </c>
      <c r="E343" s="1" t="s">
        <v>147</v>
      </c>
      <c r="F343" s="1">
        <v>3</v>
      </c>
    </row>
    <row r="344" spans="1:6" x14ac:dyDescent="0.35">
      <c r="A344" s="1">
        <v>2043</v>
      </c>
      <c r="B344" s="1">
        <v>7118.0291347644716</v>
      </c>
      <c r="C344" s="1">
        <v>24377.146657949059</v>
      </c>
      <c r="D344" s="1">
        <v>68452.954877164651</v>
      </c>
      <c r="E344" s="1" t="s">
        <v>147</v>
      </c>
      <c r="F344" s="1">
        <v>3</v>
      </c>
    </row>
    <row r="345" spans="1:6" x14ac:dyDescent="0.35">
      <c r="A345" s="1">
        <v>2044</v>
      </c>
      <c r="B345" s="1">
        <v>17040.347459696699</v>
      </c>
      <c r="C345" s="1">
        <v>111687.7</v>
      </c>
      <c r="D345" s="1">
        <v>111687.7</v>
      </c>
      <c r="E345" s="1" t="s">
        <v>147</v>
      </c>
      <c r="F345" s="1">
        <v>3</v>
      </c>
    </row>
    <row r="346" spans="1:6" x14ac:dyDescent="0.35">
      <c r="A346" s="1">
        <v>2045</v>
      </c>
      <c r="B346" s="1">
        <v>13912.021662010569</v>
      </c>
      <c r="C346" s="1">
        <v>44778.114488850602</v>
      </c>
      <c r="D346" s="1">
        <v>79634.70605751565</v>
      </c>
      <c r="E346" s="1" t="s">
        <v>147</v>
      </c>
      <c r="F346" s="1">
        <v>3</v>
      </c>
    </row>
    <row r="347" spans="1:6" x14ac:dyDescent="0.35">
      <c r="A347" s="1">
        <v>2046</v>
      </c>
      <c r="B347" s="1">
        <v>14264.206167122829</v>
      </c>
      <c r="C347" s="1">
        <v>43672.53890291549</v>
      </c>
      <c r="D347" s="1">
        <v>81650.668239289123</v>
      </c>
      <c r="E347" s="1" t="s">
        <v>147</v>
      </c>
      <c r="F347" s="1">
        <v>3</v>
      </c>
    </row>
    <row r="348" spans="1:6" x14ac:dyDescent="0.35">
      <c r="A348" s="1">
        <v>2047</v>
      </c>
      <c r="B348" s="1">
        <v>14625.30626542885</v>
      </c>
      <c r="C348" s="1">
        <v>44778.114488850602</v>
      </c>
      <c r="D348" s="1">
        <v>83717.66474666688</v>
      </c>
      <c r="E348" s="1" t="s">
        <v>147</v>
      </c>
      <c r="F348" s="1">
        <v>3</v>
      </c>
    </row>
    <row r="349" spans="1:6" x14ac:dyDescent="0.35">
      <c r="A349" s="1">
        <v>2048</v>
      </c>
      <c r="B349" s="1">
        <v>14995.54765624486</v>
      </c>
      <c r="C349" s="1">
        <v>43672.53890291549</v>
      </c>
      <c r="D349" s="1">
        <v>81650.668239289123</v>
      </c>
      <c r="E349" s="1" t="s">
        <v>147</v>
      </c>
      <c r="F349" s="1">
        <v>3</v>
      </c>
    </row>
    <row r="350" spans="1:6" x14ac:dyDescent="0.35">
      <c r="A350" s="1">
        <v>2049</v>
      </c>
      <c r="B350" s="1">
        <v>28106.67982390926</v>
      </c>
      <c r="C350" s="1">
        <v>111687.7</v>
      </c>
      <c r="D350" s="1">
        <v>111687.7</v>
      </c>
      <c r="E350" s="1" t="s">
        <v>147</v>
      </c>
      <c r="F350" s="1">
        <v>3</v>
      </c>
    </row>
    <row r="351" spans="1:6" x14ac:dyDescent="0.35">
      <c r="A351" s="1">
        <v>2050</v>
      </c>
      <c r="B351" s="1">
        <v>18082.577955030942</v>
      </c>
      <c r="C351" s="1">
        <v>41242.782065010251</v>
      </c>
      <c r="D351" s="1">
        <v>75592.507004671425</v>
      </c>
      <c r="E351" s="1" t="s">
        <v>147</v>
      </c>
      <c r="F351" s="1">
        <v>3</v>
      </c>
    </row>
    <row r="352" spans="1:6" x14ac:dyDescent="0.35">
      <c r="A352" s="1">
        <v>2026</v>
      </c>
      <c r="B352" s="1">
        <v>10893.012086164679</v>
      </c>
      <c r="C352" s="1">
        <v>10893.012086164679</v>
      </c>
      <c r="D352" s="1">
        <v>11451.508758659629</v>
      </c>
      <c r="E352" s="1" t="s">
        <v>148</v>
      </c>
      <c r="F352" s="1">
        <v>3</v>
      </c>
    </row>
    <row r="353" spans="1:6" x14ac:dyDescent="0.35">
      <c r="A353" s="1">
        <v>2027</v>
      </c>
      <c r="B353" s="1">
        <v>15879.588853061779</v>
      </c>
      <c r="C353" s="1">
        <v>41884.77291605957</v>
      </c>
      <c r="D353" s="1">
        <v>111687.7</v>
      </c>
      <c r="E353" s="1" t="s">
        <v>148</v>
      </c>
      <c r="F353" s="1">
        <v>3</v>
      </c>
    </row>
    <row r="354" spans="1:6" x14ac:dyDescent="0.35">
      <c r="A354" s="1">
        <v>2028</v>
      </c>
      <c r="B354" s="1">
        <v>6636.8564157748806</v>
      </c>
      <c r="C354" s="1">
        <v>22941.220084794459</v>
      </c>
      <c r="D354" s="1">
        <v>69182.651894854134</v>
      </c>
      <c r="E354" s="1" t="s">
        <v>148</v>
      </c>
      <c r="F354" s="1">
        <v>3</v>
      </c>
    </row>
    <row r="355" spans="1:6" x14ac:dyDescent="0.35">
      <c r="A355" s="1">
        <v>2029</v>
      </c>
      <c r="B355" s="1">
        <v>6472.9918470140747</v>
      </c>
      <c r="C355" s="1">
        <v>23521.97983621847</v>
      </c>
      <c r="D355" s="1">
        <v>70934.01906577198</v>
      </c>
      <c r="E355" s="1" t="s">
        <v>148</v>
      </c>
      <c r="F355" s="1">
        <v>3</v>
      </c>
    </row>
    <row r="356" spans="1:6" x14ac:dyDescent="0.35">
      <c r="A356" s="1">
        <v>2030</v>
      </c>
      <c r="B356" s="1">
        <v>6636.8564157748806</v>
      </c>
      <c r="C356" s="1">
        <v>24117.44159074553</v>
      </c>
      <c r="D356" s="1">
        <v>72729.722307704127</v>
      </c>
      <c r="E356" s="1" t="s">
        <v>148</v>
      </c>
      <c r="F356" s="1">
        <v>3</v>
      </c>
    </row>
    <row r="357" spans="1:6" x14ac:dyDescent="0.35">
      <c r="A357" s="1">
        <v>2031</v>
      </c>
      <c r="B357" s="1">
        <v>6472.9918470140747</v>
      </c>
      <c r="C357" s="1">
        <v>23521.97983621847</v>
      </c>
      <c r="D357" s="1">
        <v>70934.01906577198</v>
      </c>
      <c r="E357" s="1" t="s">
        <v>148</v>
      </c>
      <c r="F357" s="1">
        <v>3</v>
      </c>
    </row>
    <row r="358" spans="1:6" x14ac:dyDescent="0.35">
      <c r="A358" s="1">
        <v>2032</v>
      </c>
      <c r="B358" s="1">
        <v>6313.1731088714114</v>
      </c>
      <c r="C358" s="1">
        <v>24117.44159074553</v>
      </c>
      <c r="D358" s="1">
        <v>69182.651894854134</v>
      </c>
      <c r="E358" s="1" t="s">
        <v>148</v>
      </c>
      <c r="F358" s="1">
        <v>3</v>
      </c>
    </row>
    <row r="359" spans="1:6" x14ac:dyDescent="0.35">
      <c r="A359" s="1">
        <v>2033</v>
      </c>
      <c r="B359" s="1">
        <v>6157.3003094330124</v>
      </c>
      <c r="C359" s="1">
        <v>24727.977531356129</v>
      </c>
      <c r="D359" s="1">
        <v>70934.01906577198</v>
      </c>
      <c r="E359" s="1" t="s">
        <v>148</v>
      </c>
      <c r="F359" s="1">
        <v>3</v>
      </c>
    </row>
    <row r="360" spans="1:6" x14ac:dyDescent="0.35">
      <c r="A360" s="1">
        <v>2034</v>
      </c>
      <c r="B360" s="1">
        <v>6313.1731088714114</v>
      </c>
      <c r="C360" s="1">
        <v>24117.44159074553</v>
      </c>
      <c r="D360" s="1">
        <v>69182.651894854134</v>
      </c>
      <c r="E360" s="1" t="s">
        <v>148</v>
      </c>
      <c r="F360" s="1">
        <v>3</v>
      </c>
    </row>
    <row r="361" spans="1:6" x14ac:dyDescent="0.35">
      <c r="A361" s="1">
        <v>2035</v>
      </c>
      <c r="B361" s="1">
        <v>28069.902957751601</v>
      </c>
      <c r="C361" s="1">
        <v>100883.0863879937</v>
      </c>
      <c r="D361" s="1">
        <v>111687.7</v>
      </c>
      <c r="E361" s="1" t="s">
        <v>148</v>
      </c>
      <c r="F361" s="1">
        <v>3</v>
      </c>
    </row>
    <row r="362" spans="1:6" x14ac:dyDescent="0.35">
      <c r="A362" s="1">
        <v>2036</v>
      </c>
      <c r="B362" s="1">
        <v>8706.7890401801269</v>
      </c>
      <c r="C362" s="1">
        <v>39836.476983037581</v>
      </c>
      <c r="D362" s="1">
        <v>80154.619267683636</v>
      </c>
      <c r="E362" s="1" t="s">
        <v>148</v>
      </c>
      <c r="F362" s="1">
        <v>3</v>
      </c>
    </row>
    <row r="363" spans="1:6" x14ac:dyDescent="0.35">
      <c r="A363" s="1">
        <v>2037</v>
      </c>
      <c r="B363" s="1">
        <v>8491.8176528273307</v>
      </c>
      <c r="C363" s="1">
        <v>40844.942199131823</v>
      </c>
      <c r="D363" s="1">
        <v>78175.594666629026</v>
      </c>
      <c r="E363" s="1" t="s">
        <v>148</v>
      </c>
      <c r="F363" s="1">
        <v>3</v>
      </c>
    </row>
    <row r="364" spans="1:6" x14ac:dyDescent="0.35">
      <c r="A364" s="1">
        <v>2038</v>
      </c>
      <c r="B364" s="1">
        <v>31744.155397078011</v>
      </c>
      <c r="C364" s="1">
        <v>111687.7</v>
      </c>
      <c r="D364" s="1">
        <v>111687.7</v>
      </c>
      <c r="E364" s="1" t="s">
        <v>148</v>
      </c>
      <c r="F364" s="1">
        <v>3</v>
      </c>
    </row>
    <row r="365" spans="1:6" x14ac:dyDescent="0.35">
      <c r="A365" s="1">
        <v>2039</v>
      </c>
      <c r="B365" s="1">
        <v>12933.665095706179</v>
      </c>
      <c r="C365" s="1">
        <v>52337.199721708726</v>
      </c>
      <c r="D365" s="1">
        <v>82607.27784551763</v>
      </c>
      <c r="E365" s="1" t="s">
        <v>148</v>
      </c>
      <c r="F365" s="1">
        <v>3</v>
      </c>
    </row>
    <row r="366" spans="1:6" x14ac:dyDescent="0.35">
      <c r="A366" s="1">
        <v>2040</v>
      </c>
      <c r="B366" s="1">
        <v>12614.331766697111</v>
      </c>
      <c r="C366" s="1">
        <v>51044.989656389007</v>
      </c>
      <c r="D366" s="1">
        <v>80567.696888411825</v>
      </c>
      <c r="E366" s="1" t="s">
        <v>148</v>
      </c>
      <c r="F366" s="1">
        <v>3</v>
      </c>
    </row>
    <row r="367" spans="1:6" x14ac:dyDescent="0.35">
      <c r="A367" s="1">
        <v>2041</v>
      </c>
      <c r="B367" s="1">
        <v>12302.88280567356</v>
      </c>
      <c r="C367" s="1">
        <v>49784.684371259907</v>
      </c>
      <c r="D367" s="1">
        <v>82607.277845517616</v>
      </c>
      <c r="E367" s="1" t="s">
        <v>148</v>
      </c>
      <c r="F367" s="1">
        <v>3</v>
      </c>
    </row>
    <row r="368" spans="1:6" x14ac:dyDescent="0.35">
      <c r="A368" s="1">
        <v>2042</v>
      </c>
      <c r="B368" s="1">
        <v>11999.12354689637</v>
      </c>
      <c r="C368" s="1">
        <v>48555.496134491812</v>
      </c>
      <c r="D368" s="1">
        <v>84698.491040371882</v>
      </c>
      <c r="E368" s="1" t="s">
        <v>148</v>
      </c>
      <c r="F368" s="1">
        <v>3</v>
      </c>
    </row>
    <row r="369" spans="1:6" x14ac:dyDescent="0.35">
      <c r="A369" s="1">
        <v>2043</v>
      </c>
      <c r="B369" s="1">
        <v>12302.88280567356</v>
      </c>
      <c r="C369" s="1">
        <v>49784.684371259907</v>
      </c>
      <c r="D369" s="1">
        <v>86842.643549296161</v>
      </c>
      <c r="E369" s="1" t="s">
        <v>148</v>
      </c>
      <c r="F369" s="1">
        <v>3</v>
      </c>
    </row>
    <row r="370" spans="1:6" x14ac:dyDescent="0.35">
      <c r="A370" s="1">
        <v>2044</v>
      </c>
      <c r="B370" s="1">
        <v>11999.12354689637</v>
      </c>
      <c r="C370" s="1">
        <v>48555.496134491812</v>
      </c>
      <c r="D370" s="1">
        <v>89041.075537406607</v>
      </c>
      <c r="E370" s="1" t="s">
        <v>148</v>
      </c>
      <c r="F370" s="1">
        <v>3</v>
      </c>
    </row>
    <row r="371" spans="1:6" x14ac:dyDescent="0.35">
      <c r="A371" s="1">
        <v>2045</v>
      </c>
      <c r="B371" s="1">
        <v>12302.88280567356</v>
      </c>
      <c r="C371" s="1">
        <v>49784.684371259907</v>
      </c>
      <c r="D371" s="1">
        <v>86842.643549296161</v>
      </c>
      <c r="E371" s="1" t="s">
        <v>148</v>
      </c>
      <c r="F371" s="1">
        <v>3</v>
      </c>
    </row>
    <row r="372" spans="1:6" x14ac:dyDescent="0.35">
      <c r="A372" s="1">
        <v>2046</v>
      </c>
      <c r="B372" s="1">
        <v>12614.331766697111</v>
      </c>
      <c r="C372" s="1">
        <v>48555.496134491812</v>
      </c>
      <c r="D372" s="1">
        <v>89041.075537406607</v>
      </c>
      <c r="E372" s="1" t="s">
        <v>148</v>
      </c>
      <c r="F372" s="1">
        <v>3</v>
      </c>
    </row>
    <row r="373" spans="1:6" x14ac:dyDescent="0.35">
      <c r="A373" s="1">
        <v>2047</v>
      </c>
      <c r="B373" s="1">
        <v>12933.665095706179</v>
      </c>
      <c r="C373" s="1">
        <v>49784.684371259907</v>
      </c>
      <c r="D373" s="1">
        <v>86842.643549296161</v>
      </c>
      <c r="E373" s="1" t="s">
        <v>148</v>
      </c>
      <c r="F373" s="1">
        <v>3</v>
      </c>
    </row>
    <row r="374" spans="1:6" x14ac:dyDescent="0.35">
      <c r="A374" s="1">
        <v>2048</v>
      </c>
      <c r="B374" s="1">
        <v>12614.331766697111</v>
      </c>
      <c r="C374" s="1">
        <v>51044.989656389007</v>
      </c>
      <c r="D374" s="1">
        <v>84698.491040371882</v>
      </c>
      <c r="E374" s="1" t="s">
        <v>148</v>
      </c>
      <c r="F374" s="1">
        <v>3</v>
      </c>
    </row>
    <row r="375" spans="1:6" x14ac:dyDescent="0.35">
      <c r="A375" s="1">
        <v>2049</v>
      </c>
      <c r="B375" s="1">
        <v>12302.88280567356</v>
      </c>
      <c r="C375" s="1">
        <v>52337.199721708719</v>
      </c>
      <c r="D375" s="1">
        <v>86842.643549296161</v>
      </c>
      <c r="E375" s="1" t="s">
        <v>148</v>
      </c>
      <c r="F375" s="1">
        <v>3</v>
      </c>
    </row>
    <row r="376" spans="1:6" x14ac:dyDescent="0.35">
      <c r="A376" s="1">
        <v>2050</v>
      </c>
      <c r="B376" s="1">
        <v>11999.12354689637</v>
      </c>
      <c r="C376" s="1">
        <v>51044.989656389007</v>
      </c>
      <c r="D376" s="1">
        <v>84698.491040371882</v>
      </c>
      <c r="E376" s="1" t="s">
        <v>148</v>
      </c>
      <c r="F376" s="1">
        <v>3</v>
      </c>
    </row>
    <row r="377" spans="1:6" x14ac:dyDescent="0.35">
      <c r="A377" s="1">
        <v>2026</v>
      </c>
      <c r="B377" s="1">
        <v>11741.40508307165</v>
      </c>
      <c r="C377" s="1">
        <v>38645.389883858268</v>
      </c>
      <c r="D377" s="1">
        <v>111687.7</v>
      </c>
      <c r="E377" s="1" t="s">
        <v>149</v>
      </c>
      <c r="F377" s="1">
        <v>4</v>
      </c>
    </row>
    <row r="378" spans="1:6" x14ac:dyDescent="0.35">
      <c r="A378" s="1">
        <v>2027</v>
      </c>
      <c r="B378" s="1">
        <v>3899.108835937011</v>
      </c>
      <c r="C378" s="1">
        <v>22950.967784017259</v>
      </c>
      <c r="D378" s="1">
        <v>50694.992808308147</v>
      </c>
      <c r="E378" s="1" t="s">
        <v>149</v>
      </c>
      <c r="F378" s="1">
        <v>4</v>
      </c>
    </row>
    <row r="379" spans="1:6" x14ac:dyDescent="0.35">
      <c r="A379" s="1">
        <v>2028</v>
      </c>
      <c r="B379" s="1">
        <v>3802.8394957666201</v>
      </c>
      <c r="C379" s="1">
        <v>22384.30637039497</v>
      </c>
      <c r="D379" s="1">
        <v>51978.342661235532</v>
      </c>
      <c r="E379" s="1" t="s">
        <v>149</v>
      </c>
      <c r="F379" s="1">
        <v>4</v>
      </c>
    </row>
    <row r="380" spans="1:6" x14ac:dyDescent="0.35">
      <c r="A380" s="1">
        <v>2029</v>
      </c>
      <c r="B380" s="1">
        <v>3708.9470540740108</v>
      </c>
      <c r="C380" s="1">
        <v>21831.63587692516</v>
      </c>
      <c r="D380" s="1">
        <v>53294.180670364767</v>
      </c>
      <c r="E380" s="1" t="s">
        <v>149</v>
      </c>
      <c r="F380" s="1">
        <v>4</v>
      </c>
    </row>
    <row r="381" spans="1:6" x14ac:dyDescent="0.35">
      <c r="A381" s="1">
        <v>2030</v>
      </c>
      <c r="B381" s="1">
        <v>17365.943004165209</v>
      </c>
      <c r="C381" s="1">
        <v>111687.7</v>
      </c>
      <c r="D381" s="1">
        <v>111687.7</v>
      </c>
      <c r="E381" s="1" t="s">
        <v>149</v>
      </c>
      <c r="F381" s="1">
        <v>4</v>
      </c>
    </row>
    <row r="382" spans="1:6" x14ac:dyDescent="0.35">
      <c r="A382" s="1">
        <v>2031</v>
      </c>
      <c r="B382" s="1">
        <v>8929.5345827157598</v>
      </c>
      <c r="C382" s="1">
        <v>37398.276917771807</v>
      </c>
      <c r="D382" s="1">
        <v>98398.362771669228</v>
      </c>
      <c r="E382" s="1" t="s">
        <v>149</v>
      </c>
      <c r="F382" s="1">
        <v>4</v>
      </c>
    </row>
    <row r="383" spans="1:6" x14ac:dyDescent="0.35">
      <c r="A383" s="1">
        <v>2032</v>
      </c>
      <c r="B383" s="1">
        <v>9155.5868269042639</v>
      </c>
      <c r="C383" s="1">
        <v>36474.910170683252</v>
      </c>
      <c r="D383" s="1">
        <v>100889.3291846405</v>
      </c>
      <c r="E383" s="1" t="s">
        <v>149</v>
      </c>
      <c r="F383" s="1">
        <v>4</v>
      </c>
    </row>
    <row r="384" spans="1:6" x14ac:dyDescent="0.35">
      <c r="A384" s="1">
        <v>2033</v>
      </c>
      <c r="B384" s="1">
        <v>8929.534582715758</v>
      </c>
      <c r="C384" s="1">
        <v>37398.276917771807</v>
      </c>
      <c r="D384" s="1">
        <v>103443.3547125785</v>
      </c>
      <c r="E384" s="1" t="s">
        <v>149</v>
      </c>
      <c r="F384" s="1">
        <v>4</v>
      </c>
    </row>
    <row r="385" spans="1:6" x14ac:dyDescent="0.35">
      <c r="A385" s="1">
        <v>2034</v>
      </c>
      <c r="B385" s="1">
        <v>8709.0635883224604</v>
      </c>
      <c r="C385" s="1">
        <v>36474.910170683252</v>
      </c>
      <c r="D385" s="1">
        <v>100889.3291846405</v>
      </c>
      <c r="E385" s="1" t="s">
        <v>149</v>
      </c>
      <c r="F385" s="1">
        <v>4</v>
      </c>
    </row>
    <row r="386" spans="1:6" x14ac:dyDescent="0.35">
      <c r="A386" s="1">
        <v>2035</v>
      </c>
      <c r="B386" s="1">
        <v>8494.0360421759342</v>
      </c>
      <c r="C386" s="1">
        <v>37398.276917771807</v>
      </c>
      <c r="D386" s="1">
        <v>98398.362771669214</v>
      </c>
      <c r="E386" s="1" t="s">
        <v>149</v>
      </c>
      <c r="F386" s="1">
        <v>4</v>
      </c>
    </row>
    <row r="387" spans="1:6" x14ac:dyDescent="0.35">
      <c r="A387" s="1">
        <v>2036</v>
      </c>
      <c r="B387" s="1">
        <v>32033.460550185198</v>
      </c>
      <c r="C387" s="1">
        <v>111687.7</v>
      </c>
      <c r="D387" s="1">
        <v>111687.7</v>
      </c>
      <c r="E387" s="1" t="s">
        <v>149</v>
      </c>
      <c r="F387" s="1">
        <v>4</v>
      </c>
    </row>
    <row r="388" spans="1:6" x14ac:dyDescent="0.35">
      <c r="A388" s="1">
        <v>2037</v>
      </c>
      <c r="B388" s="1">
        <v>14908.02723427678</v>
      </c>
      <c r="C388" s="1">
        <v>51357.151067514453</v>
      </c>
      <c r="D388" s="1">
        <v>82885.419510902459</v>
      </c>
      <c r="E388" s="1" t="s">
        <v>149</v>
      </c>
      <c r="F388" s="1">
        <v>4</v>
      </c>
    </row>
    <row r="389" spans="1:6" x14ac:dyDescent="0.35">
      <c r="A389" s="1">
        <v>2038</v>
      </c>
      <c r="B389" s="1">
        <v>15285.42574049396</v>
      </c>
      <c r="C389" s="1">
        <v>50089.138489683297</v>
      </c>
      <c r="D389" s="1">
        <v>84983.673895538799</v>
      </c>
      <c r="E389" s="1" t="s">
        <v>149</v>
      </c>
      <c r="F389" s="1">
        <v>4</v>
      </c>
    </row>
    <row r="390" spans="1:6" x14ac:dyDescent="0.35">
      <c r="A390" s="1">
        <v>2039</v>
      </c>
      <c r="B390" s="1">
        <v>15672.378135381779</v>
      </c>
      <c r="C390" s="1">
        <v>48852.433253947987</v>
      </c>
      <c r="D390" s="1">
        <v>82885.419510902459</v>
      </c>
      <c r="E390" s="1" t="s">
        <v>149</v>
      </c>
      <c r="F390" s="1">
        <v>4</v>
      </c>
    </row>
    <row r="391" spans="1:6" x14ac:dyDescent="0.35">
      <c r="A391" s="1">
        <v>2040</v>
      </c>
      <c r="B391" s="1">
        <v>15285.42574049396</v>
      </c>
      <c r="C391" s="1">
        <v>47646.262379278007</v>
      </c>
      <c r="D391" s="1">
        <v>80838.971211609722</v>
      </c>
      <c r="E391" s="1" t="s">
        <v>149</v>
      </c>
      <c r="F391" s="1">
        <v>4</v>
      </c>
    </row>
    <row r="392" spans="1:6" x14ac:dyDescent="0.35">
      <c r="A392" s="1">
        <v>2041</v>
      </c>
      <c r="B392" s="1">
        <v>15672.378135381779</v>
      </c>
      <c r="C392" s="1">
        <v>46469.87196961249</v>
      </c>
      <c r="D392" s="1">
        <v>82885.419510902459</v>
      </c>
      <c r="E392" s="1" t="s">
        <v>149</v>
      </c>
      <c r="F392" s="1">
        <v>4</v>
      </c>
    </row>
    <row r="393" spans="1:6" x14ac:dyDescent="0.35">
      <c r="A393" s="1">
        <v>2042</v>
      </c>
      <c r="B393" s="1">
        <v>15285.42574049396</v>
      </c>
      <c r="C393" s="1">
        <v>45322.52674265064</v>
      </c>
      <c r="D393" s="1">
        <v>80838.971211609722</v>
      </c>
      <c r="E393" s="1" t="s">
        <v>149</v>
      </c>
      <c r="F393" s="1">
        <v>4</v>
      </c>
    </row>
    <row r="394" spans="1:6" x14ac:dyDescent="0.35">
      <c r="A394" s="1">
        <v>2043</v>
      </c>
      <c r="B394" s="1">
        <v>14908.02723427678</v>
      </c>
      <c r="C394" s="1">
        <v>46469.87196961249</v>
      </c>
      <c r="D394" s="1">
        <v>78843.049900855985</v>
      </c>
      <c r="E394" s="1" t="s">
        <v>149</v>
      </c>
      <c r="F394" s="1">
        <v>4</v>
      </c>
    </row>
    <row r="395" spans="1:6" x14ac:dyDescent="0.35">
      <c r="A395" s="1">
        <v>2044</v>
      </c>
      <c r="B395" s="1">
        <v>34448.920461623362</v>
      </c>
      <c r="C395" s="1">
        <v>111687.7</v>
      </c>
      <c r="D395" s="1">
        <v>111687.7</v>
      </c>
      <c r="E395" s="1" t="s">
        <v>149</v>
      </c>
      <c r="F395" s="1">
        <v>4</v>
      </c>
    </row>
    <row r="396" spans="1:6" x14ac:dyDescent="0.35">
      <c r="A396" s="1">
        <v>2045</v>
      </c>
      <c r="B396" s="1">
        <v>14533.514400577689</v>
      </c>
      <c r="C396" s="1">
        <v>53969.457408964241</v>
      </c>
      <c r="D396" s="1">
        <v>78110.753755880389</v>
      </c>
      <c r="E396" s="1" t="s">
        <v>149</v>
      </c>
      <c r="F396" s="1">
        <v>4</v>
      </c>
    </row>
    <row r="397" spans="1:6" x14ac:dyDescent="0.35">
      <c r="A397" s="1">
        <v>2046</v>
      </c>
      <c r="B397" s="1">
        <v>14174.68065148994</v>
      </c>
      <c r="C397" s="1">
        <v>52636.946757753758</v>
      </c>
      <c r="D397" s="1">
        <v>76182.192374114456</v>
      </c>
      <c r="E397" s="1" t="s">
        <v>149</v>
      </c>
      <c r="F397" s="1">
        <v>4</v>
      </c>
    </row>
    <row r="398" spans="1:6" x14ac:dyDescent="0.35">
      <c r="A398" s="1">
        <v>2047</v>
      </c>
      <c r="B398" s="1">
        <v>14533.514400577689</v>
      </c>
      <c r="C398" s="1">
        <v>51337.335911744849</v>
      </c>
      <c r="D398" s="1">
        <v>78110.753755880389</v>
      </c>
      <c r="E398" s="1" t="s">
        <v>149</v>
      </c>
      <c r="F398" s="1">
        <v>4</v>
      </c>
    </row>
    <row r="399" spans="1:6" x14ac:dyDescent="0.35">
      <c r="A399" s="1">
        <v>2048</v>
      </c>
      <c r="B399" s="1">
        <v>14174.68065148994</v>
      </c>
      <c r="C399" s="1">
        <v>52636.946757753758</v>
      </c>
      <c r="D399" s="1">
        <v>80088.136901464488</v>
      </c>
      <c r="E399" s="1" t="s">
        <v>149</v>
      </c>
      <c r="F399" s="1">
        <v>4</v>
      </c>
    </row>
    <row r="400" spans="1:6" x14ac:dyDescent="0.35">
      <c r="A400" s="1">
        <v>2049</v>
      </c>
      <c r="B400" s="1">
        <v>14533.514400577689</v>
      </c>
      <c r="C400" s="1">
        <v>51337.335911744849</v>
      </c>
      <c r="D400" s="1">
        <v>78110.753755880389</v>
      </c>
      <c r="E400" s="1" t="s">
        <v>149</v>
      </c>
      <c r="F400" s="1">
        <v>4</v>
      </c>
    </row>
    <row r="401" spans="1:6" x14ac:dyDescent="0.35">
      <c r="A401" s="1">
        <v>2050</v>
      </c>
      <c r="B401" s="1">
        <v>14174.68065148994</v>
      </c>
      <c r="C401" s="1">
        <v>50069.812571852832</v>
      </c>
      <c r="D401" s="1">
        <v>76182.192374114456</v>
      </c>
      <c r="E401" s="1" t="s">
        <v>149</v>
      </c>
      <c r="F401" s="1">
        <v>4</v>
      </c>
    </row>
    <row r="402" spans="1:6" x14ac:dyDescent="0.35">
      <c r="A402" s="1">
        <v>2026</v>
      </c>
      <c r="B402" s="1">
        <v>10893.012086164679</v>
      </c>
      <c r="C402" s="1">
        <v>11451.508758659629</v>
      </c>
      <c r="D402" s="1">
        <v>11451.508758659629</v>
      </c>
      <c r="E402" s="1" t="s">
        <v>150</v>
      </c>
      <c r="F402" s="1">
        <v>4</v>
      </c>
    </row>
    <row r="403" spans="1:6" x14ac:dyDescent="0.35">
      <c r="A403" s="1">
        <v>2027</v>
      </c>
      <c r="B403" s="1">
        <v>10624.06265948084</v>
      </c>
      <c r="C403" s="1">
        <v>11741.40508307165</v>
      </c>
      <c r="D403" s="1">
        <v>11168.77</v>
      </c>
      <c r="E403" s="1" t="s">
        <v>150</v>
      </c>
      <c r="F403" s="1">
        <v>4</v>
      </c>
    </row>
    <row r="404" spans="1:6" x14ac:dyDescent="0.35">
      <c r="A404" s="1">
        <v>2028</v>
      </c>
      <c r="B404" s="1">
        <v>10361.753617801751</v>
      </c>
      <c r="C404" s="1">
        <v>12038.64016787575</v>
      </c>
      <c r="D404" s="1">
        <v>10893.012086164679</v>
      </c>
      <c r="E404" s="1" t="s">
        <v>150</v>
      </c>
      <c r="F404" s="1">
        <v>4</v>
      </c>
    </row>
    <row r="405" spans="1:6" x14ac:dyDescent="0.35">
      <c r="A405" s="1">
        <v>2029</v>
      </c>
      <c r="B405" s="1">
        <v>10105.921009437479</v>
      </c>
      <c r="C405" s="1">
        <v>11741.40508307165</v>
      </c>
      <c r="D405" s="1">
        <v>10624.06265948084</v>
      </c>
      <c r="E405" s="1" t="s">
        <v>150</v>
      </c>
      <c r="F405" s="1">
        <v>4</v>
      </c>
    </row>
    <row r="406" spans="1:6" x14ac:dyDescent="0.35">
      <c r="A406" s="1">
        <v>2030</v>
      </c>
      <c r="B406" s="1">
        <v>10361.753617801751</v>
      </c>
      <c r="C406" s="1">
        <v>11451.50875865962</v>
      </c>
      <c r="D406" s="1">
        <v>10893.012086164679</v>
      </c>
      <c r="E406" s="1" t="s">
        <v>150</v>
      </c>
      <c r="F406" s="1">
        <v>4</v>
      </c>
    </row>
    <row r="407" spans="1:6" x14ac:dyDescent="0.35">
      <c r="A407" s="1">
        <v>2031</v>
      </c>
      <c r="B407" s="1">
        <v>10105.921009437479</v>
      </c>
      <c r="C407" s="1">
        <v>11741.405083071641</v>
      </c>
      <c r="D407" s="1">
        <v>10624.06265948084</v>
      </c>
      <c r="E407" s="1" t="s">
        <v>150</v>
      </c>
      <c r="F407" s="1">
        <v>4</v>
      </c>
    </row>
    <row r="408" spans="1:6" x14ac:dyDescent="0.35">
      <c r="A408" s="1">
        <v>2032</v>
      </c>
      <c r="B408" s="1">
        <v>10361.753617801751</v>
      </c>
      <c r="C408" s="1">
        <v>12038.640167875739</v>
      </c>
      <c r="D408" s="1">
        <v>10361.753617801751</v>
      </c>
      <c r="E408" s="1" t="s">
        <v>150</v>
      </c>
      <c r="F408" s="1">
        <v>4</v>
      </c>
    </row>
    <row r="409" spans="1:6" x14ac:dyDescent="0.35">
      <c r="A409" s="1">
        <v>2033</v>
      </c>
      <c r="B409" s="1">
        <v>10624.06265948084</v>
      </c>
      <c r="C409" s="1">
        <v>11741.405083071641</v>
      </c>
      <c r="D409" s="1">
        <v>10624.062659480829</v>
      </c>
      <c r="E409" s="1" t="s">
        <v>150</v>
      </c>
      <c r="F409" s="1">
        <v>4</v>
      </c>
    </row>
    <row r="410" spans="1:6" x14ac:dyDescent="0.35">
      <c r="A410" s="1">
        <v>2034</v>
      </c>
      <c r="B410" s="1">
        <v>10361.753617801751</v>
      </c>
      <c r="C410" s="1">
        <v>11451.50875865962</v>
      </c>
      <c r="D410" s="1">
        <v>10361.753617801751</v>
      </c>
      <c r="E410" s="1" t="s">
        <v>150</v>
      </c>
      <c r="F410" s="1">
        <v>4</v>
      </c>
    </row>
    <row r="411" spans="1:6" x14ac:dyDescent="0.35">
      <c r="A411" s="1">
        <v>2035</v>
      </c>
      <c r="B411" s="1">
        <v>13924.99816717911</v>
      </c>
      <c r="C411" s="1">
        <v>40635.269556572101</v>
      </c>
      <c r="D411" s="1">
        <v>111687.7</v>
      </c>
      <c r="E411" s="1" t="s">
        <v>150</v>
      </c>
      <c r="F411" s="1">
        <v>4</v>
      </c>
    </row>
    <row r="412" spans="1:6" x14ac:dyDescent="0.35">
      <c r="A412" s="1">
        <v>2036</v>
      </c>
      <c r="B412" s="1">
        <v>6964.1986299678028</v>
      </c>
      <c r="C412" s="1">
        <v>25307.52070398763</v>
      </c>
      <c r="D412" s="1">
        <v>65405.50256618869</v>
      </c>
      <c r="E412" s="1" t="s">
        <v>150</v>
      </c>
      <c r="F412" s="1">
        <v>4</v>
      </c>
    </row>
    <row r="413" spans="1:6" x14ac:dyDescent="0.35">
      <c r="A413" s="1">
        <v>2037</v>
      </c>
      <c r="B413" s="1">
        <v>7140.4981576415003</v>
      </c>
      <c r="C413" s="1">
        <v>25948.183640783562</v>
      </c>
      <c r="D413" s="1">
        <v>67061.250746612597</v>
      </c>
      <c r="E413" s="1" t="s">
        <v>150</v>
      </c>
      <c r="F413" s="1">
        <v>4</v>
      </c>
    </row>
    <row r="414" spans="1:6" x14ac:dyDescent="0.35">
      <c r="A414" s="1">
        <v>2038</v>
      </c>
      <c r="B414" s="1">
        <v>13423.749647129371</v>
      </c>
      <c r="C414" s="1">
        <v>111687.7</v>
      </c>
      <c r="D414" s="1">
        <v>111687.7</v>
      </c>
      <c r="E414" s="1" t="s">
        <v>150</v>
      </c>
      <c r="F414" s="1">
        <v>4</v>
      </c>
    </row>
    <row r="415" spans="1:6" x14ac:dyDescent="0.35">
      <c r="A415" s="1">
        <v>2039</v>
      </c>
      <c r="B415" s="1">
        <v>8671.127958786803</v>
      </c>
      <c r="C415" s="1">
        <v>46179.66099092771</v>
      </c>
      <c r="D415" s="1">
        <v>87233.477558078695</v>
      </c>
      <c r="E415" s="1" t="s">
        <v>150</v>
      </c>
      <c r="F415" s="1">
        <v>4</v>
      </c>
    </row>
    <row r="416" spans="1:6" x14ac:dyDescent="0.35">
      <c r="A416" s="1">
        <v>2040</v>
      </c>
      <c r="B416" s="1">
        <v>8457.0370466707718</v>
      </c>
      <c r="C416" s="1">
        <v>45039.481098559932</v>
      </c>
      <c r="D416" s="1">
        <v>85079.67532309526</v>
      </c>
      <c r="E416" s="1" t="s">
        <v>150</v>
      </c>
      <c r="F416" s="1">
        <v>4</v>
      </c>
    </row>
    <row r="417" spans="1:6" x14ac:dyDescent="0.35">
      <c r="A417" s="1">
        <v>2041</v>
      </c>
      <c r="B417" s="1">
        <v>8248.2320580088199</v>
      </c>
      <c r="C417" s="1">
        <v>46179.660990927703</v>
      </c>
      <c r="D417" s="1">
        <v>82979.050654767139</v>
      </c>
      <c r="E417" s="1" t="s">
        <v>150</v>
      </c>
      <c r="F417" s="1">
        <v>4</v>
      </c>
    </row>
    <row r="418" spans="1:6" x14ac:dyDescent="0.35">
      <c r="A418" s="1">
        <v>2042</v>
      </c>
      <c r="B418" s="1">
        <v>8457.0370466707718</v>
      </c>
      <c r="C418" s="1">
        <v>47348.704674690307</v>
      </c>
      <c r="D418" s="1">
        <v>85079.67532309526</v>
      </c>
      <c r="E418" s="1" t="s">
        <v>150</v>
      </c>
      <c r="F418" s="1">
        <v>4</v>
      </c>
    </row>
    <row r="419" spans="1:6" x14ac:dyDescent="0.35">
      <c r="A419" s="1">
        <v>2043</v>
      </c>
      <c r="B419" s="1">
        <v>8248.2320580088199</v>
      </c>
      <c r="C419" s="1">
        <v>46179.660990927703</v>
      </c>
      <c r="D419" s="1">
        <v>87233.477558078695</v>
      </c>
      <c r="E419" s="1" t="s">
        <v>150</v>
      </c>
      <c r="F419" s="1">
        <v>4</v>
      </c>
    </row>
    <row r="420" spans="1:6" x14ac:dyDescent="0.35">
      <c r="A420" s="1">
        <v>2044</v>
      </c>
      <c r="B420" s="1">
        <v>8457.0370466707718</v>
      </c>
      <c r="C420" s="1">
        <v>47348.704674690307</v>
      </c>
      <c r="D420" s="1">
        <v>89441.803556226514</v>
      </c>
      <c r="E420" s="1" t="s">
        <v>150</v>
      </c>
      <c r="F420" s="1">
        <v>4</v>
      </c>
    </row>
    <row r="421" spans="1:6" x14ac:dyDescent="0.35">
      <c r="A421" s="1">
        <v>2045</v>
      </c>
      <c r="B421" s="1">
        <v>39861.361181271634</v>
      </c>
      <c r="C421" s="1">
        <v>111687.7</v>
      </c>
      <c r="D421" s="1">
        <v>111687.7</v>
      </c>
      <c r="E421" s="1" t="s">
        <v>150</v>
      </c>
      <c r="F421" s="1">
        <v>4</v>
      </c>
    </row>
    <row r="422" spans="1:6" x14ac:dyDescent="0.35">
      <c r="A422" s="1">
        <v>2046</v>
      </c>
      <c r="B422" s="1">
        <v>17566.95306845957</v>
      </c>
      <c r="C422" s="1">
        <v>48232.9636198511</v>
      </c>
      <c r="D422" s="1">
        <v>79151.004267038676</v>
      </c>
      <c r="E422" s="1" t="s">
        <v>150</v>
      </c>
      <c r="F422" s="1">
        <v>4</v>
      </c>
    </row>
    <row r="423" spans="1:6" x14ac:dyDescent="0.35">
      <c r="A423" s="1">
        <v>2047</v>
      </c>
      <c r="B423" s="1">
        <v>18011.662602634609</v>
      </c>
      <c r="C423" s="1">
        <v>47042.087504942741</v>
      </c>
      <c r="D423" s="1">
        <v>81154.721479688349</v>
      </c>
      <c r="E423" s="1" t="s">
        <v>150</v>
      </c>
      <c r="F423" s="1">
        <v>4</v>
      </c>
    </row>
    <row r="424" spans="1:6" x14ac:dyDescent="0.35">
      <c r="A424" s="1">
        <v>2048</v>
      </c>
      <c r="B424" s="1">
        <v>46778.035667853263</v>
      </c>
      <c r="C424" s="1">
        <v>111687.7</v>
      </c>
      <c r="D424" s="1">
        <v>111687.7</v>
      </c>
      <c r="E424" s="1" t="s">
        <v>150</v>
      </c>
      <c r="F424" s="1">
        <v>4</v>
      </c>
    </row>
    <row r="425" spans="1:6" x14ac:dyDescent="0.35">
      <c r="A425" s="1">
        <v>2049</v>
      </c>
      <c r="B425" s="1">
        <v>20064.671314863299</v>
      </c>
      <c r="C425" s="1">
        <v>55394.857454946687</v>
      </c>
      <c r="D425" s="1">
        <v>82394.078126700013</v>
      </c>
      <c r="E425" s="1" t="s">
        <v>150</v>
      </c>
      <c r="F425" s="1">
        <v>4</v>
      </c>
    </row>
    <row r="426" spans="1:6" x14ac:dyDescent="0.35">
      <c r="A426" s="1">
        <v>2050</v>
      </c>
      <c r="B426" s="1">
        <v>20572.610887482111</v>
      </c>
      <c r="C426" s="1">
        <v>56797.18494785222</v>
      </c>
      <c r="D426" s="1">
        <v>84479.894144976628</v>
      </c>
      <c r="E426" s="1" t="s">
        <v>150</v>
      </c>
      <c r="F426" s="1">
        <v>4</v>
      </c>
    </row>
    <row r="427" spans="1:6" x14ac:dyDescent="0.35">
      <c r="A427" s="1">
        <v>2026</v>
      </c>
      <c r="B427" s="1">
        <v>10893.012086164679</v>
      </c>
      <c r="C427" s="1">
        <v>11451.508758659629</v>
      </c>
      <c r="D427" s="1">
        <v>11451.508758659629</v>
      </c>
      <c r="E427" s="1" t="s">
        <v>151</v>
      </c>
      <c r="F427" s="1">
        <v>4</v>
      </c>
    </row>
    <row r="428" spans="1:6" x14ac:dyDescent="0.35">
      <c r="A428" s="1">
        <v>2027</v>
      </c>
      <c r="B428" s="1">
        <v>10624.06265948084</v>
      </c>
      <c r="C428" s="1">
        <v>11168.77</v>
      </c>
      <c r="D428" s="1">
        <v>11168.77</v>
      </c>
      <c r="E428" s="1" t="s">
        <v>151</v>
      </c>
      <c r="F428" s="1">
        <v>4</v>
      </c>
    </row>
    <row r="429" spans="1:6" x14ac:dyDescent="0.35">
      <c r="A429" s="1">
        <v>2028</v>
      </c>
      <c r="B429" s="1">
        <v>10893.012086164679</v>
      </c>
      <c r="C429" s="1">
        <v>11451.508758659629</v>
      </c>
      <c r="D429" s="1">
        <v>11451.508758659629</v>
      </c>
      <c r="E429" s="1" t="s">
        <v>151</v>
      </c>
      <c r="F429" s="1">
        <v>4</v>
      </c>
    </row>
    <row r="430" spans="1:6" x14ac:dyDescent="0.35">
      <c r="A430" s="1">
        <v>2029</v>
      </c>
      <c r="B430" s="1">
        <v>10624.06265948084</v>
      </c>
      <c r="C430" s="1">
        <v>11741.40508307165</v>
      </c>
      <c r="D430" s="1">
        <v>11168.77</v>
      </c>
      <c r="E430" s="1" t="s">
        <v>151</v>
      </c>
      <c r="F430" s="1">
        <v>4</v>
      </c>
    </row>
    <row r="431" spans="1:6" x14ac:dyDescent="0.35">
      <c r="A431" s="1">
        <v>2030</v>
      </c>
      <c r="B431" s="1">
        <v>10361.753617801751</v>
      </c>
      <c r="C431" s="1">
        <v>12038.64016787575</v>
      </c>
      <c r="D431" s="1">
        <v>10893.012086164679</v>
      </c>
      <c r="E431" s="1" t="s">
        <v>151</v>
      </c>
      <c r="F431" s="1">
        <v>4</v>
      </c>
    </row>
    <row r="432" spans="1:6" x14ac:dyDescent="0.35">
      <c r="A432" s="1">
        <v>2031</v>
      </c>
      <c r="B432" s="1">
        <v>13272.552068836651</v>
      </c>
      <c r="C432" s="1">
        <v>40742.739870379257</v>
      </c>
      <c r="D432" s="1">
        <v>111687.7</v>
      </c>
      <c r="E432" s="1" t="s">
        <v>151</v>
      </c>
      <c r="F432" s="1">
        <v>4</v>
      </c>
    </row>
    <row r="433" spans="1:6" x14ac:dyDescent="0.35">
      <c r="A433" s="1">
        <v>2032</v>
      </c>
      <c r="B433" s="1">
        <v>8004.4197942900719</v>
      </c>
      <c r="C433" s="1">
        <v>27828.864332603429</v>
      </c>
      <c r="D433" s="1">
        <v>62243.226886760771</v>
      </c>
      <c r="E433" s="1" t="s">
        <v>151</v>
      </c>
      <c r="F433" s="1">
        <v>4</v>
      </c>
    </row>
    <row r="434" spans="1:6" x14ac:dyDescent="0.35">
      <c r="A434" s="1">
        <v>2033</v>
      </c>
      <c r="B434" s="1">
        <v>7806.7899654068942</v>
      </c>
      <c r="C434" s="1">
        <v>28533.355387241259</v>
      </c>
      <c r="D434" s="1">
        <v>60706.436139286197</v>
      </c>
      <c r="E434" s="1" t="s">
        <v>151</v>
      </c>
      <c r="F434" s="1">
        <v>4</v>
      </c>
    </row>
    <row r="435" spans="1:6" x14ac:dyDescent="0.35">
      <c r="A435" s="1">
        <v>2034</v>
      </c>
      <c r="B435" s="1">
        <v>7614.0396343846678</v>
      </c>
      <c r="C435" s="1">
        <v>27828.864332603422</v>
      </c>
      <c r="D435" s="1">
        <v>62243.226886760771</v>
      </c>
      <c r="E435" s="1" t="s">
        <v>151</v>
      </c>
      <c r="F435" s="1">
        <v>4</v>
      </c>
    </row>
    <row r="436" spans="1:6" x14ac:dyDescent="0.35">
      <c r="A436" s="1">
        <v>2035</v>
      </c>
      <c r="B436" s="1">
        <v>7806.7899654068942</v>
      </c>
      <c r="C436" s="1">
        <v>27141.767224079849</v>
      </c>
      <c r="D436" s="1">
        <v>60706.436139286197</v>
      </c>
      <c r="E436" s="1" t="s">
        <v>151</v>
      </c>
      <c r="F436" s="1">
        <v>4</v>
      </c>
    </row>
    <row r="437" spans="1:6" x14ac:dyDescent="0.35">
      <c r="A437" s="1">
        <v>2036</v>
      </c>
      <c r="B437" s="1">
        <v>8004.4197942900719</v>
      </c>
      <c r="C437" s="1">
        <v>26471.634603610801</v>
      </c>
      <c r="D437" s="1">
        <v>59207.588890560823</v>
      </c>
      <c r="E437" s="1" t="s">
        <v>151</v>
      </c>
      <c r="F437" s="1">
        <v>4</v>
      </c>
    </row>
    <row r="438" spans="1:6" x14ac:dyDescent="0.35">
      <c r="A438" s="1">
        <v>2037</v>
      </c>
      <c r="B438" s="1">
        <v>7806.7899654068942</v>
      </c>
      <c r="C438" s="1">
        <v>27141.767224079849</v>
      </c>
      <c r="D438" s="1">
        <v>57745.748312262549</v>
      </c>
      <c r="E438" s="1" t="s">
        <v>151</v>
      </c>
      <c r="F438" s="1">
        <v>4</v>
      </c>
    </row>
    <row r="439" spans="1:6" x14ac:dyDescent="0.35">
      <c r="A439" s="1">
        <v>2038</v>
      </c>
      <c r="B439" s="1">
        <v>8004.4197942900719</v>
      </c>
      <c r="C439" s="1">
        <v>27828.864332603422</v>
      </c>
      <c r="D439" s="1">
        <v>59207.588890560808</v>
      </c>
      <c r="E439" s="1" t="s">
        <v>151</v>
      </c>
      <c r="F439" s="1">
        <v>4</v>
      </c>
    </row>
    <row r="440" spans="1:6" x14ac:dyDescent="0.35">
      <c r="A440" s="1">
        <v>2039</v>
      </c>
      <c r="B440" s="1">
        <v>8207.0526461106492</v>
      </c>
      <c r="C440" s="1">
        <v>27141.767224079838</v>
      </c>
      <c r="D440" s="1">
        <v>60706.43613928619</v>
      </c>
      <c r="E440" s="1" t="s">
        <v>151</v>
      </c>
      <c r="F440" s="1">
        <v>4</v>
      </c>
    </row>
    <row r="441" spans="1:6" x14ac:dyDescent="0.35">
      <c r="A441" s="1">
        <v>2040</v>
      </c>
      <c r="B441" s="1">
        <v>8004.4197942900719</v>
      </c>
      <c r="C441" s="1">
        <v>27828.864332603411</v>
      </c>
      <c r="D441" s="1">
        <v>62243.226886760764</v>
      </c>
      <c r="E441" s="1" t="s">
        <v>151</v>
      </c>
      <c r="F441" s="1">
        <v>4</v>
      </c>
    </row>
    <row r="442" spans="1:6" x14ac:dyDescent="0.35">
      <c r="A442" s="1">
        <v>2041</v>
      </c>
      <c r="B442" s="1">
        <v>23563.115402420452</v>
      </c>
      <c r="C442" s="1">
        <v>111687.7</v>
      </c>
      <c r="D442" s="1">
        <v>111687.7</v>
      </c>
      <c r="E442" s="1" t="s">
        <v>151</v>
      </c>
      <c r="F442" s="1">
        <v>4</v>
      </c>
    </row>
    <row r="443" spans="1:6" x14ac:dyDescent="0.35">
      <c r="A443" s="1">
        <v>2042</v>
      </c>
      <c r="B443" s="1">
        <v>8610.2800931586808</v>
      </c>
      <c r="C443" s="1">
        <v>41864.737017426982</v>
      </c>
      <c r="D443" s="1">
        <v>86239.890973237751</v>
      </c>
      <c r="E443" s="1" t="s">
        <v>151</v>
      </c>
      <c r="F443" s="1">
        <v>4</v>
      </c>
    </row>
    <row r="444" spans="1:6" x14ac:dyDescent="0.35">
      <c r="A444" s="1">
        <v>2043</v>
      </c>
      <c r="B444" s="1">
        <v>8397.6915201978973</v>
      </c>
      <c r="C444" s="1">
        <v>40831.092977555993</v>
      </c>
      <c r="D444" s="1">
        <v>84110.620478441502</v>
      </c>
      <c r="E444" s="1" t="s">
        <v>151</v>
      </c>
      <c r="F444" s="1">
        <v>4</v>
      </c>
    </row>
    <row r="445" spans="1:6" x14ac:dyDescent="0.35">
      <c r="A445" s="1">
        <v>2044</v>
      </c>
      <c r="B445" s="1">
        <v>8190.3517778052856</v>
      </c>
      <c r="C445" s="1">
        <v>41864.737017426982</v>
      </c>
      <c r="D445" s="1">
        <v>86239.890973237736</v>
      </c>
      <c r="E445" s="1" t="s">
        <v>151</v>
      </c>
      <c r="F445" s="1">
        <v>4</v>
      </c>
    </row>
    <row r="446" spans="1:6" x14ac:dyDescent="0.35">
      <c r="A446" s="1">
        <v>2045</v>
      </c>
      <c r="B446" s="1">
        <v>8397.6915201978973</v>
      </c>
      <c r="C446" s="1">
        <v>40831.092977555993</v>
      </c>
      <c r="D446" s="1">
        <v>84110.620478441488</v>
      </c>
      <c r="E446" s="1" t="s">
        <v>151</v>
      </c>
      <c r="F446" s="1">
        <v>4</v>
      </c>
    </row>
    <row r="447" spans="1:6" x14ac:dyDescent="0.35">
      <c r="A447" s="1">
        <v>2046</v>
      </c>
      <c r="B447" s="1">
        <v>8190.3517778052856</v>
      </c>
      <c r="C447" s="1">
        <v>39822.969699960813</v>
      </c>
      <c r="D447" s="1">
        <v>86239.890973237721</v>
      </c>
      <c r="E447" s="1" t="s">
        <v>151</v>
      </c>
      <c r="F447" s="1">
        <v>4</v>
      </c>
    </row>
    <row r="448" spans="1:6" x14ac:dyDescent="0.35">
      <c r="A448" s="1">
        <v>2047</v>
      </c>
      <c r="B448" s="1">
        <v>20137.381253683379</v>
      </c>
      <c r="C448" s="1">
        <v>98920.337391337394</v>
      </c>
      <c r="D448" s="1">
        <v>111687.7</v>
      </c>
      <c r="E448" s="1" t="s">
        <v>151</v>
      </c>
      <c r="F448" s="1">
        <v>4</v>
      </c>
    </row>
    <row r="449" spans="1:6" x14ac:dyDescent="0.35">
      <c r="A449" s="1">
        <v>2048</v>
      </c>
      <c r="B449" s="1">
        <v>10339.16666237599</v>
      </c>
      <c r="C449" s="1">
        <v>45079.576707407527</v>
      </c>
      <c r="D449" s="1">
        <v>97220.963968954093</v>
      </c>
      <c r="E449" s="1" t="s">
        <v>151</v>
      </c>
      <c r="F449" s="1">
        <v>4</v>
      </c>
    </row>
    <row r="450" spans="1:6" x14ac:dyDescent="0.35">
      <c r="A450" s="1">
        <v>2049</v>
      </c>
      <c r="B450" s="1">
        <v>48639.371318951293</v>
      </c>
      <c r="C450" s="1">
        <v>111687.7</v>
      </c>
      <c r="D450" s="1">
        <v>111687.7</v>
      </c>
      <c r="E450" s="1" t="s">
        <v>151</v>
      </c>
      <c r="F450" s="1">
        <v>4</v>
      </c>
    </row>
    <row r="451" spans="1:6" x14ac:dyDescent="0.35">
      <c r="A451" s="1">
        <v>2050</v>
      </c>
      <c r="B451" s="1">
        <v>16443.247705758051</v>
      </c>
      <c r="C451" s="1">
        <v>37536.238321706209</v>
      </c>
      <c r="D451" s="1">
        <v>86717.189033312694</v>
      </c>
      <c r="E451" s="1" t="s">
        <v>151</v>
      </c>
      <c r="F451" s="1">
        <v>4</v>
      </c>
    </row>
    <row r="452" spans="1:6" x14ac:dyDescent="0.35">
      <c r="A452" s="1">
        <v>2026</v>
      </c>
      <c r="B452" s="1">
        <v>10893.012086164679</v>
      </c>
      <c r="C452" s="1">
        <v>11451.508758659629</v>
      </c>
      <c r="D452" s="1">
        <v>11451.508758659629</v>
      </c>
      <c r="E452" s="1" t="s">
        <v>152</v>
      </c>
      <c r="F452" s="1">
        <v>4</v>
      </c>
    </row>
    <row r="453" spans="1:6" x14ac:dyDescent="0.35">
      <c r="A453" s="1">
        <v>2027</v>
      </c>
      <c r="B453" s="1">
        <v>10624.06265948084</v>
      </c>
      <c r="C453" s="1">
        <v>11741.40508307165</v>
      </c>
      <c r="D453" s="1">
        <v>11168.77</v>
      </c>
      <c r="E453" s="1" t="s">
        <v>152</v>
      </c>
      <c r="F453" s="1">
        <v>4</v>
      </c>
    </row>
    <row r="454" spans="1:6" x14ac:dyDescent="0.35">
      <c r="A454" s="1">
        <v>2028</v>
      </c>
      <c r="B454" s="1">
        <v>10893.012086164679</v>
      </c>
      <c r="C454" s="1">
        <v>11451.50875865962</v>
      </c>
      <c r="D454" s="1">
        <v>10893.012086164679</v>
      </c>
      <c r="E454" s="1" t="s">
        <v>152</v>
      </c>
      <c r="F454" s="1">
        <v>4</v>
      </c>
    </row>
    <row r="455" spans="1:6" x14ac:dyDescent="0.35">
      <c r="A455" s="1">
        <v>2029</v>
      </c>
      <c r="B455" s="1">
        <v>13224.51120320783</v>
      </c>
      <c r="C455" s="1">
        <v>42042.610772204673</v>
      </c>
      <c r="D455" s="1">
        <v>111687.7</v>
      </c>
      <c r="E455" s="1" t="s">
        <v>152</v>
      </c>
      <c r="F455" s="1">
        <v>4</v>
      </c>
    </row>
    <row r="456" spans="1:6" x14ac:dyDescent="0.35">
      <c r="A456" s="1">
        <v>2030</v>
      </c>
      <c r="B456" s="1">
        <v>5646.7427852169603</v>
      </c>
      <c r="C456" s="1">
        <v>34408.358634030017</v>
      </c>
      <c r="D456" s="1">
        <v>67657.861125708077</v>
      </c>
      <c r="E456" s="1" t="s">
        <v>152</v>
      </c>
      <c r="F456" s="1">
        <v>4</v>
      </c>
    </row>
    <row r="457" spans="1:6" x14ac:dyDescent="0.35">
      <c r="A457" s="1">
        <v>2031</v>
      </c>
      <c r="B457" s="1">
        <v>5789.6907593951764</v>
      </c>
      <c r="C457" s="1">
        <v>33558.813232395143</v>
      </c>
      <c r="D457" s="1">
        <v>69370.62803453044</v>
      </c>
      <c r="E457" s="1" t="s">
        <v>152</v>
      </c>
      <c r="F457" s="1">
        <v>4</v>
      </c>
    </row>
    <row r="458" spans="1:6" x14ac:dyDescent="0.35">
      <c r="A458" s="1">
        <v>2032</v>
      </c>
      <c r="B458" s="1">
        <v>5646.7427852169594</v>
      </c>
      <c r="C458" s="1">
        <v>32730.243181462549</v>
      </c>
      <c r="D458" s="1">
        <v>71126.753844079896</v>
      </c>
      <c r="E458" s="1" t="s">
        <v>152</v>
      </c>
      <c r="F458" s="1">
        <v>4</v>
      </c>
    </row>
    <row r="459" spans="1:6" x14ac:dyDescent="0.35">
      <c r="A459" s="1">
        <v>2033</v>
      </c>
      <c r="B459" s="1">
        <v>5507.324209096575</v>
      </c>
      <c r="C459" s="1">
        <v>31922.130597978179</v>
      </c>
      <c r="D459" s="1">
        <v>69370.628034530426</v>
      </c>
      <c r="E459" s="1" t="s">
        <v>152</v>
      </c>
      <c r="F459" s="1">
        <v>4</v>
      </c>
    </row>
    <row r="460" spans="1:6" x14ac:dyDescent="0.35">
      <c r="A460" s="1">
        <v>2034</v>
      </c>
      <c r="B460" s="1">
        <v>25339.097916050661</v>
      </c>
      <c r="C460" s="1">
        <v>111687.7</v>
      </c>
      <c r="D460" s="1">
        <v>111687.7</v>
      </c>
      <c r="E460" s="1" t="s">
        <v>152</v>
      </c>
      <c r="F460" s="1">
        <v>4</v>
      </c>
    </row>
    <row r="461" spans="1:6" x14ac:dyDescent="0.35">
      <c r="A461" s="1">
        <v>2035</v>
      </c>
      <c r="B461" s="1">
        <v>10250.9842775855</v>
      </c>
      <c r="C461" s="1">
        <v>41364.37660648649</v>
      </c>
      <c r="D461" s="1">
        <v>87427.527227250655</v>
      </c>
      <c r="E461" s="1" t="s">
        <v>152</v>
      </c>
      <c r="F461" s="1">
        <v>4</v>
      </c>
    </row>
    <row r="462" spans="1:6" x14ac:dyDescent="0.35">
      <c r="A462" s="1">
        <v>2036</v>
      </c>
      <c r="B462" s="1">
        <v>10510.489180066599</v>
      </c>
      <c r="C462" s="1">
        <v>40343.086509179157</v>
      </c>
      <c r="D462" s="1">
        <v>89640.765616161298</v>
      </c>
      <c r="E462" s="1" t="s">
        <v>152</v>
      </c>
      <c r="F462" s="1">
        <v>4</v>
      </c>
    </row>
    <row r="463" spans="1:6" x14ac:dyDescent="0.35">
      <c r="A463" s="1">
        <v>2037</v>
      </c>
      <c r="B463" s="1">
        <v>10250.9842775855</v>
      </c>
      <c r="C463" s="1">
        <v>41364.37660648649</v>
      </c>
      <c r="D463" s="1">
        <v>87427.527227250655</v>
      </c>
      <c r="E463" s="1" t="s">
        <v>152</v>
      </c>
      <c r="F463" s="1">
        <v>4</v>
      </c>
    </row>
    <row r="464" spans="1:6" x14ac:dyDescent="0.35">
      <c r="A464" s="1">
        <v>2038</v>
      </c>
      <c r="B464" s="1">
        <v>9997.8865739757312</v>
      </c>
      <c r="C464" s="1">
        <v>42411.520785697561</v>
      </c>
      <c r="D464" s="1">
        <v>89640.765616161298</v>
      </c>
      <c r="E464" s="1" t="s">
        <v>152</v>
      </c>
      <c r="F464" s="1">
        <v>4</v>
      </c>
    </row>
    <row r="465" spans="1:6" x14ac:dyDescent="0.35">
      <c r="A465" s="1">
        <v>2039</v>
      </c>
      <c r="B465" s="1">
        <v>27442.75057819908</v>
      </c>
      <c r="C465" s="1">
        <v>111687.7</v>
      </c>
      <c r="D465" s="1">
        <v>111687.7</v>
      </c>
      <c r="E465" s="1" t="s">
        <v>152</v>
      </c>
      <c r="F465" s="1">
        <v>4</v>
      </c>
    </row>
    <row r="466" spans="1:6" x14ac:dyDescent="0.35">
      <c r="A466" s="1">
        <v>2040</v>
      </c>
      <c r="B466" s="1">
        <v>16239.55093861666</v>
      </c>
      <c r="C466" s="1">
        <v>56457.403230091353</v>
      </c>
      <c r="D466" s="1">
        <v>70956.654456919321</v>
      </c>
      <c r="E466" s="1" t="s">
        <v>152</v>
      </c>
      <c r="F466" s="1">
        <v>4</v>
      </c>
    </row>
    <row r="467" spans="1:6" x14ac:dyDescent="0.35">
      <c r="A467" s="1">
        <v>2041</v>
      </c>
      <c r="B467" s="1">
        <v>16650.657127890339</v>
      </c>
      <c r="C467" s="1">
        <v>55063.464977688498</v>
      </c>
      <c r="D467" s="1">
        <v>72752.930716506482</v>
      </c>
      <c r="E467" s="1" t="s">
        <v>152</v>
      </c>
      <c r="F467" s="1">
        <v>4</v>
      </c>
    </row>
    <row r="468" spans="1:6" x14ac:dyDescent="0.35">
      <c r="A468" s="1">
        <v>2042</v>
      </c>
      <c r="B468" s="1">
        <v>17072.170519893829</v>
      </c>
      <c r="C468" s="1">
        <v>56457.403230091353</v>
      </c>
      <c r="D468" s="1">
        <v>74594.67992610026</v>
      </c>
      <c r="E468" s="1" t="s">
        <v>152</v>
      </c>
      <c r="F468" s="1">
        <v>4</v>
      </c>
    </row>
    <row r="469" spans="1:6" x14ac:dyDescent="0.35">
      <c r="A469" s="1">
        <v>2043</v>
      </c>
      <c r="B469" s="1">
        <v>16650.657127890339</v>
      </c>
      <c r="C469" s="1">
        <v>57886.629197357397</v>
      </c>
      <c r="D469" s="1">
        <v>72752.930716506467</v>
      </c>
      <c r="E469" s="1" t="s">
        <v>152</v>
      </c>
      <c r="F469" s="1">
        <v>4</v>
      </c>
    </row>
    <row r="470" spans="1:6" x14ac:dyDescent="0.35">
      <c r="A470" s="1">
        <v>2044</v>
      </c>
      <c r="B470" s="1">
        <v>17072.170519893829</v>
      </c>
      <c r="C470" s="1">
        <v>59352.036192241423</v>
      </c>
      <c r="D470" s="1">
        <v>74594.679926100245</v>
      </c>
      <c r="E470" s="1" t="s">
        <v>152</v>
      </c>
      <c r="F470" s="1">
        <v>4</v>
      </c>
    </row>
    <row r="471" spans="1:6" x14ac:dyDescent="0.35">
      <c r="A471" s="1">
        <v>2045</v>
      </c>
      <c r="B471" s="1">
        <v>16650.657127890339</v>
      </c>
      <c r="C471" s="1">
        <v>60854.540141818281</v>
      </c>
      <c r="D471" s="1">
        <v>76483.053238910667</v>
      </c>
      <c r="E471" s="1" t="s">
        <v>152</v>
      </c>
      <c r="F471" s="1">
        <v>4</v>
      </c>
    </row>
    <row r="472" spans="1:6" x14ac:dyDescent="0.35">
      <c r="A472" s="1">
        <v>2046</v>
      </c>
      <c r="B472" s="1">
        <v>33907.094813521617</v>
      </c>
      <c r="C472" s="1">
        <v>111687.7</v>
      </c>
      <c r="D472" s="1">
        <v>111687.7</v>
      </c>
      <c r="E472" s="1" t="s">
        <v>152</v>
      </c>
      <c r="F472" s="1">
        <v>4</v>
      </c>
    </row>
    <row r="473" spans="1:6" x14ac:dyDescent="0.35">
      <c r="A473" s="1">
        <v>2047</v>
      </c>
      <c r="B473" s="1">
        <v>17941.715401529498</v>
      </c>
      <c r="C473" s="1">
        <v>49340.524437903448</v>
      </c>
      <c r="D473" s="1">
        <v>92284.429629951133</v>
      </c>
      <c r="E473" s="1" t="s">
        <v>152</v>
      </c>
      <c r="F473" s="1">
        <v>4</v>
      </c>
    </row>
    <row r="474" spans="1:6" x14ac:dyDescent="0.35">
      <c r="A474" s="1">
        <v>2048</v>
      </c>
      <c r="B474" s="1">
        <v>17498.73286990312</v>
      </c>
      <c r="C474" s="1">
        <v>48122.302548963409</v>
      </c>
      <c r="D474" s="1">
        <v>90005.918943972487</v>
      </c>
      <c r="E474" s="1" t="s">
        <v>152</v>
      </c>
      <c r="F474" s="1">
        <v>4</v>
      </c>
    </row>
    <row r="475" spans="1:6" x14ac:dyDescent="0.35">
      <c r="A475" s="1">
        <v>2049</v>
      </c>
      <c r="B475" s="1">
        <v>17941.715401529498</v>
      </c>
      <c r="C475" s="1">
        <v>46934.158665630312</v>
      </c>
      <c r="D475" s="1">
        <v>92284.429629951119</v>
      </c>
      <c r="E475" s="1" t="s">
        <v>152</v>
      </c>
      <c r="F475" s="1">
        <v>4</v>
      </c>
    </row>
    <row r="476" spans="1:6" x14ac:dyDescent="0.35">
      <c r="A476" s="1">
        <v>2050</v>
      </c>
      <c r="B476" s="1">
        <v>17498.73286990312</v>
      </c>
      <c r="C476" s="1">
        <v>48122.302548963409</v>
      </c>
      <c r="D476" s="1">
        <v>90005.918943972472</v>
      </c>
      <c r="E476" s="1" t="s">
        <v>152</v>
      </c>
      <c r="F476" s="1">
        <v>4</v>
      </c>
    </row>
    <row r="477" spans="1:6" x14ac:dyDescent="0.35">
      <c r="A477" s="1">
        <v>2026</v>
      </c>
      <c r="B477" s="1">
        <v>11451.508758659629</v>
      </c>
      <c r="C477" s="1">
        <v>10893.012086164679</v>
      </c>
      <c r="D477" s="1">
        <v>11451.508758659629</v>
      </c>
      <c r="E477" s="1" t="s">
        <v>153</v>
      </c>
      <c r="F477" s="1">
        <v>4</v>
      </c>
    </row>
    <row r="478" spans="1:6" x14ac:dyDescent="0.35">
      <c r="A478" s="1">
        <v>2027</v>
      </c>
      <c r="B478" s="1">
        <v>13891.42320775082</v>
      </c>
      <c r="C478" s="1">
        <v>35343.382336268602</v>
      </c>
      <c r="D478" s="1">
        <v>85081.547586930028</v>
      </c>
      <c r="E478" s="1" t="s">
        <v>153</v>
      </c>
      <c r="F478" s="1">
        <v>4</v>
      </c>
    </row>
    <row r="479" spans="1:6" x14ac:dyDescent="0.35">
      <c r="A479" s="1">
        <v>2028</v>
      </c>
      <c r="B479" s="1">
        <v>9049.0301967702562</v>
      </c>
      <c r="C479" s="1">
        <v>23405.47059448138</v>
      </c>
      <c r="D479" s="1">
        <v>58550.963926725672</v>
      </c>
      <c r="E479" s="1" t="s">
        <v>153</v>
      </c>
      <c r="F479" s="1">
        <v>4</v>
      </c>
    </row>
    <row r="480" spans="1:6" x14ac:dyDescent="0.35">
      <c r="A480" s="1">
        <v>2029</v>
      </c>
      <c r="B480" s="1">
        <v>9278.1074868306914</v>
      </c>
      <c r="C480" s="1">
        <v>23997.982903511649</v>
      </c>
      <c r="D480" s="1">
        <v>60033.18863535222</v>
      </c>
      <c r="E480" s="1" t="s">
        <v>153</v>
      </c>
      <c r="F480" s="1">
        <v>4</v>
      </c>
    </row>
    <row r="481" spans="1:6" x14ac:dyDescent="0.35">
      <c r="A481" s="1">
        <v>2030</v>
      </c>
      <c r="B481" s="1">
        <v>9512.9838960984162</v>
      </c>
      <c r="C481" s="1">
        <v>23405.47059448138</v>
      </c>
      <c r="D481" s="1">
        <v>58550.963926725672</v>
      </c>
      <c r="E481" s="1" t="s">
        <v>153</v>
      </c>
      <c r="F481" s="1">
        <v>4</v>
      </c>
    </row>
    <row r="482" spans="1:6" x14ac:dyDescent="0.35">
      <c r="A482" s="1">
        <v>2031</v>
      </c>
      <c r="B482" s="1">
        <v>9753.8062299750982</v>
      </c>
      <c r="C482" s="1">
        <v>23997.982903511649</v>
      </c>
      <c r="D482" s="1">
        <v>60033.18863535222</v>
      </c>
      <c r="E482" s="1" t="s">
        <v>153</v>
      </c>
      <c r="F482" s="1">
        <v>4</v>
      </c>
    </row>
    <row r="483" spans="1:6" x14ac:dyDescent="0.35">
      <c r="A483" s="1">
        <v>2032</v>
      </c>
      <c r="B483" s="1">
        <v>21532.8898755601</v>
      </c>
      <c r="C483" s="1">
        <v>111687.7</v>
      </c>
      <c r="D483" s="1">
        <v>111687.7</v>
      </c>
      <c r="E483" s="1" t="s">
        <v>153</v>
      </c>
      <c r="F483" s="1">
        <v>4</v>
      </c>
    </row>
    <row r="484" spans="1:6" x14ac:dyDescent="0.35">
      <c r="A484" s="1">
        <v>2033</v>
      </c>
      <c r="B484" s="1">
        <v>10216.496880551071</v>
      </c>
      <c r="C484" s="1">
        <v>42215.360626128728</v>
      </c>
      <c r="D484" s="1">
        <v>83717.160862661447</v>
      </c>
      <c r="E484" s="1" t="s">
        <v>153</v>
      </c>
      <c r="F484" s="1">
        <v>4</v>
      </c>
    </row>
    <row r="485" spans="1:6" x14ac:dyDescent="0.35">
      <c r="A485" s="1">
        <v>2034</v>
      </c>
      <c r="B485" s="1">
        <v>9964.2506738079992</v>
      </c>
      <c r="C485" s="1">
        <v>41173.059658513943</v>
      </c>
      <c r="D485" s="1">
        <v>81650.176796224099</v>
      </c>
      <c r="E485" s="1" t="s">
        <v>153</v>
      </c>
      <c r="F485" s="1">
        <v>4</v>
      </c>
    </row>
    <row r="486" spans="1:6" x14ac:dyDescent="0.35">
      <c r="A486" s="1">
        <v>2035</v>
      </c>
      <c r="B486" s="1">
        <v>10216.496880551071</v>
      </c>
      <c r="C486" s="1">
        <v>40156.493193482522</v>
      </c>
      <c r="D486" s="1">
        <v>83717.160862661432</v>
      </c>
      <c r="E486" s="1" t="s">
        <v>153</v>
      </c>
      <c r="F486" s="1">
        <v>4</v>
      </c>
    </row>
    <row r="487" spans="1:6" x14ac:dyDescent="0.35">
      <c r="A487" s="1">
        <v>2036</v>
      </c>
      <c r="B487" s="1">
        <v>10475.12873041967</v>
      </c>
      <c r="C487" s="1">
        <v>39165.025843901778</v>
      </c>
      <c r="D487" s="1">
        <v>81650.176796224085</v>
      </c>
      <c r="E487" s="1" t="s">
        <v>153</v>
      </c>
      <c r="F487" s="1">
        <v>4</v>
      </c>
    </row>
    <row r="488" spans="1:6" x14ac:dyDescent="0.35">
      <c r="A488" s="1">
        <v>2037</v>
      </c>
      <c r="B488" s="1">
        <v>26912.317709378909</v>
      </c>
      <c r="C488" s="1">
        <v>111687.7</v>
      </c>
      <c r="D488" s="1">
        <v>111687.7</v>
      </c>
      <c r="E488" s="1" t="s">
        <v>153</v>
      </c>
      <c r="F488" s="1">
        <v>4</v>
      </c>
    </row>
    <row r="489" spans="1:6" x14ac:dyDescent="0.35">
      <c r="A489" s="1">
        <v>2038</v>
      </c>
      <c r="B489" s="1">
        <v>14621.637721997031</v>
      </c>
      <c r="C489" s="1">
        <v>46485.256234098677</v>
      </c>
      <c r="D489" s="1">
        <v>99805.667247191363</v>
      </c>
      <c r="E489" s="1" t="s">
        <v>153</v>
      </c>
      <c r="F489" s="1">
        <v>4</v>
      </c>
    </row>
    <row r="490" spans="1:6" x14ac:dyDescent="0.35">
      <c r="A490" s="1">
        <v>2039</v>
      </c>
      <c r="B490" s="1">
        <v>14260.62820035107</v>
      </c>
      <c r="C490" s="1">
        <v>45337.531168293281</v>
      </c>
      <c r="D490" s="1">
        <v>102332.2597425751</v>
      </c>
      <c r="E490" s="1" t="s">
        <v>153</v>
      </c>
      <c r="F490" s="1">
        <v>4</v>
      </c>
    </row>
    <row r="491" spans="1:6" x14ac:dyDescent="0.35">
      <c r="A491" s="1">
        <v>2040</v>
      </c>
      <c r="B491" s="1">
        <v>13908.53203555316</v>
      </c>
      <c r="C491" s="1">
        <v>46485.256234098677</v>
      </c>
      <c r="D491" s="1">
        <v>99805.667247191363</v>
      </c>
      <c r="E491" s="1" t="s">
        <v>153</v>
      </c>
      <c r="F491" s="1">
        <v>4</v>
      </c>
    </row>
    <row r="492" spans="1:6" x14ac:dyDescent="0.35">
      <c r="A492" s="1">
        <v>2041</v>
      </c>
      <c r="B492" s="1">
        <v>13565.1291560386</v>
      </c>
      <c r="C492" s="1">
        <v>45337.531168293281</v>
      </c>
      <c r="D492" s="1">
        <v>97341.456542787244</v>
      </c>
      <c r="E492" s="1" t="s">
        <v>153</v>
      </c>
      <c r="F492" s="1">
        <v>4</v>
      </c>
    </row>
    <row r="493" spans="1:6" x14ac:dyDescent="0.35">
      <c r="A493" s="1">
        <v>2042</v>
      </c>
      <c r="B493" s="1">
        <v>52520.785086356431</v>
      </c>
      <c r="C493" s="1">
        <v>111687.7</v>
      </c>
      <c r="D493" s="1">
        <v>111687.7</v>
      </c>
      <c r="E493" s="1" t="s">
        <v>153</v>
      </c>
      <c r="F493" s="1">
        <v>4</v>
      </c>
    </row>
    <row r="494" spans="1:6" x14ac:dyDescent="0.35">
      <c r="A494" s="1">
        <v>2043</v>
      </c>
      <c r="B494" s="1">
        <v>24390.238970614071</v>
      </c>
      <c r="C494" s="1">
        <v>54831.051461582902</v>
      </c>
      <c r="D494" s="1">
        <v>91705.841419262739</v>
      </c>
      <c r="E494" s="1" t="s">
        <v>153</v>
      </c>
      <c r="F494" s="1">
        <v>4</v>
      </c>
    </row>
    <row r="495" spans="1:6" x14ac:dyDescent="0.35">
      <c r="A495" s="1">
        <v>2044</v>
      </c>
      <c r="B495" s="1">
        <v>25007.680809774789</v>
      </c>
      <c r="C495" s="1">
        <v>53477.267977417403</v>
      </c>
      <c r="D495" s="1">
        <v>89441.616127105357</v>
      </c>
      <c r="E495" s="1" t="s">
        <v>153</v>
      </c>
      <c r="F495" s="1">
        <v>4</v>
      </c>
    </row>
    <row r="496" spans="1:6" x14ac:dyDescent="0.35">
      <c r="A496" s="1">
        <v>2045</v>
      </c>
      <c r="B496" s="1">
        <v>25640.753263510691</v>
      </c>
      <c r="C496" s="1">
        <v>54831.051461582887</v>
      </c>
      <c r="D496" s="1">
        <v>87233.294756599018</v>
      </c>
      <c r="E496" s="1" t="s">
        <v>153</v>
      </c>
      <c r="F496" s="1">
        <v>4</v>
      </c>
    </row>
    <row r="497" spans="1:6" x14ac:dyDescent="0.35">
      <c r="A497" s="1">
        <v>2046</v>
      </c>
      <c r="B497" s="1">
        <v>25007.680809774789</v>
      </c>
      <c r="C497" s="1">
        <v>56219.106137814029</v>
      </c>
      <c r="D497" s="1">
        <v>89441.616127105357</v>
      </c>
      <c r="E497" s="1" t="s">
        <v>153</v>
      </c>
      <c r="F497" s="1">
        <v>4</v>
      </c>
    </row>
    <row r="498" spans="1:6" x14ac:dyDescent="0.35">
      <c r="A498" s="1">
        <v>2047</v>
      </c>
      <c r="B498" s="1">
        <v>25640.753263510691</v>
      </c>
      <c r="C498" s="1">
        <v>54831.051461582887</v>
      </c>
      <c r="D498" s="1">
        <v>87233.294756599018</v>
      </c>
      <c r="E498" s="1" t="s">
        <v>153</v>
      </c>
      <c r="F498" s="1">
        <v>4</v>
      </c>
    </row>
    <row r="499" spans="1:6" x14ac:dyDescent="0.35">
      <c r="A499" s="1">
        <v>2048</v>
      </c>
      <c r="B499" s="1">
        <v>25007.680809774789</v>
      </c>
      <c r="C499" s="1">
        <v>53477.267977417388</v>
      </c>
      <c r="D499" s="1">
        <v>85079.497035000197</v>
      </c>
      <c r="E499" s="1" t="s">
        <v>153</v>
      </c>
      <c r="F499" s="1">
        <v>4</v>
      </c>
    </row>
    <row r="500" spans="1:6" x14ac:dyDescent="0.35">
      <c r="A500" s="1">
        <v>2049</v>
      </c>
      <c r="B500" s="1">
        <v>24771.923022159772</v>
      </c>
      <c r="C500" s="1">
        <v>52156.909526570533</v>
      </c>
      <c r="D500" s="1">
        <v>87233.294756599018</v>
      </c>
      <c r="E500" s="1" t="s">
        <v>153</v>
      </c>
      <c r="F500" s="1">
        <v>4</v>
      </c>
    </row>
    <row r="501" spans="1:6" x14ac:dyDescent="0.35">
      <c r="A501" s="1">
        <v>2050</v>
      </c>
      <c r="B501" s="1">
        <v>25399.02723908762</v>
      </c>
      <c r="C501" s="1">
        <v>50869.150842029201</v>
      </c>
      <c r="D501" s="1">
        <v>89441.616127105357</v>
      </c>
      <c r="E501" s="1" t="s">
        <v>153</v>
      </c>
      <c r="F501" s="1">
        <v>4</v>
      </c>
    </row>
    <row r="502" spans="1:6" x14ac:dyDescent="0.35">
      <c r="A502" s="1">
        <v>2026</v>
      </c>
      <c r="B502" s="1">
        <v>23340.216055764951</v>
      </c>
      <c r="C502" s="1">
        <v>66069.594613561203</v>
      </c>
      <c r="D502" s="1">
        <v>111687.7</v>
      </c>
      <c r="E502" s="1" t="s">
        <v>154</v>
      </c>
      <c r="F502" s="1">
        <v>5</v>
      </c>
    </row>
    <row r="503" spans="1:6" x14ac:dyDescent="0.35">
      <c r="A503" s="1">
        <v>2027</v>
      </c>
      <c r="B503" s="1">
        <v>9961.3950593949667</v>
      </c>
      <c r="C503" s="1">
        <v>29177.518066149471</v>
      </c>
      <c r="D503" s="1">
        <v>76841.925764983229</v>
      </c>
      <c r="E503" s="1" t="s">
        <v>154</v>
      </c>
      <c r="F503" s="1">
        <v>5</v>
      </c>
    </row>
    <row r="504" spans="1:6" x14ac:dyDescent="0.35">
      <c r="A504" s="1">
        <v>2028</v>
      </c>
      <c r="B504" s="1">
        <v>18205.35368214206</v>
      </c>
      <c r="C504" s="1">
        <v>111687.7</v>
      </c>
      <c r="D504" s="1">
        <v>111687.7</v>
      </c>
      <c r="E504" s="1" t="s">
        <v>154</v>
      </c>
      <c r="F504" s="1">
        <v>5</v>
      </c>
    </row>
    <row r="505" spans="1:6" x14ac:dyDescent="0.35">
      <c r="A505" s="1">
        <v>2029</v>
      </c>
      <c r="B505" s="1">
        <v>6751.8404619598005</v>
      </c>
      <c r="C505" s="1">
        <v>34126.284553468067</v>
      </c>
      <c r="D505" s="1">
        <v>81039.861574585957</v>
      </c>
      <c r="E505" s="1" t="s">
        <v>154</v>
      </c>
      <c r="F505" s="1">
        <v>5</v>
      </c>
    </row>
    <row r="506" spans="1:6" x14ac:dyDescent="0.35">
      <c r="A506" s="1">
        <v>2030</v>
      </c>
      <c r="B506" s="1">
        <v>6585.1369269833494</v>
      </c>
      <c r="C506" s="1">
        <v>34990.195559990068</v>
      </c>
      <c r="D506" s="1">
        <v>83091.395437629631</v>
      </c>
      <c r="E506" s="1" t="s">
        <v>154</v>
      </c>
      <c r="F506" s="1">
        <v>5</v>
      </c>
    </row>
    <row r="507" spans="1:6" x14ac:dyDescent="0.35">
      <c r="A507" s="1">
        <v>2031</v>
      </c>
      <c r="B507" s="1">
        <v>6422.5493169506544</v>
      </c>
      <c r="C507" s="1">
        <v>35875.976577764552</v>
      </c>
      <c r="D507" s="1">
        <v>85194.864127676206</v>
      </c>
      <c r="E507" s="1" t="s">
        <v>154</v>
      </c>
      <c r="F507" s="1">
        <v>5</v>
      </c>
    </row>
    <row r="508" spans="1:6" x14ac:dyDescent="0.35">
      <c r="A508" s="1">
        <v>2032</v>
      </c>
      <c r="B508" s="1">
        <v>6263.9760093127707</v>
      </c>
      <c r="C508" s="1">
        <v>36784.181248762237</v>
      </c>
      <c r="D508" s="1">
        <v>83091.395437629631</v>
      </c>
      <c r="E508" s="1" t="s">
        <v>154</v>
      </c>
      <c r="F508" s="1">
        <v>5</v>
      </c>
    </row>
    <row r="509" spans="1:6" x14ac:dyDescent="0.35">
      <c r="A509" s="1">
        <v>2033</v>
      </c>
      <c r="B509" s="1">
        <v>6109.3178905904242</v>
      </c>
      <c r="C509" s="1">
        <v>35875.976577764537</v>
      </c>
      <c r="D509" s="1">
        <v>81039.861574585957</v>
      </c>
      <c r="E509" s="1" t="s">
        <v>154</v>
      </c>
      <c r="F509" s="1">
        <v>5</v>
      </c>
    </row>
    <row r="510" spans="1:6" x14ac:dyDescent="0.35">
      <c r="A510" s="1">
        <v>2034</v>
      </c>
      <c r="B510" s="1">
        <v>36831.032596629862</v>
      </c>
      <c r="C510" s="1">
        <v>111687.7</v>
      </c>
      <c r="D510" s="1">
        <v>111687.7</v>
      </c>
      <c r="E510" s="1" t="s">
        <v>154</v>
      </c>
      <c r="F510" s="1">
        <v>5</v>
      </c>
    </row>
    <row r="511" spans="1:6" x14ac:dyDescent="0.35">
      <c r="A511" s="1">
        <v>2035</v>
      </c>
      <c r="B511" s="1">
        <v>20437.531594202559</v>
      </c>
      <c r="C511" s="1">
        <v>48571.638395733877</v>
      </c>
      <c r="D511" s="1">
        <v>72128.974225916798</v>
      </c>
      <c r="E511" s="1" t="s">
        <v>154</v>
      </c>
      <c r="F511" s="1">
        <v>5</v>
      </c>
    </row>
    <row r="512" spans="1:6" x14ac:dyDescent="0.35">
      <c r="A512" s="1">
        <v>2036</v>
      </c>
      <c r="B512" s="1">
        <v>19932.92714121797</v>
      </c>
      <c r="C512" s="1">
        <v>49801.235275790867</v>
      </c>
      <c r="D512" s="1">
        <v>71186.399215294121</v>
      </c>
      <c r="E512" s="1" t="s">
        <v>154</v>
      </c>
      <c r="F512" s="1">
        <v>5</v>
      </c>
    </row>
    <row r="513" spans="1:6" x14ac:dyDescent="0.35">
      <c r="A513" s="1">
        <v>2037</v>
      </c>
      <c r="B513" s="1">
        <v>19440.781416568461</v>
      </c>
      <c r="C513" s="1">
        <v>48571.638395733877</v>
      </c>
      <c r="D513" s="1">
        <v>72988.491491129404</v>
      </c>
      <c r="E513" s="1" t="s">
        <v>154</v>
      </c>
      <c r="F513" s="1">
        <v>5</v>
      </c>
    </row>
    <row r="514" spans="1:6" x14ac:dyDescent="0.35">
      <c r="A514" s="1">
        <v>2038</v>
      </c>
      <c r="B514" s="1">
        <v>18960.786813155421</v>
      </c>
      <c r="C514" s="1">
        <v>48185.525055392711</v>
      </c>
      <c r="D514" s="1">
        <v>74836.203950123599</v>
      </c>
      <c r="E514" s="1" t="s">
        <v>154</v>
      </c>
      <c r="F514" s="1">
        <v>5</v>
      </c>
    </row>
    <row r="515" spans="1:6" x14ac:dyDescent="0.35">
      <c r="A515" s="1">
        <v>2039</v>
      </c>
      <c r="B515" s="1">
        <v>19440.78141656845</v>
      </c>
      <c r="C515" s="1">
        <v>49405.347429702873</v>
      </c>
      <c r="D515" s="1">
        <v>76730.691472711711</v>
      </c>
      <c r="E515" s="1" t="s">
        <v>154</v>
      </c>
      <c r="F515" s="1">
        <v>5</v>
      </c>
    </row>
    <row r="516" spans="1:6" x14ac:dyDescent="0.35">
      <c r="A516" s="1">
        <v>2040</v>
      </c>
      <c r="B516" s="1">
        <v>19932.927141217959</v>
      </c>
      <c r="C516" s="1">
        <v>48185.525055392711</v>
      </c>
      <c r="D516" s="1">
        <v>78673.138175266169</v>
      </c>
      <c r="E516" s="1" t="s">
        <v>154</v>
      </c>
      <c r="F516" s="1">
        <v>5</v>
      </c>
    </row>
    <row r="517" spans="1:6" x14ac:dyDescent="0.35">
      <c r="A517" s="1">
        <v>2041</v>
      </c>
      <c r="B517" s="1">
        <v>52909.091642740321</v>
      </c>
      <c r="C517" s="1">
        <v>111687.7</v>
      </c>
      <c r="D517" s="1">
        <v>111687.7</v>
      </c>
      <c r="E517" s="1" t="s">
        <v>154</v>
      </c>
      <c r="F517" s="1">
        <v>5</v>
      </c>
    </row>
    <row r="518" spans="1:6" x14ac:dyDescent="0.35">
      <c r="A518" s="1">
        <v>2042</v>
      </c>
      <c r="B518" s="1">
        <v>22371.348917344039</v>
      </c>
      <c r="C518" s="1">
        <v>54942.816133028879</v>
      </c>
      <c r="D518" s="1">
        <v>84914.723043313541</v>
      </c>
      <c r="E518" s="1" t="s">
        <v>154</v>
      </c>
      <c r="F518" s="1">
        <v>5</v>
      </c>
    </row>
    <row r="519" spans="1:6" x14ac:dyDescent="0.35">
      <c r="A519" s="1">
        <v>2043</v>
      </c>
      <c r="B519" s="1">
        <v>64390.086069699537</v>
      </c>
      <c r="C519" s="1">
        <v>111687.7</v>
      </c>
      <c r="D519" s="1">
        <v>111687.7</v>
      </c>
      <c r="E519" s="1" t="s">
        <v>154</v>
      </c>
      <c r="F519" s="1">
        <v>5</v>
      </c>
    </row>
    <row r="520" spans="1:6" x14ac:dyDescent="0.35">
      <c r="A520" s="1">
        <v>2044</v>
      </c>
      <c r="B520" s="1">
        <v>26683.79666184196</v>
      </c>
      <c r="C520" s="1">
        <v>57242.353926803473</v>
      </c>
      <c r="D520" s="1">
        <v>82943.872272182343</v>
      </c>
      <c r="E520" s="1" t="s">
        <v>154</v>
      </c>
      <c r="F520" s="1">
        <v>5</v>
      </c>
    </row>
    <row r="521" spans="1:6" x14ac:dyDescent="0.35">
      <c r="A521" s="1">
        <v>2045</v>
      </c>
      <c r="B521" s="1">
        <v>27359.300190385839</v>
      </c>
      <c r="C521" s="1">
        <v>55829.035172645366</v>
      </c>
      <c r="D521" s="1">
        <v>85043.606395515468</v>
      </c>
      <c r="E521" s="1" t="s">
        <v>154</v>
      </c>
      <c r="F521" s="1">
        <v>5</v>
      </c>
    </row>
    <row r="522" spans="1:6" x14ac:dyDescent="0.35">
      <c r="A522" s="1">
        <v>2046</v>
      </c>
      <c r="B522" s="1">
        <v>28051.904172169481</v>
      </c>
      <c r="C522" s="1">
        <v>54450.611382859453</v>
      </c>
      <c r="D522" s="1">
        <v>82943.872272182329</v>
      </c>
      <c r="E522" s="1" t="s">
        <v>154</v>
      </c>
      <c r="F522" s="1">
        <v>5</v>
      </c>
    </row>
    <row r="523" spans="1:6" x14ac:dyDescent="0.35">
      <c r="A523" s="1">
        <v>2047</v>
      </c>
      <c r="B523" s="1">
        <v>27359.300190385839</v>
      </c>
      <c r="C523" s="1">
        <v>53106.220997705583</v>
      </c>
      <c r="D523" s="1">
        <v>80895.980769071408</v>
      </c>
      <c r="E523" s="1" t="s">
        <v>154</v>
      </c>
      <c r="F523" s="1">
        <v>5</v>
      </c>
    </row>
    <row r="524" spans="1:6" x14ac:dyDescent="0.35">
      <c r="A524" s="1">
        <v>2048</v>
      </c>
      <c r="B524" s="1">
        <v>26683.79666184196</v>
      </c>
      <c r="C524" s="1">
        <v>54450.611382859453</v>
      </c>
      <c r="D524" s="1">
        <v>78898.651887328728</v>
      </c>
      <c r="E524" s="1" t="s">
        <v>154</v>
      </c>
      <c r="F524" s="1">
        <v>5</v>
      </c>
    </row>
    <row r="525" spans="1:6" x14ac:dyDescent="0.35">
      <c r="A525" s="1">
        <v>2049</v>
      </c>
      <c r="B525" s="1">
        <v>27359.300190385839</v>
      </c>
      <c r="C525" s="1">
        <v>53106.220997705583</v>
      </c>
      <c r="D525" s="1">
        <v>76950.637231384622</v>
      </c>
      <c r="E525" s="1" t="s">
        <v>154</v>
      </c>
      <c r="F525" s="1">
        <v>5</v>
      </c>
    </row>
    <row r="526" spans="1:6" x14ac:dyDescent="0.35">
      <c r="A526" s="1">
        <v>2050</v>
      </c>
      <c r="B526" s="1">
        <v>26683.79666184196</v>
      </c>
      <c r="C526" s="1">
        <v>51795.023729429413</v>
      </c>
      <c r="D526" s="1">
        <v>75050.719228665868</v>
      </c>
      <c r="E526" s="1" t="s">
        <v>154</v>
      </c>
      <c r="F526" s="1">
        <v>5</v>
      </c>
    </row>
    <row r="527" spans="1:6" x14ac:dyDescent="0.35">
      <c r="A527" s="1">
        <v>2026</v>
      </c>
      <c r="B527" s="1">
        <v>11451.508758659629</v>
      </c>
      <c r="C527" s="1">
        <v>10893.012086164679</v>
      </c>
      <c r="D527" s="1">
        <v>11373.47752303947</v>
      </c>
      <c r="E527" s="1" t="s">
        <v>155</v>
      </c>
      <c r="F527" s="1">
        <v>5</v>
      </c>
    </row>
    <row r="528" spans="1:6" x14ac:dyDescent="0.35">
      <c r="A528" s="1">
        <v>2027</v>
      </c>
      <c r="B528" s="1">
        <v>11695.24294427289</v>
      </c>
      <c r="C528" s="1">
        <v>10624.06265948084</v>
      </c>
      <c r="D528" s="1">
        <v>11092.66536245184</v>
      </c>
      <c r="E528" s="1" t="s">
        <v>155</v>
      </c>
      <c r="F528" s="1">
        <v>5</v>
      </c>
    </row>
    <row r="529" spans="1:6" x14ac:dyDescent="0.35">
      <c r="A529" s="1">
        <v>2028</v>
      </c>
      <c r="B529" s="1">
        <v>11991.30942896964</v>
      </c>
      <c r="C529" s="1">
        <v>10893.012086164679</v>
      </c>
      <c r="D529" s="1">
        <v>10818.786478812641</v>
      </c>
      <c r="E529" s="1" t="s">
        <v>155</v>
      </c>
      <c r="F529" s="1">
        <v>5</v>
      </c>
    </row>
    <row r="530" spans="1:6" x14ac:dyDescent="0.35">
      <c r="A530" s="1">
        <v>2029</v>
      </c>
      <c r="B530" s="1">
        <v>21043.360060534738</v>
      </c>
      <c r="C530" s="1">
        <v>57808.221758213069</v>
      </c>
      <c r="D530" s="1">
        <v>111687.7</v>
      </c>
      <c r="E530" s="1" t="s">
        <v>155</v>
      </c>
      <c r="F530" s="1">
        <v>5</v>
      </c>
    </row>
    <row r="531" spans="1:6" x14ac:dyDescent="0.35">
      <c r="A531" s="1">
        <v>2030</v>
      </c>
      <c r="B531" s="1">
        <v>10094.376506779539</v>
      </c>
      <c r="C531" s="1">
        <v>36104.131469654283</v>
      </c>
      <c r="D531" s="1">
        <v>57501.552543913327</v>
      </c>
      <c r="E531" s="1" t="s">
        <v>155</v>
      </c>
      <c r="F531" s="1">
        <v>5</v>
      </c>
    </row>
    <row r="532" spans="1:6" x14ac:dyDescent="0.35">
      <c r="A532" s="1">
        <v>2031</v>
      </c>
      <c r="B532" s="1">
        <v>23020.59791926547</v>
      </c>
      <c r="C532" s="1">
        <v>111687.7</v>
      </c>
      <c r="D532" s="1">
        <v>111687.7</v>
      </c>
      <c r="E532" s="1" t="s">
        <v>155</v>
      </c>
      <c r="F532" s="1">
        <v>5</v>
      </c>
    </row>
    <row r="533" spans="1:6" x14ac:dyDescent="0.35">
      <c r="A533" s="1">
        <v>2032</v>
      </c>
      <c r="B533" s="1">
        <v>13993.241604915151</v>
      </c>
      <c r="C533" s="1">
        <v>50616.229872064912</v>
      </c>
      <c r="D533" s="1">
        <v>66742.150775574555</v>
      </c>
      <c r="E533" s="1" t="s">
        <v>155</v>
      </c>
      <c r="F533" s="1">
        <v>5</v>
      </c>
    </row>
    <row r="534" spans="1:6" x14ac:dyDescent="0.35">
      <c r="A534" s="1">
        <v>2033</v>
      </c>
      <c r="B534" s="1">
        <v>14347.48220267103</v>
      </c>
      <c r="C534" s="1">
        <v>49366.510703729487</v>
      </c>
      <c r="D534" s="1">
        <v>65094.281201507329</v>
      </c>
      <c r="E534" s="1" t="s">
        <v>155</v>
      </c>
      <c r="F534" s="1">
        <v>5</v>
      </c>
    </row>
    <row r="535" spans="1:6" x14ac:dyDescent="0.35">
      <c r="A535" s="1">
        <v>2034</v>
      </c>
      <c r="B535" s="1">
        <v>14710.690443853749</v>
      </c>
      <c r="C535" s="1">
        <v>48147.647211600153</v>
      </c>
      <c r="D535" s="1">
        <v>63487.097672189659</v>
      </c>
      <c r="E535" s="1" t="s">
        <v>155</v>
      </c>
      <c r="F535" s="1">
        <v>5</v>
      </c>
    </row>
    <row r="536" spans="1:6" x14ac:dyDescent="0.35">
      <c r="A536" s="1">
        <v>2035</v>
      </c>
      <c r="B536" s="1">
        <v>14347.48220267103</v>
      </c>
      <c r="C536" s="1">
        <v>49366.510703729487</v>
      </c>
      <c r="D536" s="1">
        <v>65094.281201507329</v>
      </c>
      <c r="E536" s="1" t="s">
        <v>155</v>
      </c>
      <c r="F536" s="1">
        <v>5</v>
      </c>
    </row>
    <row r="537" spans="1:6" x14ac:dyDescent="0.35">
      <c r="A537" s="1">
        <v>2036</v>
      </c>
      <c r="B537" s="1">
        <v>22758.276207088089</v>
      </c>
      <c r="C537" s="1">
        <v>111687.7</v>
      </c>
      <c r="D537" s="1">
        <v>111687.7</v>
      </c>
      <c r="E537" s="1" t="s">
        <v>155</v>
      </c>
      <c r="F537" s="1">
        <v>5</v>
      </c>
    </row>
    <row r="538" spans="1:6" x14ac:dyDescent="0.35">
      <c r="A538" s="1">
        <v>2037</v>
      </c>
      <c r="B538" s="1">
        <v>17722.268877261071</v>
      </c>
      <c r="C538" s="1">
        <v>50724.664757515602</v>
      </c>
      <c r="D538" s="1">
        <v>92572.105956216037</v>
      </c>
      <c r="E538" s="1" t="s">
        <v>155</v>
      </c>
      <c r="F538" s="1">
        <v>5</v>
      </c>
    </row>
    <row r="539" spans="1:6" x14ac:dyDescent="0.35">
      <c r="A539" s="1">
        <v>2038</v>
      </c>
      <c r="B539" s="1">
        <v>18170.910249855271</v>
      </c>
      <c r="C539" s="1">
        <v>49472.268322319207</v>
      </c>
      <c r="D539" s="1">
        <v>90286.492516434548</v>
      </c>
      <c r="E539" s="1" t="s">
        <v>155</v>
      </c>
      <c r="F539" s="1">
        <v>5</v>
      </c>
    </row>
    <row r="540" spans="1:6" x14ac:dyDescent="0.35">
      <c r="A540" s="1">
        <v>2039</v>
      </c>
      <c r="B540" s="1">
        <v>17722.268877261071</v>
      </c>
      <c r="C540" s="1">
        <v>48250.793665283207</v>
      </c>
      <c r="D540" s="1">
        <v>88057.311073550489</v>
      </c>
      <c r="E540" s="1" t="s">
        <v>155</v>
      </c>
      <c r="F540" s="1">
        <v>5</v>
      </c>
    </row>
    <row r="541" spans="1:6" x14ac:dyDescent="0.35">
      <c r="A541" s="1">
        <v>2040</v>
      </c>
      <c r="B541" s="1">
        <v>18170.910249855271</v>
      </c>
      <c r="C541" s="1">
        <v>47059.477324984597</v>
      </c>
      <c r="D541" s="1">
        <v>90286.492516434548</v>
      </c>
      <c r="E541" s="1" t="s">
        <v>155</v>
      </c>
      <c r="F541" s="1">
        <v>5</v>
      </c>
    </row>
    <row r="542" spans="1:6" x14ac:dyDescent="0.35">
      <c r="A542" s="1">
        <v>2041</v>
      </c>
      <c r="B542" s="1">
        <v>18630.909032868942</v>
      </c>
      <c r="C542" s="1">
        <v>45897.574689930043</v>
      </c>
      <c r="D542" s="1">
        <v>88057.311073550489</v>
      </c>
      <c r="E542" s="1" t="s">
        <v>155</v>
      </c>
      <c r="F542" s="1">
        <v>5</v>
      </c>
    </row>
    <row r="543" spans="1:6" x14ac:dyDescent="0.35">
      <c r="A543" s="1">
        <v>2042</v>
      </c>
      <c r="B543" s="1">
        <v>18170.910249855271</v>
      </c>
      <c r="C543" s="1">
        <v>47059.477324984597</v>
      </c>
      <c r="D543" s="1">
        <v>85883.168316596042</v>
      </c>
      <c r="E543" s="1" t="s">
        <v>155</v>
      </c>
      <c r="F543" s="1">
        <v>5</v>
      </c>
    </row>
    <row r="544" spans="1:6" x14ac:dyDescent="0.35">
      <c r="A544" s="1">
        <v>2043</v>
      </c>
      <c r="B544" s="1">
        <v>18630.909032868942</v>
      </c>
      <c r="C544" s="1">
        <v>45897.574689930043</v>
      </c>
      <c r="D544" s="1">
        <v>83762.705335573773</v>
      </c>
      <c r="E544" s="1" t="s">
        <v>155</v>
      </c>
      <c r="F544" s="1">
        <v>5</v>
      </c>
    </row>
    <row r="545" spans="1:6" x14ac:dyDescent="0.35">
      <c r="A545" s="1">
        <v>2044</v>
      </c>
      <c r="B545" s="1">
        <v>19102.55274051569</v>
      </c>
      <c r="C545" s="1">
        <v>44764.359533149487</v>
      </c>
      <c r="D545" s="1">
        <v>85883.168316596042</v>
      </c>
      <c r="E545" s="1" t="s">
        <v>155</v>
      </c>
      <c r="F545" s="1">
        <v>5</v>
      </c>
    </row>
    <row r="546" spans="1:6" x14ac:dyDescent="0.35">
      <c r="A546" s="1">
        <v>2045</v>
      </c>
      <c r="B546" s="1">
        <v>19586.136165466101</v>
      </c>
      <c r="C546" s="1">
        <v>45897.574689930043</v>
      </c>
      <c r="D546" s="1">
        <v>83762.705335573773</v>
      </c>
      <c r="E546" s="1" t="s">
        <v>155</v>
      </c>
      <c r="F546" s="1">
        <v>5</v>
      </c>
    </row>
    <row r="547" spans="1:6" x14ac:dyDescent="0.35">
      <c r="A547" s="1">
        <v>2046</v>
      </c>
      <c r="B547" s="1">
        <v>31590.64035546704</v>
      </c>
      <c r="C547" s="1">
        <v>111687.7</v>
      </c>
      <c r="D547" s="1">
        <v>111687.7</v>
      </c>
      <c r="E547" s="1" t="s">
        <v>155</v>
      </c>
      <c r="F547" s="1">
        <v>5</v>
      </c>
    </row>
    <row r="548" spans="1:6" x14ac:dyDescent="0.35">
      <c r="A548" s="1">
        <v>2047</v>
      </c>
      <c r="B548" s="1">
        <v>16546.398746817798</v>
      </c>
      <c r="C548" s="1">
        <v>46216.768845086423</v>
      </c>
      <c r="D548" s="1">
        <v>81161.943801064932</v>
      </c>
      <c r="E548" s="1" t="s">
        <v>155</v>
      </c>
      <c r="F548" s="1">
        <v>5</v>
      </c>
    </row>
    <row r="549" spans="1:6" x14ac:dyDescent="0.35">
      <c r="A549" s="1">
        <v>2048</v>
      </c>
      <c r="B549" s="1">
        <v>38616.124911976709</v>
      </c>
      <c r="C549" s="1">
        <v>111687.7</v>
      </c>
      <c r="D549" s="1">
        <v>111687.7</v>
      </c>
      <c r="E549" s="1" t="s">
        <v>155</v>
      </c>
      <c r="F549" s="1">
        <v>5</v>
      </c>
    </row>
    <row r="550" spans="1:6" x14ac:dyDescent="0.35">
      <c r="A550" s="1">
        <v>2049</v>
      </c>
      <c r="B550" s="1">
        <v>14199.07323825089</v>
      </c>
      <c r="C550" s="1">
        <v>64902.398932255557</v>
      </c>
      <c r="D550" s="1">
        <v>109476.13536468289</v>
      </c>
      <c r="E550" s="1" t="s">
        <v>155</v>
      </c>
      <c r="F550" s="1">
        <v>5</v>
      </c>
    </row>
    <row r="551" spans="1:6" x14ac:dyDescent="0.35">
      <c r="A551" s="1">
        <v>2050</v>
      </c>
      <c r="B551" s="1">
        <v>13848.496870882331</v>
      </c>
      <c r="C551" s="1">
        <v>63299.952993045918</v>
      </c>
      <c r="D551" s="1">
        <v>106773.1599517307</v>
      </c>
      <c r="E551" s="1" t="s">
        <v>155</v>
      </c>
      <c r="F551" s="1">
        <v>5</v>
      </c>
    </row>
    <row r="552" spans="1:6" x14ac:dyDescent="0.35">
      <c r="A552" s="1">
        <v>2026</v>
      </c>
      <c r="B552" s="1">
        <v>11371.112769867201</v>
      </c>
      <c r="C552" s="1">
        <v>10893.012086164679</v>
      </c>
      <c r="D552" s="1">
        <v>10893.012086164679</v>
      </c>
      <c r="E552" s="1" t="s">
        <v>156</v>
      </c>
      <c r="F552" s="1">
        <v>5</v>
      </c>
    </row>
    <row r="553" spans="1:6" x14ac:dyDescent="0.35">
      <c r="A553" s="1">
        <v>2027</v>
      </c>
      <c r="B553" s="1">
        <v>11090.35899524343</v>
      </c>
      <c r="C553" s="1">
        <v>10624.06265948084</v>
      </c>
      <c r="D553" s="1">
        <v>10624.06265948084</v>
      </c>
      <c r="E553" s="1" t="s">
        <v>156</v>
      </c>
      <c r="F553" s="1">
        <v>5</v>
      </c>
    </row>
    <row r="554" spans="1:6" x14ac:dyDescent="0.35">
      <c r="A554" s="1">
        <v>2028</v>
      </c>
      <c r="B554" s="1">
        <v>11371.112769867201</v>
      </c>
      <c r="C554" s="1">
        <v>10361.753617801751</v>
      </c>
      <c r="D554" s="1">
        <v>10361.753617801751</v>
      </c>
      <c r="E554" s="1" t="s">
        <v>156</v>
      </c>
      <c r="F554" s="1">
        <v>5</v>
      </c>
    </row>
    <row r="555" spans="1:6" x14ac:dyDescent="0.35">
      <c r="A555" s="1">
        <v>2029</v>
      </c>
      <c r="B555" s="1">
        <v>11090.35899524343</v>
      </c>
      <c r="C555" s="1">
        <v>10624.06265948084</v>
      </c>
      <c r="D555" s="1">
        <v>10624.06265948084</v>
      </c>
      <c r="E555" s="1" t="s">
        <v>156</v>
      </c>
      <c r="F555" s="1">
        <v>5</v>
      </c>
    </row>
    <row r="556" spans="1:6" x14ac:dyDescent="0.35">
      <c r="A556" s="1">
        <v>2030</v>
      </c>
      <c r="B556" s="1">
        <v>12136.79900379044</v>
      </c>
      <c r="C556" s="1">
        <v>48825.205388681061</v>
      </c>
      <c r="D556" s="1">
        <v>111687.7</v>
      </c>
      <c r="E556" s="1" t="s">
        <v>156</v>
      </c>
      <c r="F556" s="1">
        <v>5</v>
      </c>
    </row>
    <row r="557" spans="1:6" x14ac:dyDescent="0.35">
      <c r="A557" s="1">
        <v>2031</v>
      </c>
      <c r="B557" s="1">
        <v>5206.7830089793206</v>
      </c>
      <c r="C557" s="1">
        <v>22976.838246236861</v>
      </c>
      <c r="D557" s="1">
        <v>63203.485889519798</v>
      </c>
      <c r="E557" s="1" t="s">
        <v>156</v>
      </c>
      <c r="F557" s="1">
        <v>5</v>
      </c>
    </row>
    <row r="558" spans="1:6" x14ac:dyDescent="0.35">
      <c r="A558" s="1">
        <v>2032</v>
      </c>
      <c r="B558" s="1">
        <v>5078.227078438239</v>
      </c>
      <c r="C558" s="1">
        <v>22409.538088626501</v>
      </c>
      <c r="D558" s="1">
        <v>64803.489752377027</v>
      </c>
      <c r="E558" s="1" t="s">
        <v>156</v>
      </c>
      <c r="F558" s="1">
        <v>5</v>
      </c>
    </row>
    <row r="559" spans="1:6" x14ac:dyDescent="0.35">
      <c r="A559" s="1">
        <v>2033</v>
      </c>
      <c r="B559" s="1">
        <v>4952.8452051314953</v>
      </c>
      <c r="C559" s="1">
        <v>21856.244621813879</v>
      </c>
      <c r="D559" s="1">
        <v>63203.48588951979</v>
      </c>
      <c r="E559" s="1" t="s">
        <v>156</v>
      </c>
      <c r="F559" s="1">
        <v>5</v>
      </c>
    </row>
    <row r="560" spans="1:6" x14ac:dyDescent="0.35">
      <c r="A560" s="1">
        <v>2034</v>
      </c>
      <c r="B560" s="1">
        <v>4830.559021306748</v>
      </c>
      <c r="C560" s="1">
        <v>22409.538088626501</v>
      </c>
      <c r="D560" s="1">
        <v>64803.48975237702</v>
      </c>
      <c r="E560" s="1" t="s">
        <v>156</v>
      </c>
      <c r="F560" s="1">
        <v>5</v>
      </c>
    </row>
    <row r="561" spans="1:6" x14ac:dyDescent="0.35">
      <c r="A561" s="1">
        <v>2035</v>
      </c>
      <c r="B561" s="1">
        <v>4711.2920941183529</v>
      </c>
      <c r="C561" s="1">
        <v>22637.108225710192</v>
      </c>
      <c r="D561" s="1">
        <v>63203.485889519783</v>
      </c>
      <c r="E561" s="1" t="s">
        <v>156</v>
      </c>
      <c r="F561" s="1">
        <v>5</v>
      </c>
    </row>
    <row r="562" spans="1:6" x14ac:dyDescent="0.35">
      <c r="A562" s="1">
        <v>2036</v>
      </c>
      <c r="B562" s="1">
        <v>4830.559021306748</v>
      </c>
      <c r="C562" s="1">
        <v>23210.169348768581</v>
      </c>
      <c r="D562" s="1">
        <v>61642.986262791499</v>
      </c>
      <c r="E562" s="1" t="s">
        <v>156</v>
      </c>
      <c r="F562" s="1">
        <v>5</v>
      </c>
    </row>
    <row r="563" spans="1:6" x14ac:dyDescent="0.35">
      <c r="A563" s="1">
        <v>2037</v>
      </c>
      <c r="B563" s="1">
        <v>19019.58867420704</v>
      </c>
      <c r="C563" s="1">
        <v>111687.7</v>
      </c>
      <c r="D563" s="1">
        <v>111687.7</v>
      </c>
      <c r="E563" s="1" t="s">
        <v>156</v>
      </c>
      <c r="F563" s="1">
        <v>5</v>
      </c>
    </row>
    <row r="564" spans="1:6" x14ac:dyDescent="0.35">
      <c r="A564" s="1">
        <v>2038</v>
      </c>
      <c r="B564" s="1">
        <v>12236.514009295061</v>
      </c>
      <c r="C564" s="1">
        <v>48280.861288268752</v>
      </c>
      <c r="D564" s="1">
        <v>74880.277342630725</v>
      </c>
      <c r="E564" s="1" t="s">
        <v>156</v>
      </c>
      <c r="F564" s="1">
        <v>5</v>
      </c>
    </row>
    <row r="565" spans="1:6" x14ac:dyDescent="0.35">
      <c r="A565" s="1">
        <v>2039</v>
      </c>
      <c r="B565" s="1">
        <v>11934.393401939031</v>
      </c>
      <c r="C565" s="1">
        <v>49503.097110804512</v>
      </c>
      <c r="D565" s="1">
        <v>76775.880588462082</v>
      </c>
      <c r="E565" s="1" t="s">
        <v>156</v>
      </c>
      <c r="F565" s="1">
        <v>5</v>
      </c>
    </row>
    <row r="566" spans="1:6" x14ac:dyDescent="0.35">
      <c r="A566" s="1">
        <v>2040</v>
      </c>
      <c r="B566" s="1">
        <v>12236.514009295061</v>
      </c>
      <c r="C566" s="1">
        <v>48280.861288268738</v>
      </c>
      <c r="D566" s="1">
        <v>74880.277342630725</v>
      </c>
      <c r="E566" s="1" t="s">
        <v>156</v>
      </c>
      <c r="F566" s="1">
        <v>5</v>
      </c>
    </row>
    <row r="567" spans="1:6" x14ac:dyDescent="0.35">
      <c r="A567" s="1">
        <v>2041</v>
      </c>
      <c r="B567" s="1">
        <v>11934.393401939031</v>
      </c>
      <c r="C567" s="1">
        <v>49503.097110804498</v>
      </c>
      <c r="D567" s="1">
        <v>76775.880588462082</v>
      </c>
      <c r="E567" s="1" t="s">
        <v>156</v>
      </c>
      <c r="F567" s="1">
        <v>5</v>
      </c>
    </row>
    <row r="568" spans="1:6" x14ac:dyDescent="0.35">
      <c r="A568" s="1">
        <v>2042</v>
      </c>
      <c r="B568" s="1">
        <v>11639.732178956659</v>
      </c>
      <c r="C568" s="1">
        <v>49622.960231510922</v>
      </c>
      <c r="D568" s="1">
        <v>74880.277342630725</v>
      </c>
      <c r="E568" s="1" t="s">
        <v>156</v>
      </c>
      <c r="F568" s="1">
        <v>5</v>
      </c>
    </row>
    <row r="569" spans="1:6" x14ac:dyDescent="0.35">
      <c r="A569" s="1">
        <v>2043</v>
      </c>
      <c r="B569" s="1">
        <v>11934.393401939031</v>
      </c>
      <c r="C569" s="1">
        <v>48397.764977980369</v>
      </c>
      <c r="D569" s="1">
        <v>73031.476707698326</v>
      </c>
      <c r="E569" s="1" t="s">
        <v>156</v>
      </c>
      <c r="F569" s="1">
        <v>5</v>
      </c>
    </row>
    <row r="570" spans="1:6" x14ac:dyDescent="0.35">
      <c r="A570" s="1">
        <v>2044</v>
      </c>
      <c r="B570" s="1">
        <v>11639.732178956659</v>
      </c>
      <c r="C570" s="1">
        <v>47202.819903041949</v>
      </c>
      <c r="D570" s="1">
        <v>71228.323123084483</v>
      </c>
      <c r="E570" s="1" t="s">
        <v>156</v>
      </c>
      <c r="F570" s="1">
        <v>5</v>
      </c>
    </row>
    <row r="571" spans="1:6" x14ac:dyDescent="0.35">
      <c r="A571" s="1">
        <v>2045</v>
      </c>
      <c r="B571" s="1">
        <v>30377.265923866271</v>
      </c>
      <c r="C571" s="1">
        <v>111687.7</v>
      </c>
      <c r="D571" s="1">
        <v>111687.7</v>
      </c>
      <c r="E571" s="1" t="s">
        <v>156</v>
      </c>
      <c r="F571" s="1">
        <v>5</v>
      </c>
    </row>
    <row r="572" spans="1:6" x14ac:dyDescent="0.35">
      <c r="A572" s="1">
        <v>2046</v>
      </c>
      <c r="B572" s="1">
        <v>17476.24404903502</v>
      </c>
      <c r="C572" s="1">
        <v>44133.453299734647</v>
      </c>
      <c r="D572" s="1">
        <v>97869.193579956569</v>
      </c>
      <c r="E572" s="1" t="s">
        <v>156</v>
      </c>
      <c r="F572" s="1">
        <v>5</v>
      </c>
    </row>
    <row r="573" spans="1:6" x14ac:dyDescent="0.35">
      <c r="A573" s="1">
        <v>2047</v>
      </c>
      <c r="B573" s="1">
        <v>33215.596882463433</v>
      </c>
      <c r="C573" s="1">
        <v>111687.7</v>
      </c>
      <c r="D573" s="1">
        <v>102887.05443623829</v>
      </c>
      <c r="E573" s="1" t="s">
        <v>156</v>
      </c>
      <c r="F573" s="1">
        <v>5</v>
      </c>
    </row>
    <row r="574" spans="1:6" x14ac:dyDescent="0.35">
      <c r="A574" s="1">
        <v>2048</v>
      </c>
      <c r="B574" s="1">
        <v>24613.377590996359</v>
      </c>
      <c r="C574" s="1">
        <v>48994.267908025577</v>
      </c>
      <c r="D574" s="1">
        <v>95219.454740941321</v>
      </c>
      <c r="E574" s="1" t="s">
        <v>156</v>
      </c>
      <c r="F574" s="1">
        <v>5</v>
      </c>
    </row>
    <row r="575" spans="1:6" x14ac:dyDescent="0.35">
      <c r="A575" s="1">
        <v>2049</v>
      </c>
      <c r="B575" s="1">
        <v>24005.67113299479</v>
      </c>
      <c r="C575" s="1">
        <v>47784.595123268977</v>
      </c>
      <c r="D575" s="1">
        <v>97629.946713978643</v>
      </c>
      <c r="E575" s="1" t="s">
        <v>156</v>
      </c>
      <c r="F575" s="1">
        <v>5</v>
      </c>
    </row>
    <row r="576" spans="1:6" x14ac:dyDescent="0.35">
      <c r="A576" s="1">
        <v>2050</v>
      </c>
      <c r="B576" s="1">
        <v>40582.448360039147</v>
      </c>
      <c r="C576" s="1">
        <v>111687.7</v>
      </c>
      <c r="D576" s="1">
        <v>111687.7</v>
      </c>
      <c r="E576" s="1" t="s">
        <v>156</v>
      </c>
      <c r="F576" s="1">
        <v>5</v>
      </c>
    </row>
    <row r="577" spans="1:6" x14ac:dyDescent="0.35">
      <c r="A577" s="1">
        <v>2026</v>
      </c>
      <c r="B577" s="1">
        <v>11451.508758659629</v>
      </c>
      <c r="C577" s="1">
        <v>10893.012086164679</v>
      </c>
      <c r="D577" s="1">
        <v>10893.012086164679</v>
      </c>
      <c r="E577" s="1" t="s">
        <v>157</v>
      </c>
      <c r="F577" s="1">
        <v>5</v>
      </c>
    </row>
    <row r="578" spans="1:6" x14ac:dyDescent="0.35">
      <c r="A578" s="1">
        <v>2027</v>
      </c>
      <c r="B578" s="1">
        <v>11741.40508307165</v>
      </c>
      <c r="C578" s="1">
        <v>10624.06265948084</v>
      </c>
      <c r="D578" s="1">
        <v>10624.06265948084</v>
      </c>
      <c r="E578" s="1" t="s">
        <v>157</v>
      </c>
      <c r="F578" s="1">
        <v>5</v>
      </c>
    </row>
    <row r="579" spans="1:6" x14ac:dyDescent="0.35">
      <c r="A579" s="1">
        <v>2028</v>
      </c>
      <c r="B579" s="1">
        <v>12038.64016787575</v>
      </c>
      <c r="C579" s="1">
        <v>10893.012086164679</v>
      </c>
      <c r="D579" s="1">
        <v>10893.012086164679</v>
      </c>
      <c r="E579" s="1" t="s">
        <v>157</v>
      </c>
      <c r="F579" s="1">
        <v>5</v>
      </c>
    </row>
    <row r="580" spans="1:6" x14ac:dyDescent="0.35">
      <c r="A580" s="1">
        <v>2029</v>
      </c>
      <c r="B580" s="1">
        <v>11741.40508307165</v>
      </c>
      <c r="C580" s="1">
        <v>11168.77</v>
      </c>
      <c r="D580" s="1">
        <v>10624.06265948084</v>
      </c>
      <c r="E580" s="1" t="s">
        <v>157</v>
      </c>
      <c r="F580" s="1">
        <v>5</v>
      </c>
    </row>
    <row r="581" spans="1:6" x14ac:dyDescent="0.35">
      <c r="A581" s="1">
        <v>2030</v>
      </c>
      <c r="B581" s="1">
        <v>11451.50875865962</v>
      </c>
      <c r="C581" s="1">
        <v>11451.50875865962</v>
      </c>
      <c r="D581" s="1">
        <v>10447.59677523543</v>
      </c>
      <c r="E581" s="1" t="s">
        <v>157</v>
      </c>
      <c r="F581" s="1">
        <v>5</v>
      </c>
    </row>
    <row r="582" spans="1:6" x14ac:dyDescent="0.35">
      <c r="A582" s="1">
        <v>2031</v>
      </c>
      <c r="B582" s="1">
        <v>11168.77</v>
      </c>
      <c r="C582" s="1">
        <v>11168.77</v>
      </c>
      <c r="D582" s="1">
        <v>10189.64469176236</v>
      </c>
      <c r="E582" s="1" t="s">
        <v>157</v>
      </c>
      <c r="F582" s="1">
        <v>5</v>
      </c>
    </row>
    <row r="583" spans="1:6" x14ac:dyDescent="0.35">
      <c r="A583" s="1">
        <v>2032</v>
      </c>
      <c r="B583" s="1">
        <v>19759.74991545111</v>
      </c>
      <c r="C583" s="1">
        <v>46962.117367393213</v>
      </c>
      <c r="D583" s="1">
        <v>102984.72210583019</v>
      </c>
      <c r="E583" s="1" t="s">
        <v>157</v>
      </c>
      <c r="F583" s="1">
        <v>5</v>
      </c>
    </row>
    <row r="584" spans="1:6" x14ac:dyDescent="0.35">
      <c r="A584" s="1">
        <v>2033</v>
      </c>
      <c r="B584" s="1">
        <v>9133.1727569370905</v>
      </c>
      <c r="C584" s="1">
        <v>19194.62731163908</v>
      </c>
      <c r="D584" s="1">
        <v>76384.681972156541</v>
      </c>
      <c r="E584" s="1" t="s">
        <v>157</v>
      </c>
      <c r="F584" s="1">
        <v>5</v>
      </c>
    </row>
    <row r="585" spans="1:6" x14ac:dyDescent="0.35">
      <c r="A585" s="1">
        <v>2034</v>
      </c>
      <c r="B585" s="1">
        <v>8907.6739181078774</v>
      </c>
      <c r="C585" s="1">
        <v>18720.71027473134</v>
      </c>
      <c r="D585" s="1">
        <v>78318.369402501849</v>
      </c>
      <c r="E585" s="1" t="s">
        <v>157</v>
      </c>
      <c r="F585" s="1">
        <v>5</v>
      </c>
    </row>
    <row r="586" spans="1:6" x14ac:dyDescent="0.35">
      <c r="A586" s="1">
        <v>2035</v>
      </c>
      <c r="B586" s="1">
        <v>17219.25789091102</v>
      </c>
      <c r="C586" s="1">
        <v>111687.7</v>
      </c>
      <c r="D586" s="1">
        <v>111687.7</v>
      </c>
      <c r="E586" s="1" t="s">
        <v>157</v>
      </c>
      <c r="F586" s="1">
        <v>5</v>
      </c>
    </row>
    <row r="587" spans="1:6" x14ac:dyDescent="0.35">
      <c r="A587" s="1">
        <v>2036</v>
      </c>
      <c r="B587" s="1">
        <v>10415.1687164794</v>
      </c>
      <c r="C587" s="1">
        <v>39289.858551495643</v>
      </c>
      <c r="D587" s="1">
        <v>73876.962527771204</v>
      </c>
      <c r="E587" s="1" t="s">
        <v>157</v>
      </c>
      <c r="F587" s="1">
        <v>5</v>
      </c>
    </row>
    <row r="588" spans="1:6" x14ac:dyDescent="0.35">
      <c r="A588" s="1">
        <v>2037</v>
      </c>
      <c r="B588" s="1">
        <v>10158.017284629759</v>
      </c>
      <c r="C588" s="1">
        <v>38319.788487464837</v>
      </c>
      <c r="D588" s="1">
        <v>72052.933823880958</v>
      </c>
      <c r="E588" s="1" t="s">
        <v>157</v>
      </c>
      <c r="F588" s="1">
        <v>5</v>
      </c>
    </row>
    <row r="589" spans="1:6" x14ac:dyDescent="0.35">
      <c r="A589" s="1">
        <v>2038</v>
      </c>
      <c r="B589" s="1">
        <v>10415.1687164794</v>
      </c>
      <c r="C589" s="1">
        <v>39289.858551495628</v>
      </c>
      <c r="D589" s="1">
        <v>70273.940549152612</v>
      </c>
      <c r="E589" s="1" t="s">
        <v>157</v>
      </c>
      <c r="F589" s="1">
        <v>5</v>
      </c>
    </row>
    <row r="590" spans="1:6" x14ac:dyDescent="0.35">
      <c r="A590" s="1">
        <v>2039</v>
      </c>
      <c r="B590" s="1">
        <v>14516.97770204872</v>
      </c>
      <c r="C590" s="1">
        <v>111687.7</v>
      </c>
      <c r="D590" s="1">
        <v>111687.7</v>
      </c>
      <c r="E590" s="1" t="s">
        <v>157</v>
      </c>
      <c r="F590" s="1">
        <v>5</v>
      </c>
    </row>
    <row r="591" spans="1:6" x14ac:dyDescent="0.35">
      <c r="A591" s="1">
        <v>2040</v>
      </c>
      <c r="B591" s="1">
        <v>4446.5252325275032</v>
      </c>
      <c r="C591" s="1">
        <v>49860.813684664827</v>
      </c>
      <c r="D591" s="1">
        <v>75783.426020340659</v>
      </c>
      <c r="E591" s="1" t="s">
        <v>157</v>
      </c>
      <c r="F591" s="1">
        <v>5</v>
      </c>
    </row>
    <row r="592" spans="1:6" x14ac:dyDescent="0.35">
      <c r="A592" s="1">
        <v>2041</v>
      </c>
      <c r="B592" s="1">
        <v>4336.7401333681601</v>
      </c>
      <c r="C592" s="1">
        <v>48629.745808451553</v>
      </c>
      <c r="D592" s="1">
        <v>77701.892583799723</v>
      </c>
      <c r="E592" s="1" t="s">
        <v>157</v>
      </c>
      <c r="F592" s="1">
        <v>5</v>
      </c>
    </row>
    <row r="593" spans="1:6" x14ac:dyDescent="0.35">
      <c r="A593" s="1">
        <v>2042</v>
      </c>
      <c r="B593" s="1">
        <v>49320.447542139787</v>
      </c>
      <c r="C593" s="1">
        <v>111687.7</v>
      </c>
      <c r="D593" s="1">
        <v>111687.7</v>
      </c>
      <c r="E593" s="1" t="s">
        <v>157</v>
      </c>
      <c r="F593" s="1">
        <v>5</v>
      </c>
    </row>
    <row r="594" spans="1:6" x14ac:dyDescent="0.35">
      <c r="A594" s="1">
        <v>2043</v>
      </c>
      <c r="B594" s="1">
        <v>28674.229755876509</v>
      </c>
      <c r="C594" s="1">
        <v>51402.208941805198</v>
      </c>
      <c r="D594" s="1">
        <v>67125.146063696113</v>
      </c>
      <c r="E594" s="1" t="s">
        <v>157</v>
      </c>
      <c r="F594" s="1">
        <v>5</v>
      </c>
    </row>
    <row r="595" spans="1:6" x14ac:dyDescent="0.35">
      <c r="A595" s="1">
        <v>2044</v>
      </c>
      <c r="B595" s="1">
        <v>51205.750884556757</v>
      </c>
      <c r="C595" s="1">
        <v>111687.7</v>
      </c>
      <c r="D595" s="1">
        <v>111687.7</v>
      </c>
      <c r="E595" s="1" t="s">
        <v>157</v>
      </c>
      <c r="F595" s="1">
        <v>5</v>
      </c>
    </row>
    <row r="596" spans="1:6" x14ac:dyDescent="0.35">
      <c r="A596" s="1">
        <v>2045</v>
      </c>
      <c r="B596" s="1">
        <v>27410.053494980701</v>
      </c>
      <c r="C596" s="1">
        <v>51383.149795955353</v>
      </c>
      <c r="D596" s="1">
        <v>79175.906430177303</v>
      </c>
      <c r="E596" s="1" t="s">
        <v>157</v>
      </c>
      <c r="F596" s="1">
        <v>5</v>
      </c>
    </row>
    <row r="597" spans="1:6" x14ac:dyDescent="0.35">
      <c r="A597" s="1">
        <v>2046</v>
      </c>
      <c r="B597" s="1">
        <v>26733.296862881522</v>
      </c>
      <c r="C597" s="1">
        <v>52683.920425964738</v>
      </c>
      <c r="D597" s="1">
        <v>81180.254044088142</v>
      </c>
      <c r="E597" s="1" t="s">
        <v>157</v>
      </c>
      <c r="F597" s="1">
        <v>5</v>
      </c>
    </row>
    <row r="598" spans="1:6" x14ac:dyDescent="0.35">
      <c r="A598" s="1">
        <v>2047</v>
      </c>
      <c r="B598" s="1">
        <v>27410.053494980701</v>
      </c>
      <c r="C598" s="1">
        <v>51383.149795955353</v>
      </c>
      <c r="D598" s="1">
        <v>83235.341959417987</v>
      </c>
      <c r="E598" s="1" t="s">
        <v>157</v>
      </c>
      <c r="F598" s="1">
        <v>5</v>
      </c>
    </row>
    <row r="599" spans="1:6" x14ac:dyDescent="0.35">
      <c r="A599" s="1">
        <v>2048</v>
      </c>
      <c r="B599" s="1">
        <v>26733.296862881522</v>
      </c>
      <c r="C599" s="1">
        <v>52683.920425964738</v>
      </c>
      <c r="D599" s="1">
        <v>81180.254044088142</v>
      </c>
      <c r="E599" s="1" t="s">
        <v>157</v>
      </c>
      <c r="F599" s="1">
        <v>5</v>
      </c>
    </row>
    <row r="600" spans="1:6" x14ac:dyDescent="0.35">
      <c r="A600" s="1">
        <v>2049</v>
      </c>
      <c r="B600" s="1">
        <v>26073.24941156428</v>
      </c>
      <c r="C600" s="1">
        <v>51383.149795955353</v>
      </c>
      <c r="D600" s="1">
        <v>83235.341959417987</v>
      </c>
      <c r="E600" s="1" t="s">
        <v>157</v>
      </c>
      <c r="F600" s="1">
        <v>5</v>
      </c>
    </row>
    <row r="601" spans="1:6" x14ac:dyDescent="0.35">
      <c r="A601" s="1">
        <v>2050</v>
      </c>
      <c r="B601" s="1">
        <v>26733.296862881522</v>
      </c>
      <c r="C601" s="1">
        <v>52683.920425964738</v>
      </c>
      <c r="D601" s="1">
        <v>81180.254044088142</v>
      </c>
      <c r="E601" s="1" t="s">
        <v>157</v>
      </c>
      <c r="F601" s="1">
        <v>5</v>
      </c>
    </row>
    <row r="602" spans="1:6" x14ac:dyDescent="0.35">
      <c r="A602" s="1">
        <v>2026</v>
      </c>
      <c r="B602" s="1">
        <v>10893.012086164679</v>
      </c>
      <c r="C602" s="1">
        <v>11451.508758659629</v>
      </c>
      <c r="D602" s="1">
        <v>10893.012086164679</v>
      </c>
      <c r="E602" s="1" t="s">
        <v>158</v>
      </c>
      <c r="F602" s="1">
        <v>5</v>
      </c>
    </row>
    <row r="603" spans="1:6" x14ac:dyDescent="0.35">
      <c r="A603" s="1">
        <v>2027</v>
      </c>
      <c r="B603" s="1">
        <v>19879.092097637498</v>
      </c>
      <c r="C603" s="1">
        <v>33171.279845831079</v>
      </c>
      <c r="D603" s="1">
        <v>111687.7</v>
      </c>
      <c r="E603" s="1" t="s">
        <v>158</v>
      </c>
      <c r="F603" s="1">
        <v>5</v>
      </c>
    </row>
    <row r="604" spans="1:6" x14ac:dyDescent="0.35">
      <c r="A604" s="1">
        <v>2028</v>
      </c>
      <c r="B604" s="1">
        <v>8417.3186149721041</v>
      </c>
      <c r="C604" s="1">
        <v>32514.444496770731</v>
      </c>
      <c r="D604" s="1">
        <v>47722.540593365549</v>
      </c>
      <c r="E604" s="1" t="s">
        <v>158</v>
      </c>
      <c r="F604" s="1">
        <v>5</v>
      </c>
    </row>
    <row r="605" spans="1:6" x14ac:dyDescent="0.35">
      <c r="A605" s="1">
        <v>2029</v>
      </c>
      <c r="B605" s="1">
        <v>8209.4942778828899</v>
      </c>
      <c r="C605" s="1">
        <v>31711.660001795561</v>
      </c>
      <c r="D605" s="1">
        <v>46544.266867883889</v>
      </c>
      <c r="E605" s="1" t="s">
        <v>158</v>
      </c>
      <c r="F605" s="1">
        <v>5</v>
      </c>
    </row>
    <row r="606" spans="1:6" x14ac:dyDescent="0.35">
      <c r="A606" s="1">
        <v>2030</v>
      </c>
      <c r="B606" s="1">
        <v>8006.8011419590612</v>
      </c>
      <c r="C606" s="1">
        <v>30928.696326623631</v>
      </c>
      <c r="D606" s="1">
        <v>45395.084824339072</v>
      </c>
      <c r="E606" s="1" t="s">
        <v>158</v>
      </c>
      <c r="F606" s="1">
        <v>5</v>
      </c>
    </row>
    <row r="607" spans="1:6" x14ac:dyDescent="0.35">
      <c r="A607" s="1">
        <v>2031</v>
      </c>
      <c r="B607" s="1">
        <v>8209.4942778828899</v>
      </c>
      <c r="C607" s="1">
        <v>31711.660001795561</v>
      </c>
      <c r="D607" s="1">
        <v>46544.266867883889</v>
      </c>
      <c r="E607" s="1" t="s">
        <v>158</v>
      </c>
      <c r="F607" s="1">
        <v>5</v>
      </c>
    </row>
    <row r="608" spans="1:6" x14ac:dyDescent="0.35">
      <c r="A608" s="1">
        <v>2032</v>
      </c>
      <c r="B608" s="1">
        <v>8006.8011419590612</v>
      </c>
      <c r="C608" s="1">
        <v>32514.444496770731</v>
      </c>
      <c r="D608" s="1">
        <v>45395.084824339072</v>
      </c>
      <c r="E608" s="1" t="s">
        <v>158</v>
      </c>
      <c r="F608" s="1">
        <v>5</v>
      </c>
    </row>
    <row r="609" spans="1:6" x14ac:dyDescent="0.35">
      <c r="A609" s="1">
        <v>2033</v>
      </c>
      <c r="B609" s="1">
        <v>13990.504839856831</v>
      </c>
      <c r="C609" s="1">
        <v>111687.7</v>
      </c>
      <c r="D609" s="1">
        <v>111687.7</v>
      </c>
      <c r="E609" s="1" t="s">
        <v>158</v>
      </c>
      <c r="F609" s="1">
        <v>5</v>
      </c>
    </row>
    <row r="610" spans="1:6" x14ac:dyDescent="0.35">
      <c r="A610" s="1">
        <v>2034</v>
      </c>
      <c r="B610" s="1">
        <v>13713.474282919409</v>
      </c>
      <c r="C610" s="1">
        <v>46775.699896769504</v>
      </c>
      <c r="D610" s="1">
        <v>80975.28385620167</v>
      </c>
      <c r="E610" s="1" t="s">
        <v>158</v>
      </c>
      <c r="F610" s="1">
        <v>5</v>
      </c>
    </row>
    <row r="611" spans="1:6" x14ac:dyDescent="0.35">
      <c r="A611" s="1">
        <v>2035</v>
      </c>
      <c r="B611" s="1">
        <v>14060.63253720017</v>
      </c>
      <c r="C611" s="1">
        <v>45620.803751381951</v>
      </c>
      <c r="D611" s="1">
        <v>83025.182926521258</v>
      </c>
      <c r="E611" s="1" t="s">
        <v>158</v>
      </c>
      <c r="F611" s="1">
        <v>5</v>
      </c>
    </row>
    <row r="612" spans="1:6" x14ac:dyDescent="0.35">
      <c r="A612" s="1">
        <v>2036</v>
      </c>
      <c r="B612" s="1">
        <v>14416.579144529091</v>
      </c>
      <c r="C612" s="1">
        <v>45370.258618878623</v>
      </c>
      <c r="D612" s="1">
        <v>80975.28385620167</v>
      </c>
      <c r="E612" s="1" t="s">
        <v>158</v>
      </c>
      <c r="F612" s="1">
        <v>5</v>
      </c>
    </row>
    <row r="613" spans="1:6" x14ac:dyDescent="0.35">
      <c r="A613" s="1">
        <v>2037</v>
      </c>
      <c r="B613" s="1">
        <v>14060.632537200159</v>
      </c>
      <c r="C613" s="1">
        <v>46518.812184040027</v>
      </c>
      <c r="D613" s="1">
        <v>83025.182926521258</v>
      </c>
      <c r="E613" s="1" t="s">
        <v>158</v>
      </c>
      <c r="F613" s="1">
        <v>5</v>
      </c>
    </row>
    <row r="614" spans="1:6" x14ac:dyDescent="0.35">
      <c r="A614" s="1">
        <v>2038</v>
      </c>
      <c r="B614" s="1">
        <v>34257.991357414867</v>
      </c>
      <c r="C614" s="1">
        <v>111687.7</v>
      </c>
      <c r="D614" s="1">
        <v>111687.7</v>
      </c>
      <c r="E614" s="1" t="s">
        <v>158</v>
      </c>
      <c r="F614" s="1">
        <v>5</v>
      </c>
    </row>
    <row r="615" spans="1:6" x14ac:dyDescent="0.35">
      <c r="A615" s="1">
        <v>2039</v>
      </c>
      <c r="B615" s="1">
        <v>14397.988182075331</v>
      </c>
      <c r="C615" s="1">
        <v>47016.974344156377</v>
      </c>
      <c r="D615" s="1">
        <v>77281.041423443588</v>
      </c>
      <c r="E615" s="1" t="s">
        <v>158</v>
      </c>
      <c r="F615" s="1">
        <v>5</v>
      </c>
    </row>
    <row r="616" spans="1:6" x14ac:dyDescent="0.35">
      <c r="A616" s="1">
        <v>2040</v>
      </c>
      <c r="B616" s="1">
        <v>25947.551238961561</v>
      </c>
      <c r="C616" s="1">
        <v>111687.7</v>
      </c>
      <c r="D616" s="1">
        <v>111687.7</v>
      </c>
      <c r="E616" s="1" t="s">
        <v>158</v>
      </c>
      <c r="F616" s="1">
        <v>5</v>
      </c>
    </row>
    <row r="617" spans="1:6" x14ac:dyDescent="0.35">
      <c r="A617" s="1">
        <v>2041</v>
      </c>
      <c r="B617" s="1">
        <v>19582.35299200907</v>
      </c>
      <c r="C617" s="1">
        <v>45918.257956429166</v>
      </c>
      <c r="D617" s="1">
        <v>90688.850360673474</v>
      </c>
      <c r="E617" s="1" t="s">
        <v>158</v>
      </c>
      <c r="F617" s="1">
        <v>5</v>
      </c>
    </row>
    <row r="618" spans="1:6" x14ac:dyDescent="0.35">
      <c r="A618" s="1">
        <v>2042</v>
      </c>
      <c r="B618" s="1">
        <v>20078.08261815369</v>
      </c>
      <c r="C618" s="1">
        <v>47080.684190867993</v>
      </c>
      <c r="D618" s="1">
        <v>92984.649537775811</v>
      </c>
      <c r="E618" s="1" t="s">
        <v>158</v>
      </c>
      <c r="F618" s="1">
        <v>5</v>
      </c>
    </row>
    <row r="619" spans="1:6" x14ac:dyDescent="0.35">
      <c r="A619" s="1">
        <v>2043</v>
      </c>
      <c r="B619" s="1">
        <v>20586.361699531692</v>
      </c>
      <c r="C619" s="1">
        <v>48272.537385532392</v>
      </c>
      <c r="D619" s="1">
        <v>90688.850360673459</v>
      </c>
      <c r="E619" s="1" t="s">
        <v>158</v>
      </c>
      <c r="F619" s="1">
        <v>5</v>
      </c>
    </row>
    <row r="620" spans="1:6" x14ac:dyDescent="0.35">
      <c r="A620" s="1">
        <v>2044</v>
      </c>
      <c r="B620" s="1">
        <v>20078.08261815369</v>
      </c>
      <c r="C620" s="1">
        <v>47080.684190867993</v>
      </c>
      <c r="D620" s="1">
        <v>88449.734667219047</v>
      </c>
      <c r="E620" s="1" t="s">
        <v>158</v>
      </c>
      <c r="F620" s="1">
        <v>5</v>
      </c>
    </row>
    <row r="621" spans="1:6" x14ac:dyDescent="0.35">
      <c r="A621" s="1">
        <v>2045</v>
      </c>
      <c r="B621" s="1">
        <v>20586.361699531692</v>
      </c>
      <c r="C621" s="1">
        <v>45918.257956429166</v>
      </c>
      <c r="D621" s="1">
        <v>86265.902937214763</v>
      </c>
      <c r="E621" s="1" t="s">
        <v>158</v>
      </c>
      <c r="F621" s="1">
        <v>5</v>
      </c>
    </row>
    <row r="622" spans="1:6" x14ac:dyDescent="0.35">
      <c r="A622" s="1">
        <v>2046</v>
      </c>
      <c r="B622" s="1">
        <v>20078.08261815369</v>
      </c>
      <c r="C622" s="1">
        <v>47080.684190867993</v>
      </c>
      <c r="D622" s="1">
        <v>88449.734667219032</v>
      </c>
      <c r="E622" s="1" t="s">
        <v>158</v>
      </c>
      <c r="F622" s="1">
        <v>5</v>
      </c>
    </row>
    <row r="623" spans="1:6" x14ac:dyDescent="0.35">
      <c r="A623" s="1">
        <v>2047</v>
      </c>
      <c r="B623" s="1">
        <v>20586.361699531692</v>
      </c>
      <c r="C623" s="1">
        <v>46319.851610215257</v>
      </c>
      <c r="D623" s="1">
        <v>90688.85036067343</v>
      </c>
      <c r="E623" s="1" t="s">
        <v>158</v>
      </c>
      <c r="F623" s="1">
        <v>5</v>
      </c>
    </row>
    <row r="624" spans="1:6" x14ac:dyDescent="0.35">
      <c r="A624" s="1">
        <v>2048</v>
      </c>
      <c r="B624" s="1">
        <v>20078.08261815369</v>
      </c>
      <c r="C624" s="1">
        <v>45176.210399124473</v>
      </c>
      <c r="D624" s="1">
        <v>92984.649537775767</v>
      </c>
      <c r="E624" s="1" t="s">
        <v>158</v>
      </c>
      <c r="F624" s="1">
        <v>5</v>
      </c>
    </row>
    <row r="625" spans="1:6" x14ac:dyDescent="0.35">
      <c r="A625" s="1">
        <v>2049</v>
      </c>
      <c r="B625" s="1">
        <v>35226.237815718952</v>
      </c>
      <c r="C625" s="1">
        <v>111687.7</v>
      </c>
      <c r="D625" s="1">
        <v>111687.7</v>
      </c>
      <c r="E625" s="1" t="s">
        <v>158</v>
      </c>
      <c r="F625" s="1">
        <v>5</v>
      </c>
    </row>
    <row r="626" spans="1:6" x14ac:dyDescent="0.35">
      <c r="A626" s="1">
        <v>2050</v>
      </c>
      <c r="B626" s="1">
        <v>34528.711572555971</v>
      </c>
      <c r="C626" s="1">
        <v>44750.583035572687</v>
      </c>
      <c r="D626" s="1">
        <v>70916.776677988921</v>
      </c>
      <c r="E626" s="1" t="s">
        <v>158</v>
      </c>
      <c r="F626" s="1">
        <v>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60D95-0D1B-47FA-BC1F-F8231661ED40}">
  <sheetPr>
    <tabColor rgb="FF774936"/>
  </sheetPr>
  <dimension ref="A1:F626"/>
  <sheetViews>
    <sheetView workbookViewId="0">
      <selection activeCell="N26" sqref="N26"/>
    </sheetView>
  </sheetViews>
  <sheetFormatPr defaultRowHeight="14.5" x14ac:dyDescent="0.35"/>
  <cols>
    <col min="1" max="4" width="8.7265625" style="1"/>
    <col min="5" max="5" width="26.81640625" style="1" customWidth="1"/>
    <col min="6" max="6" width="16" style="1" customWidth="1"/>
  </cols>
  <sheetData>
    <row r="1" spans="1:6" x14ac:dyDescent="0.35">
      <c r="A1" s="20" t="s">
        <v>4</v>
      </c>
      <c r="B1" s="20" t="s">
        <v>129</v>
      </c>
      <c r="C1" s="20" t="s">
        <v>130</v>
      </c>
      <c r="D1" s="20" t="s">
        <v>131</v>
      </c>
      <c r="E1" s="20" t="s">
        <v>132</v>
      </c>
      <c r="F1" s="20" t="s">
        <v>133</v>
      </c>
    </row>
    <row r="2" spans="1:6" x14ac:dyDescent="0.35">
      <c r="A2" s="1">
        <v>2026</v>
      </c>
      <c r="B2" s="1">
        <v>2125.718515342754</v>
      </c>
      <c r="C2" s="1">
        <v>3400.1990139697491</v>
      </c>
      <c r="D2" s="1">
        <v>6155.4785628832924</v>
      </c>
      <c r="E2" s="1" t="s">
        <v>134</v>
      </c>
      <c r="F2" s="1">
        <v>1</v>
      </c>
    </row>
    <row r="3" spans="1:6" x14ac:dyDescent="0.35">
      <c r="A3" s="1">
        <v>2027</v>
      </c>
      <c r="B3" s="1">
        <v>1730.9740419591451</v>
      </c>
      <c r="C3" s="1">
        <v>2650.6259286801719</v>
      </c>
      <c r="D3" s="1">
        <v>4845.3595407422763</v>
      </c>
      <c r="E3" s="1" t="s">
        <v>134</v>
      </c>
      <c r="F3" s="1">
        <v>1</v>
      </c>
    </row>
    <row r="4" spans="1:6" x14ac:dyDescent="0.35">
      <c r="A4" s="1">
        <v>2028</v>
      </c>
      <c r="B4" s="1">
        <v>1688.2361405865011</v>
      </c>
      <c r="C4" s="1">
        <v>2717.726843529887</v>
      </c>
      <c r="D4" s="1">
        <v>4725.7271874269918</v>
      </c>
      <c r="E4" s="1" t="s">
        <v>134</v>
      </c>
      <c r="F4" s="1">
        <v>1</v>
      </c>
    </row>
    <row r="5" spans="1:6" x14ac:dyDescent="0.35">
      <c r="A5" s="1">
        <v>2029</v>
      </c>
      <c r="B5" s="1">
        <v>1646.553441758472</v>
      </c>
      <c r="C5" s="1">
        <v>2650.6259286801719</v>
      </c>
      <c r="D5" s="1">
        <v>4609.0485674393194</v>
      </c>
      <c r="E5" s="1" t="s">
        <v>134</v>
      </c>
      <c r="F5" s="1">
        <v>1</v>
      </c>
    </row>
    <row r="6" spans="1:6" x14ac:dyDescent="0.35">
      <c r="A6" s="1">
        <v>2030</v>
      </c>
      <c r="B6" s="1">
        <v>1688.2361405865011</v>
      </c>
      <c r="C6" s="1">
        <v>2717.726843529887</v>
      </c>
      <c r="D6" s="1">
        <v>4495.2507528435553</v>
      </c>
      <c r="E6" s="1" t="s">
        <v>134</v>
      </c>
      <c r="F6" s="1">
        <v>1</v>
      </c>
    </row>
    <row r="7" spans="1:6" x14ac:dyDescent="0.35">
      <c r="A7" s="1">
        <v>2031</v>
      </c>
      <c r="B7" s="1">
        <v>1646.553441758472</v>
      </c>
      <c r="C7" s="1">
        <v>2650.6259286801719</v>
      </c>
      <c r="D7" s="1">
        <v>4609.0485674393194</v>
      </c>
      <c r="E7" s="1" t="s">
        <v>134</v>
      </c>
      <c r="F7" s="1">
        <v>1</v>
      </c>
    </row>
    <row r="8" spans="1:6" x14ac:dyDescent="0.35">
      <c r="A8" s="1">
        <v>2032</v>
      </c>
      <c r="B8" s="1">
        <v>1688.2361405865011</v>
      </c>
      <c r="C8" s="1">
        <v>2717.726843529887</v>
      </c>
      <c r="D8" s="1">
        <v>4725.7271874269918</v>
      </c>
      <c r="E8" s="1" t="s">
        <v>134</v>
      </c>
      <c r="F8" s="1">
        <v>1</v>
      </c>
    </row>
    <row r="9" spans="1:6" x14ac:dyDescent="0.35">
      <c r="A9" s="1">
        <v>2033</v>
      </c>
      <c r="B9" s="1">
        <v>1646.553441758472</v>
      </c>
      <c r="C9" s="1">
        <v>2650.6259286801719</v>
      </c>
      <c r="D9" s="1">
        <v>4609.0485674393194</v>
      </c>
      <c r="E9" s="1" t="s">
        <v>134</v>
      </c>
      <c r="F9" s="1">
        <v>1</v>
      </c>
    </row>
    <row r="10" spans="1:6" x14ac:dyDescent="0.35">
      <c r="A10" s="1">
        <v>2034</v>
      </c>
      <c r="B10" s="1">
        <v>1605.8998924314039</v>
      </c>
      <c r="C10" s="1">
        <v>2717.726843529887</v>
      </c>
      <c r="D10" s="1">
        <v>4495.2507528435553</v>
      </c>
      <c r="E10" s="1" t="s">
        <v>134</v>
      </c>
      <c r="F10" s="1">
        <v>1</v>
      </c>
    </row>
    <row r="11" spans="1:6" x14ac:dyDescent="0.35">
      <c r="A11" s="1">
        <v>2035</v>
      </c>
      <c r="B11" s="1">
        <v>1566.250082813581</v>
      </c>
      <c r="C11" s="1">
        <v>2650.6259286801719</v>
      </c>
      <c r="D11" s="1">
        <v>4609.0485674393194</v>
      </c>
      <c r="E11" s="1" t="s">
        <v>134</v>
      </c>
      <c r="F11" s="1">
        <v>1</v>
      </c>
    </row>
    <row r="12" spans="1:6" x14ac:dyDescent="0.35">
      <c r="A12" s="1">
        <v>2036</v>
      </c>
      <c r="B12" s="1">
        <v>1605.8998924314039</v>
      </c>
      <c r="C12" s="1">
        <v>2717.726843529887</v>
      </c>
      <c r="D12" s="1">
        <v>4725.7271874269918</v>
      </c>
      <c r="E12" s="1" t="s">
        <v>134</v>
      </c>
      <c r="F12" s="1">
        <v>1</v>
      </c>
    </row>
    <row r="13" spans="1:6" x14ac:dyDescent="0.35">
      <c r="A13" s="1">
        <v>2037</v>
      </c>
      <c r="B13" s="1">
        <v>1646.553441758472</v>
      </c>
      <c r="C13" s="1">
        <v>2650.6259286801719</v>
      </c>
      <c r="D13" s="1">
        <v>4845.3595407422763</v>
      </c>
      <c r="E13" s="1" t="s">
        <v>134</v>
      </c>
      <c r="F13" s="1">
        <v>1</v>
      </c>
    </row>
    <row r="14" spans="1:6" x14ac:dyDescent="0.35">
      <c r="A14" s="1">
        <v>2038</v>
      </c>
      <c r="B14" s="1">
        <v>1605.8998924314039</v>
      </c>
      <c r="C14" s="1">
        <v>2717.726843529887</v>
      </c>
      <c r="D14" s="1">
        <v>4725.7271874269918</v>
      </c>
      <c r="E14" s="1" t="s">
        <v>134</v>
      </c>
      <c r="F14" s="1">
        <v>1</v>
      </c>
    </row>
    <row r="15" spans="1:6" x14ac:dyDescent="0.35">
      <c r="A15" s="1">
        <v>2039</v>
      </c>
      <c r="B15" s="1">
        <v>1646.553441758472</v>
      </c>
      <c r="C15" s="1">
        <v>2650.6259286801719</v>
      </c>
      <c r="D15" s="1">
        <v>4609.0485674393194</v>
      </c>
      <c r="E15" s="1" t="s">
        <v>134</v>
      </c>
      <c r="F15" s="1">
        <v>1</v>
      </c>
    </row>
    <row r="16" spans="1:6" x14ac:dyDescent="0.35">
      <c r="A16" s="1">
        <v>2040</v>
      </c>
      <c r="B16" s="1">
        <v>1605.8998924314039</v>
      </c>
      <c r="C16" s="1">
        <v>2717.726843529887</v>
      </c>
      <c r="D16" s="1">
        <v>4495.2507528435553</v>
      </c>
      <c r="E16" s="1" t="s">
        <v>134</v>
      </c>
      <c r="F16" s="1">
        <v>1</v>
      </c>
    </row>
    <row r="17" spans="1:6" x14ac:dyDescent="0.35">
      <c r="A17" s="1">
        <v>2041</v>
      </c>
      <c r="B17" s="1">
        <v>1646.553441758472</v>
      </c>
      <c r="C17" s="1">
        <v>2786.5264261263219</v>
      </c>
      <c r="D17" s="1">
        <v>4609.0485674393194</v>
      </c>
      <c r="E17" s="1" t="s">
        <v>134</v>
      </c>
      <c r="F17" s="1">
        <v>1</v>
      </c>
    </row>
    <row r="18" spans="1:6" x14ac:dyDescent="0.35">
      <c r="A18" s="1">
        <v>2042</v>
      </c>
      <c r="B18" s="1">
        <v>1605.8998924314039</v>
      </c>
      <c r="C18" s="1">
        <v>2717.726843529887</v>
      </c>
      <c r="D18" s="1">
        <v>4495.2507528435553</v>
      </c>
      <c r="E18" s="1" t="s">
        <v>134</v>
      </c>
      <c r="F18" s="1">
        <v>1</v>
      </c>
    </row>
    <row r="19" spans="1:6" x14ac:dyDescent="0.35">
      <c r="A19" s="1">
        <v>2043</v>
      </c>
      <c r="B19" s="1">
        <v>1646.553441758472</v>
      </c>
      <c r="C19" s="1">
        <v>2650.6259286801719</v>
      </c>
      <c r="D19" s="1">
        <v>4406.5286234598852</v>
      </c>
      <c r="E19" s="1" t="s">
        <v>134</v>
      </c>
      <c r="F19" s="1">
        <v>1</v>
      </c>
    </row>
    <row r="20" spans="1:6" x14ac:dyDescent="0.35">
      <c r="A20" s="1">
        <v>2044</v>
      </c>
      <c r="B20" s="1">
        <v>1605.8998924314039</v>
      </c>
      <c r="C20" s="1">
        <v>2717.726843529887</v>
      </c>
      <c r="D20" s="1">
        <v>4297.7310440969904</v>
      </c>
      <c r="E20" s="1" t="s">
        <v>134</v>
      </c>
      <c r="F20" s="1">
        <v>1</v>
      </c>
    </row>
    <row r="21" spans="1:6" x14ac:dyDescent="0.35">
      <c r="A21" s="1">
        <v>2045</v>
      </c>
      <c r="B21" s="1">
        <v>1566.250082813581</v>
      </c>
      <c r="C21" s="1">
        <v>2650.6259286801719</v>
      </c>
      <c r="D21" s="1">
        <v>4406.5286234598852</v>
      </c>
      <c r="E21" s="1" t="s">
        <v>134</v>
      </c>
      <c r="F21" s="1">
        <v>1</v>
      </c>
    </row>
    <row r="22" spans="1:6" x14ac:dyDescent="0.35">
      <c r="A22" s="1">
        <v>2046</v>
      </c>
      <c r="B22" s="1">
        <v>1527.579230483283</v>
      </c>
      <c r="C22" s="1">
        <v>2585.181741321077</v>
      </c>
      <c r="D22" s="1">
        <v>4518.0804266571176</v>
      </c>
      <c r="E22" s="1" t="s">
        <v>134</v>
      </c>
      <c r="F22" s="1">
        <v>1</v>
      </c>
    </row>
    <row r="23" spans="1:6" x14ac:dyDescent="0.35">
      <c r="A23" s="1">
        <v>2047</v>
      </c>
      <c r="B23" s="1">
        <v>1566.250082813581</v>
      </c>
      <c r="C23" s="1">
        <v>2521.3533767051108</v>
      </c>
      <c r="D23" s="1">
        <v>4632.4561771970057</v>
      </c>
      <c r="E23" s="1" t="s">
        <v>134</v>
      </c>
      <c r="F23" s="1">
        <v>1</v>
      </c>
    </row>
    <row r="24" spans="1:6" x14ac:dyDescent="0.35">
      <c r="A24" s="1">
        <v>2048</v>
      </c>
      <c r="B24" s="1">
        <v>1605.8998924314039</v>
      </c>
      <c r="C24" s="1">
        <v>2585.181741321077</v>
      </c>
      <c r="D24" s="1">
        <v>4749.7273636468826</v>
      </c>
      <c r="E24" s="1" t="s">
        <v>134</v>
      </c>
      <c r="F24" s="1">
        <v>1</v>
      </c>
    </row>
    <row r="25" spans="1:6" x14ac:dyDescent="0.35">
      <c r="A25" s="1">
        <v>2049</v>
      </c>
      <c r="B25" s="1">
        <v>1646.553441758472</v>
      </c>
      <c r="C25" s="1">
        <v>2650.6259286801719</v>
      </c>
      <c r="D25" s="1">
        <v>4869.9672843157814</v>
      </c>
      <c r="E25" s="1" t="s">
        <v>134</v>
      </c>
      <c r="F25" s="1">
        <v>1</v>
      </c>
    </row>
    <row r="26" spans="1:6" x14ac:dyDescent="0.35">
      <c r="A26" s="1">
        <v>2050</v>
      </c>
      <c r="B26" s="1">
        <v>1605.8998924314039</v>
      </c>
      <c r="C26" s="1">
        <v>2586.7239949395348</v>
      </c>
      <c r="D26" s="1">
        <v>4749.7273636468826</v>
      </c>
      <c r="E26" s="1" t="s">
        <v>134</v>
      </c>
      <c r="F26" s="1">
        <v>1</v>
      </c>
    </row>
    <row r="27" spans="1:6" x14ac:dyDescent="0.35">
      <c r="A27" s="1">
        <v>2026</v>
      </c>
      <c r="B27" s="1">
        <v>1972.121506377242</v>
      </c>
      <c r="C27" s="1">
        <v>1972.121506377242</v>
      </c>
      <c r="D27" s="1">
        <v>2073.234338195939</v>
      </c>
      <c r="E27" s="1" t="s">
        <v>135</v>
      </c>
      <c r="F27" s="1">
        <v>1</v>
      </c>
    </row>
    <row r="28" spans="1:6" x14ac:dyDescent="0.35">
      <c r="A28" s="1">
        <v>2027</v>
      </c>
      <c r="B28" s="1">
        <v>1923.429652893971</v>
      </c>
      <c r="C28" s="1">
        <v>2022.046</v>
      </c>
      <c r="D28" s="1">
        <v>2125.718515342754</v>
      </c>
      <c r="E28" s="1" t="s">
        <v>135</v>
      </c>
      <c r="F28" s="1">
        <v>1</v>
      </c>
    </row>
    <row r="29" spans="1:6" x14ac:dyDescent="0.35">
      <c r="A29" s="1">
        <v>2028</v>
      </c>
      <c r="B29" s="1">
        <v>1972.121506377242</v>
      </c>
      <c r="C29" s="1">
        <v>2073.234338195939</v>
      </c>
      <c r="D29" s="1">
        <v>2179.531335759666</v>
      </c>
      <c r="E29" s="1" t="s">
        <v>135</v>
      </c>
      <c r="F29" s="1">
        <v>1</v>
      </c>
    </row>
    <row r="30" spans="1:6" x14ac:dyDescent="0.35">
      <c r="A30" s="1">
        <v>2029</v>
      </c>
      <c r="B30" s="1">
        <v>1923.429652893971</v>
      </c>
      <c r="C30" s="1">
        <v>2022.046</v>
      </c>
      <c r="D30" s="1">
        <v>2125.718515342754</v>
      </c>
      <c r="E30" s="1" t="s">
        <v>135</v>
      </c>
      <c r="F30" s="1">
        <v>1</v>
      </c>
    </row>
    <row r="31" spans="1:6" x14ac:dyDescent="0.35">
      <c r="A31" s="1">
        <v>2030</v>
      </c>
      <c r="B31" s="1">
        <v>1972.121506377242</v>
      </c>
      <c r="C31" s="1">
        <v>1972.121506377242</v>
      </c>
      <c r="D31" s="1">
        <v>2073.234338195939</v>
      </c>
      <c r="E31" s="1" t="s">
        <v>135</v>
      </c>
      <c r="F31" s="1">
        <v>1</v>
      </c>
    </row>
    <row r="32" spans="1:6" x14ac:dyDescent="0.35">
      <c r="A32" s="1">
        <v>2031</v>
      </c>
      <c r="B32" s="1">
        <v>2274.1593579387982</v>
      </c>
      <c r="C32" s="1">
        <v>3706.275549061842</v>
      </c>
      <c r="D32" s="1">
        <v>5987.2654309727659</v>
      </c>
      <c r="E32" s="1" t="s">
        <v>135</v>
      </c>
      <c r="F32" s="1">
        <v>1</v>
      </c>
    </row>
    <row r="33" spans="1:6" x14ac:dyDescent="0.35">
      <c r="A33" s="1">
        <v>2032</v>
      </c>
      <c r="B33" s="1">
        <v>1573.957216741547</v>
      </c>
      <c r="C33" s="1">
        <v>2829.0947805739861</v>
      </c>
      <c r="D33" s="1">
        <v>4901.5437720868258</v>
      </c>
      <c r="E33" s="1" t="s">
        <v>135</v>
      </c>
      <c r="F33" s="1">
        <v>1</v>
      </c>
    </row>
    <row r="34" spans="1:6" x14ac:dyDescent="0.35">
      <c r="A34" s="1">
        <v>2033</v>
      </c>
      <c r="B34" s="1">
        <v>1613.802133383653</v>
      </c>
      <c r="C34" s="1">
        <v>2759.2441815614288</v>
      </c>
      <c r="D34" s="1">
        <v>4780.5242251570226</v>
      </c>
      <c r="E34" s="1" t="s">
        <v>135</v>
      </c>
      <c r="F34" s="1">
        <v>1</v>
      </c>
    </row>
    <row r="35" spans="1:6" x14ac:dyDescent="0.35">
      <c r="A35" s="1">
        <v>2034</v>
      </c>
      <c r="B35" s="1">
        <v>1654.6557288928409</v>
      </c>
      <c r="C35" s="1">
        <v>2691.1181999833661</v>
      </c>
      <c r="D35" s="1">
        <v>4662.4926614872093</v>
      </c>
      <c r="E35" s="1" t="s">
        <v>135</v>
      </c>
      <c r="F35" s="1">
        <v>1</v>
      </c>
    </row>
    <row r="36" spans="1:6" x14ac:dyDescent="0.35">
      <c r="A36" s="1">
        <v>2035</v>
      </c>
      <c r="B36" s="1">
        <v>1696.5435380962001</v>
      </c>
      <c r="C36" s="1">
        <v>2759.2441815614288</v>
      </c>
      <c r="D36" s="1">
        <v>4547.3753075078366</v>
      </c>
      <c r="E36" s="1" t="s">
        <v>135</v>
      </c>
      <c r="F36" s="1">
        <v>1</v>
      </c>
    </row>
    <row r="37" spans="1:6" x14ac:dyDescent="0.35">
      <c r="A37" s="1">
        <v>2036</v>
      </c>
      <c r="B37" s="1">
        <v>1654.6557288928409</v>
      </c>
      <c r="C37" s="1">
        <v>2829.0947805739861</v>
      </c>
      <c r="D37" s="1">
        <v>4662.4926614872093</v>
      </c>
      <c r="E37" s="1" t="s">
        <v>135</v>
      </c>
      <c r="F37" s="1">
        <v>1</v>
      </c>
    </row>
    <row r="38" spans="1:6" x14ac:dyDescent="0.35">
      <c r="A38" s="1">
        <v>2037</v>
      </c>
      <c r="B38" s="1">
        <v>1696.5435380962001</v>
      </c>
      <c r="C38" s="1">
        <v>2759.2441815614288</v>
      </c>
      <c r="D38" s="1">
        <v>4780.5242251570226</v>
      </c>
      <c r="E38" s="1" t="s">
        <v>135</v>
      </c>
      <c r="F38" s="1">
        <v>1</v>
      </c>
    </row>
    <row r="39" spans="1:6" x14ac:dyDescent="0.35">
      <c r="A39" s="1">
        <v>2038</v>
      </c>
      <c r="B39" s="1">
        <v>1654.6557288928409</v>
      </c>
      <c r="C39" s="1">
        <v>2829.0947805739861</v>
      </c>
      <c r="D39" s="1">
        <v>4901.5437720868258</v>
      </c>
      <c r="E39" s="1" t="s">
        <v>135</v>
      </c>
      <c r="F39" s="1">
        <v>1</v>
      </c>
    </row>
    <row r="40" spans="1:6" x14ac:dyDescent="0.35">
      <c r="A40" s="1">
        <v>2039</v>
      </c>
      <c r="B40" s="1">
        <v>1696.5435380962001</v>
      </c>
      <c r="C40" s="1">
        <v>2759.2441815614288</v>
      </c>
      <c r="D40" s="1">
        <v>4780.5242251570226</v>
      </c>
      <c r="E40" s="1" t="s">
        <v>135</v>
      </c>
      <c r="F40" s="1">
        <v>1</v>
      </c>
    </row>
    <row r="41" spans="1:6" x14ac:dyDescent="0.35">
      <c r="A41" s="1">
        <v>2040</v>
      </c>
      <c r="B41" s="1">
        <v>1712.090390783655</v>
      </c>
      <c r="C41" s="1">
        <v>2829.0947805739861</v>
      </c>
      <c r="D41" s="1">
        <v>4662.4926614872093</v>
      </c>
      <c r="E41" s="1" t="s">
        <v>135</v>
      </c>
      <c r="F41" s="1">
        <v>1</v>
      </c>
    </row>
    <row r="42" spans="1:6" x14ac:dyDescent="0.35">
      <c r="A42" s="1">
        <v>2041</v>
      </c>
      <c r="B42" s="1">
        <v>1729.180306879063</v>
      </c>
      <c r="C42" s="1">
        <v>2759.2441815614288</v>
      </c>
      <c r="D42" s="1">
        <v>4780.5242251570226</v>
      </c>
      <c r="E42" s="1" t="s">
        <v>135</v>
      </c>
      <c r="F42" s="1">
        <v>1</v>
      </c>
    </row>
    <row r="43" spans="1:6" x14ac:dyDescent="0.35">
      <c r="A43" s="1">
        <v>2042</v>
      </c>
      <c r="B43" s="1">
        <v>1772.954714756175</v>
      </c>
      <c r="C43" s="1">
        <v>2691.1181999833661</v>
      </c>
      <c r="D43" s="1">
        <v>4901.5437720868258</v>
      </c>
      <c r="E43" s="1" t="s">
        <v>135</v>
      </c>
      <c r="F43" s="1">
        <v>1</v>
      </c>
    </row>
    <row r="44" spans="1:6" x14ac:dyDescent="0.35">
      <c r="A44" s="1">
        <v>2043</v>
      </c>
      <c r="B44" s="1">
        <v>1729.180306879063</v>
      </c>
      <c r="C44" s="1">
        <v>2624.674254883621</v>
      </c>
      <c r="D44" s="1">
        <v>4780.5242251570226</v>
      </c>
      <c r="E44" s="1" t="s">
        <v>135</v>
      </c>
      <c r="F44" s="1">
        <v>1</v>
      </c>
    </row>
    <row r="45" spans="1:6" x14ac:dyDescent="0.35">
      <c r="A45" s="1">
        <v>2044</v>
      </c>
      <c r="B45" s="1">
        <v>1686.486692983344</v>
      </c>
      <c r="C45" s="1">
        <v>2691.1181999833661</v>
      </c>
      <c r="D45" s="1">
        <v>4901.5437720868258</v>
      </c>
      <c r="E45" s="1" t="s">
        <v>135</v>
      </c>
      <c r="F45" s="1">
        <v>1</v>
      </c>
    </row>
    <row r="46" spans="1:6" x14ac:dyDescent="0.35">
      <c r="A46" s="1">
        <v>2045</v>
      </c>
      <c r="B46" s="1">
        <v>1644.8471881705391</v>
      </c>
      <c r="C46" s="1">
        <v>2624.674254883621</v>
      </c>
      <c r="D46" s="1">
        <v>5025.6269434329679</v>
      </c>
      <c r="E46" s="1" t="s">
        <v>135</v>
      </c>
      <c r="F46" s="1">
        <v>1</v>
      </c>
    </row>
    <row r="47" spans="1:6" x14ac:dyDescent="0.35">
      <c r="A47" s="1">
        <v>2046</v>
      </c>
      <c r="B47" s="1">
        <v>1604.235766394658</v>
      </c>
      <c r="C47" s="1">
        <v>2691.1181999833661</v>
      </c>
      <c r="D47" s="1">
        <v>4901.5437720868258</v>
      </c>
      <c r="E47" s="1" t="s">
        <v>135</v>
      </c>
      <c r="F47" s="1">
        <v>1</v>
      </c>
    </row>
    <row r="48" spans="1:6" x14ac:dyDescent="0.35">
      <c r="A48" s="1">
        <v>2047</v>
      </c>
      <c r="B48" s="1">
        <v>1644.8471881705379</v>
      </c>
      <c r="C48" s="1">
        <v>2624.674254883621</v>
      </c>
      <c r="D48" s="1">
        <v>4780.5242251570226</v>
      </c>
      <c r="E48" s="1" t="s">
        <v>135</v>
      </c>
      <c r="F48" s="1">
        <v>1</v>
      </c>
    </row>
    <row r="49" spans="1:6" x14ac:dyDescent="0.35">
      <c r="A49" s="1">
        <v>2048</v>
      </c>
      <c r="B49" s="1">
        <v>1604.235766394658</v>
      </c>
      <c r="C49" s="1">
        <v>2559.8708166335741</v>
      </c>
      <c r="D49" s="1">
        <v>4662.4926614872093</v>
      </c>
      <c r="E49" s="1" t="s">
        <v>135</v>
      </c>
      <c r="F49" s="1">
        <v>1</v>
      </c>
    </row>
    <row r="50" spans="1:6" x14ac:dyDescent="0.35">
      <c r="A50" s="1">
        <v>2049</v>
      </c>
      <c r="B50" s="1">
        <v>1564.627044195079</v>
      </c>
      <c r="C50" s="1">
        <v>2496.6673809747872</v>
      </c>
      <c r="D50" s="1">
        <v>4547.3753075078366</v>
      </c>
      <c r="E50" s="1" t="s">
        <v>135</v>
      </c>
      <c r="F50" s="1">
        <v>1</v>
      </c>
    </row>
    <row r="51" spans="1:6" x14ac:dyDescent="0.35">
      <c r="A51" s="1">
        <v>2050</v>
      </c>
      <c r="B51" s="1">
        <v>1525.996264831052</v>
      </c>
      <c r="C51" s="1">
        <v>2559.8708166335741</v>
      </c>
      <c r="D51" s="1">
        <v>4662.4926614872093</v>
      </c>
      <c r="E51" s="1" t="s">
        <v>135</v>
      </c>
      <c r="F51" s="1">
        <v>1</v>
      </c>
    </row>
    <row r="52" spans="1:6" x14ac:dyDescent="0.35">
      <c r="A52" s="1">
        <v>2026</v>
      </c>
      <c r="B52" s="1">
        <v>1972.121506377242</v>
      </c>
      <c r="C52" s="1">
        <v>1972.121506377242</v>
      </c>
      <c r="D52" s="1">
        <v>2073.234338195939</v>
      </c>
      <c r="E52" s="1" t="s">
        <v>136</v>
      </c>
      <c r="F52" s="1">
        <v>1</v>
      </c>
    </row>
    <row r="53" spans="1:6" x14ac:dyDescent="0.35">
      <c r="A53" s="1">
        <v>2027</v>
      </c>
      <c r="B53" s="1">
        <v>1923.429652893971</v>
      </c>
      <c r="C53" s="1">
        <v>2022.046</v>
      </c>
      <c r="D53" s="1">
        <v>2125.718515342754</v>
      </c>
      <c r="E53" s="1" t="s">
        <v>136</v>
      </c>
      <c r="F53" s="1">
        <v>1</v>
      </c>
    </row>
    <row r="54" spans="1:6" x14ac:dyDescent="0.35">
      <c r="A54" s="1">
        <v>2028</v>
      </c>
      <c r="B54" s="1">
        <v>1875.940005556705</v>
      </c>
      <c r="C54" s="1">
        <v>2072.2852119848872</v>
      </c>
      <c r="D54" s="1">
        <v>2073.234338195939</v>
      </c>
      <c r="E54" s="1" t="s">
        <v>136</v>
      </c>
      <c r="F54" s="1">
        <v>1</v>
      </c>
    </row>
    <row r="55" spans="1:6" x14ac:dyDescent="0.35">
      <c r="A55" s="1">
        <v>2029</v>
      </c>
      <c r="B55" s="1">
        <v>1923.429652893971</v>
      </c>
      <c r="C55" s="1">
        <v>2021.120307798594</v>
      </c>
      <c r="D55" s="1">
        <v>2125.718515342754</v>
      </c>
      <c r="E55" s="1" t="s">
        <v>136</v>
      </c>
      <c r="F55" s="1">
        <v>1</v>
      </c>
    </row>
    <row r="56" spans="1:6" x14ac:dyDescent="0.35">
      <c r="A56" s="1">
        <v>2030</v>
      </c>
      <c r="B56" s="1">
        <v>1875.940005556705</v>
      </c>
      <c r="C56" s="1">
        <v>2072.2852119848872</v>
      </c>
      <c r="D56" s="1">
        <v>2179.5313357596651</v>
      </c>
      <c r="E56" s="1" t="s">
        <v>136</v>
      </c>
      <c r="F56" s="1">
        <v>1</v>
      </c>
    </row>
    <row r="57" spans="1:6" x14ac:dyDescent="0.35">
      <c r="A57" s="1">
        <v>2031</v>
      </c>
      <c r="B57" s="1">
        <v>1829.62288178994</v>
      </c>
      <c r="C57" s="1">
        <v>2021.120307798594</v>
      </c>
      <c r="D57" s="1">
        <v>2125.7185153427531</v>
      </c>
      <c r="E57" s="1" t="s">
        <v>136</v>
      </c>
      <c r="F57" s="1">
        <v>1</v>
      </c>
    </row>
    <row r="58" spans="1:6" x14ac:dyDescent="0.35">
      <c r="A58" s="1">
        <v>2032</v>
      </c>
      <c r="B58" s="1">
        <v>1867.5841106640039</v>
      </c>
      <c r="C58" s="1">
        <v>1971.2186695977241</v>
      </c>
      <c r="D58" s="1">
        <v>2073.234338195939</v>
      </c>
      <c r="E58" s="1" t="s">
        <v>136</v>
      </c>
      <c r="F58" s="1">
        <v>1</v>
      </c>
    </row>
    <row r="59" spans="1:6" x14ac:dyDescent="0.35">
      <c r="A59" s="1">
        <v>2033</v>
      </c>
      <c r="B59" s="1">
        <v>1821.473294677221</v>
      </c>
      <c r="C59" s="1">
        <v>2021.120307798594</v>
      </c>
      <c r="D59" s="1">
        <v>2022.0459999999989</v>
      </c>
      <c r="E59" s="1" t="s">
        <v>136</v>
      </c>
      <c r="F59" s="1">
        <v>1</v>
      </c>
    </row>
    <row r="60" spans="1:6" x14ac:dyDescent="0.35">
      <c r="A60" s="1">
        <v>2034</v>
      </c>
      <c r="B60" s="1">
        <v>1776.5009587935981</v>
      </c>
      <c r="C60" s="1">
        <v>1971.218669597723</v>
      </c>
      <c r="D60" s="1">
        <v>1972.1215063772411</v>
      </c>
      <c r="E60" s="1" t="s">
        <v>136</v>
      </c>
      <c r="F60" s="1">
        <v>1</v>
      </c>
    </row>
    <row r="61" spans="1:6" x14ac:dyDescent="0.35">
      <c r="A61" s="1">
        <v>2035</v>
      </c>
      <c r="B61" s="1">
        <v>1821.473294677221</v>
      </c>
      <c r="C61" s="1">
        <v>1922.549107233963</v>
      </c>
      <c r="D61" s="1">
        <v>2022.0459999999989</v>
      </c>
      <c r="E61" s="1" t="s">
        <v>136</v>
      </c>
      <c r="F61" s="1">
        <v>1</v>
      </c>
    </row>
    <row r="62" spans="1:6" x14ac:dyDescent="0.35">
      <c r="A62" s="1">
        <v>2036</v>
      </c>
      <c r="B62" s="1">
        <v>1776.5009587935981</v>
      </c>
      <c r="C62" s="1">
        <v>1899.1897844046689</v>
      </c>
      <c r="D62" s="1">
        <v>2073.234338195939</v>
      </c>
      <c r="E62" s="1" t="s">
        <v>136</v>
      </c>
      <c r="F62" s="1">
        <v>1</v>
      </c>
    </row>
    <row r="63" spans="1:6" x14ac:dyDescent="0.35">
      <c r="A63" s="1">
        <v>2037</v>
      </c>
      <c r="B63" s="1">
        <v>1732.6389938392331</v>
      </c>
      <c r="C63" s="1">
        <v>1947.2680026956371</v>
      </c>
      <c r="D63" s="1">
        <v>2022.0459999999989</v>
      </c>
      <c r="E63" s="1" t="s">
        <v>136</v>
      </c>
      <c r="F63" s="1">
        <v>1</v>
      </c>
    </row>
    <row r="64" spans="1:6" x14ac:dyDescent="0.35">
      <c r="A64" s="1">
        <v>2038</v>
      </c>
      <c r="B64" s="1">
        <v>2020.3353801091989</v>
      </c>
      <c r="C64" s="1">
        <v>3740.9207736702979</v>
      </c>
      <c r="D64" s="1">
        <v>5845.9725871056226</v>
      </c>
      <c r="E64" s="1" t="s">
        <v>136</v>
      </c>
      <c r="F64" s="1">
        <v>1</v>
      </c>
    </row>
    <row r="65" spans="1:6" x14ac:dyDescent="0.35">
      <c r="A65" s="1">
        <v>2039</v>
      </c>
      <c r="B65" s="1">
        <v>1548.9868218552531</v>
      </c>
      <c r="C65" s="1">
        <v>2763.814628481668</v>
      </c>
      <c r="D65" s="1">
        <v>5025.4644144354388</v>
      </c>
      <c r="E65" s="1" t="s">
        <v>136</v>
      </c>
      <c r="F65" s="1">
        <v>1</v>
      </c>
    </row>
    <row r="66" spans="1:6" x14ac:dyDescent="0.35">
      <c r="A66" s="1">
        <v>2040</v>
      </c>
      <c r="B66" s="1">
        <v>1588.1996099412711</v>
      </c>
      <c r="C66" s="1">
        <v>2695.575802167074</v>
      </c>
      <c r="D66" s="1">
        <v>4901.385255944544</v>
      </c>
      <c r="E66" s="1" t="s">
        <v>136</v>
      </c>
      <c r="F66" s="1">
        <v>1</v>
      </c>
    </row>
    <row r="67" spans="1:6" x14ac:dyDescent="0.35">
      <c r="A67" s="1">
        <v>2041</v>
      </c>
      <c r="B67" s="1">
        <v>1603.0424593790781</v>
      </c>
      <c r="C67" s="1">
        <v>2650.41939169541</v>
      </c>
      <c r="D67" s="1">
        <v>4780.3696227922401</v>
      </c>
      <c r="E67" s="1" t="s">
        <v>136</v>
      </c>
      <c r="F67" s="1">
        <v>1</v>
      </c>
    </row>
    <row r="68" spans="1:6" x14ac:dyDescent="0.35">
      <c r="A68" s="1">
        <v>2042</v>
      </c>
      <c r="B68" s="1">
        <v>1643.6236724440371</v>
      </c>
      <c r="C68" s="1">
        <v>2717.5150780364629</v>
      </c>
      <c r="D68" s="1">
        <v>4662.3418762684132</v>
      </c>
      <c r="E68" s="1" t="s">
        <v>136</v>
      </c>
      <c r="F68" s="1">
        <v>1</v>
      </c>
    </row>
    <row r="69" spans="1:6" x14ac:dyDescent="0.35">
      <c r="A69" s="1">
        <v>2043</v>
      </c>
      <c r="B69" s="1">
        <v>1685.2322038087621</v>
      </c>
      <c r="C69" s="1">
        <v>2786.3092997639092</v>
      </c>
      <c r="D69" s="1">
        <v>4780.3696227922401</v>
      </c>
      <c r="E69" s="1" t="s">
        <v>136</v>
      </c>
      <c r="F69" s="1">
        <v>1</v>
      </c>
    </row>
    <row r="70" spans="1:6" x14ac:dyDescent="0.35">
      <c r="A70" s="1">
        <v>2044</v>
      </c>
      <c r="B70" s="1">
        <v>1643.6236724440371</v>
      </c>
      <c r="C70" s="1">
        <v>2717.5150780364629</v>
      </c>
      <c r="D70" s="1">
        <v>4662.3418762684132</v>
      </c>
      <c r="E70" s="1" t="s">
        <v>136</v>
      </c>
      <c r="F70" s="1">
        <v>1</v>
      </c>
    </row>
    <row r="71" spans="1:6" x14ac:dyDescent="0.35">
      <c r="A71" s="1">
        <v>2045</v>
      </c>
      <c r="B71" s="1">
        <v>1603.0424593790781</v>
      </c>
      <c r="C71" s="1">
        <v>2786.3092997639092</v>
      </c>
      <c r="D71" s="1">
        <v>4780.3696227922401</v>
      </c>
      <c r="E71" s="1" t="s">
        <v>136</v>
      </c>
      <c r="F71" s="1">
        <v>1</v>
      </c>
    </row>
    <row r="72" spans="1:6" x14ac:dyDescent="0.35">
      <c r="A72" s="1">
        <v>2046</v>
      </c>
      <c r="B72" s="1">
        <v>1563.463200034691</v>
      </c>
      <c r="C72" s="1">
        <v>2717.5150780364629</v>
      </c>
      <c r="D72" s="1">
        <v>4901.385255944544</v>
      </c>
      <c r="E72" s="1" t="s">
        <v>136</v>
      </c>
      <c r="F72" s="1">
        <v>1</v>
      </c>
    </row>
    <row r="73" spans="1:6" x14ac:dyDescent="0.35">
      <c r="A73" s="1">
        <v>2047</v>
      </c>
      <c r="B73" s="1">
        <v>1603.0424593790781</v>
      </c>
      <c r="C73" s="1">
        <v>2650.41939169541</v>
      </c>
      <c r="D73" s="1">
        <v>4780.3696227922401</v>
      </c>
      <c r="E73" s="1" t="s">
        <v>136</v>
      </c>
      <c r="F73" s="1">
        <v>1</v>
      </c>
    </row>
    <row r="74" spans="1:6" x14ac:dyDescent="0.35">
      <c r="A74" s="1">
        <v>2048</v>
      </c>
      <c r="B74" s="1">
        <v>1563.463200034691</v>
      </c>
      <c r="C74" s="1">
        <v>2717.5150780364629</v>
      </c>
      <c r="D74" s="1">
        <v>4662.3418762684132</v>
      </c>
      <c r="E74" s="1" t="s">
        <v>136</v>
      </c>
      <c r="F74" s="1">
        <v>1</v>
      </c>
    </row>
    <row r="75" spans="1:6" x14ac:dyDescent="0.35">
      <c r="A75" s="1">
        <v>2049</v>
      </c>
      <c r="B75" s="1">
        <v>1524.861156085369</v>
      </c>
      <c r="C75" s="1">
        <v>2650.41939169541</v>
      </c>
      <c r="D75" s="1">
        <v>4547.228245189357</v>
      </c>
      <c r="E75" s="1" t="s">
        <v>136</v>
      </c>
      <c r="F75" s="1">
        <v>1</v>
      </c>
    </row>
    <row r="76" spans="1:6" x14ac:dyDescent="0.35">
      <c r="A76" s="1">
        <v>2050</v>
      </c>
      <c r="B76" s="1">
        <v>1535.302499460023</v>
      </c>
      <c r="C76" s="1">
        <v>2584.9803037526372</v>
      </c>
      <c r="D76" s="1">
        <v>4662.3418762684123</v>
      </c>
      <c r="E76" s="1" t="s">
        <v>136</v>
      </c>
      <c r="F76" s="1">
        <v>1</v>
      </c>
    </row>
    <row r="77" spans="1:6" x14ac:dyDescent="0.35">
      <c r="A77" s="1">
        <v>2026</v>
      </c>
      <c r="B77" s="1">
        <v>1972.121506377242</v>
      </c>
      <c r="C77" s="1">
        <v>1972.121506377242</v>
      </c>
      <c r="D77" s="1">
        <v>2073.234338195939</v>
      </c>
      <c r="E77" s="1" t="s">
        <v>137</v>
      </c>
      <c r="F77" s="1">
        <v>1</v>
      </c>
    </row>
    <row r="78" spans="1:6" x14ac:dyDescent="0.35">
      <c r="A78" s="1">
        <v>2027</v>
      </c>
      <c r="B78" s="1">
        <v>1923.429652893971</v>
      </c>
      <c r="C78" s="1">
        <v>2022.046</v>
      </c>
      <c r="D78" s="1">
        <v>2125.718515342754</v>
      </c>
      <c r="E78" s="1" t="s">
        <v>137</v>
      </c>
      <c r="F78" s="1">
        <v>1</v>
      </c>
    </row>
    <row r="79" spans="1:6" x14ac:dyDescent="0.35">
      <c r="A79" s="1">
        <v>2028</v>
      </c>
      <c r="B79" s="1">
        <v>1972.121506377242</v>
      </c>
      <c r="C79" s="1">
        <v>2073.234338195939</v>
      </c>
      <c r="D79" s="1">
        <v>2073.234338195939</v>
      </c>
      <c r="E79" s="1" t="s">
        <v>137</v>
      </c>
      <c r="F79" s="1">
        <v>1</v>
      </c>
    </row>
    <row r="80" spans="1:6" x14ac:dyDescent="0.35">
      <c r="A80" s="1">
        <v>2029</v>
      </c>
      <c r="B80" s="1">
        <v>1923.429652893971</v>
      </c>
      <c r="C80" s="1">
        <v>2022.046</v>
      </c>
      <c r="D80" s="1">
        <v>2125.718515342754</v>
      </c>
      <c r="E80" s="1" t="s">
        <v>137</v>
      </c>
      <c r="F80" s="1">
        <v>1</v>
      </c>
    </row>
    <row r="81" spans="1:6" x14ac:dyDescent="0.35">
      <c r="A81" s="1">
        <v>2030</v>
      </c>
      <c r="B81" s="1">
        <v>1875.940005556705</v>
      </c>
      <c r="C81" s="1">
        <v>1972.121506377242</v>
      </c>
      <c r="D81" s="1">
        <v>2179.5313357596651</v>
      </c>
      <c r="E81" s="1" t="s">
        <v>137</v>
      </c>
      <c r="F81" s="1">
        <v>1</v>
      </c>
    </row>
    <row r="82" spans="1:6" x14ac:dyDescent="0.35">
      <c r="A82" s="1">
        <v>2031</v>
      </c>
      <c r="B82" s="1">
        <v>1829.62288178994</v>
      </c>
      <c r="C82" s="1">
        <v>1923.429652893971</v>
      </c>
      <c r="D82" s="1">
        <v>2234.7064342111898</v>
      </c>
      <c r="E82" s="1" t="s">
        <v>137</v>
      </c>
      <c r="F82" s="1">
        <v>1</v>
      </c>
    </row>
    <row r="83" spans="1:6" x14ac:dyDescent="0.35">
      <c r="A83" s="1">
        <v>2032</v>
      </c>
      <c r="B83" s="1">
        <v>1875.940005556705</v>
      </c>
      <c r="C83" s="1">
        <v>1972.121506377242</v>
      </c>
      <c r="D83" s="1">
        <v>2179.5313357596651</v>
      </c>
      <c r="E83" s="1" t="s">
        <v>137</v>
      </c>
      <c r="F83" s="1">
        <v>1</v>
      </c>
    </row>
    <row r="84" spans="1:6" x14ac:dyDescent="0.35">
      <c r="A84" s="1">
        <v>2033</v>
      </c>
      <c r="B84" s="1">
        <v>1829.62288178994</v>
      </c>
      <c r="C84" s="1">
        <v>2022.046</v>
      </c>
      <c r="D84" s="1">
        <v>2125.7185153427531</v>
      </c>
      <c r="E84" s="1" t="s">
        <v>137</v>
      </c>
      <c r="F84" s="1">
        <v>1</v>
      </c>
    </row>
    <row r="85" spans="1:6" x14ac:dyDescent="0.35">
      <c r="A85" s="1">
        <v>2034</v>
      </c>
      <c r="B85" s="1">
        <v>1784.44933188357</v>
      </c>
      <c r="C85" s="1">
        <v>1972.121506377242</v>
      </c>
      <c r="D85" s="1">
        <v>2179.5313357596642</v>
      </c>
      <c r="E85" s="1" t="s">
        <v>137</v>
      </c>
      <c r="F85" s="1">
        <v>1</v>
      </c>
    </row>
    <row r="86" spans="1:6" x14ac:dyDescent="0.35">
      <c r="A86" s="1">
        <v>2035</v>
      </c>
      <c r="B86" s="1">
        <v>1740.391120898382</v>
      </c>
      <c r="C86" s="1">
        <v>2022.046</v>
      </c>
      <c r="D86" s="1">
        <v>2125.7185153427522</v>
      </c>
      <c r="E86" s="1" t="s">
        <v>137</v>
      </c>
      <c r="F86" s="1">
        <v>1</v>
      </c>
    </row>
    <row r="87" spans="1:6" x14ac:dyDescent="0.35">
      <c r="A87" s="1">
        <v>2036</v>
      </c>
      <c r="B87" s="1">
        <v>1784.44933188357</v>
      </c>
      <c r="C87" s="1">
        <v>1972.121506377242</v>
      </c>
      <c r="D87" s="1">
        <v>2073.2343381959381</v>
      </c>
      <c r="E87" s="1" t="s">
        <v>137</v>
      </c>
      <c r="F87" s="1">
        <v>1</v>
      </c>
    </row>
    <row r="88" spans="1:6" x14ac:dyDescent="0.35">
      <c r="A88" s="1">
        <v>2037</v>
      </c>
      <c r="B88" s="1">
        <v>1829.6228817899389</v>
      </c>
      <c r="C88" s="1">
        <v>2022.046</v>
      </c>
      <c r="D88" s="1">
        <v>2125.7185153427522</v>
      </c>
      <c r="E88" s="1" t="s">
        <v>137</v>
      </c>
      <c r="F88" s="1">
        <v>1</v>
      </c>
    </row>
    <row r="89" spans="1:6" x14ac:dyDescent="0.35">
      <c r="A89" s="1">
        <v>2038</v>
      </c>
      <c r="B89" s="1">
        <v>1784.44933188357</v>
      </c>
      <c r="C89" s="1">
        <v>2073.234338195939</v>
      </c>
      <c r="D89" s="1">
        <v>2073.2343381959381</v>
      </c>
      <c r="E89" s="1" t="s">
        <v>137</v>
      </c>
      <c r="F89" s="1">
        <v>1</v>
      </c>
    </row>
    <row r="90" spans="1:6" x14ac:dyDescent="0.35">
      <c r="A90" s="1">
        <v>2039</v>
      </c>
      <c r="B90" s="1">
        <v>1740.391120898382</v>
      </c>
      <c r="C90" s="1">
        <v>2022.046</v>
      </c>
      <c r="D90" s="1">
        <v>2022.045999999998</v>
      </c>
      <c r="E90" s="1" t="s">
        <v>137</v>
      </c>
      <c r="F90" s="1">
        <v>1</v>
      </c>
    </row>
    <row r="91" spans="1:6" x14ac:dyDescent="0.35">
      <c r="A91" s="1">
        <v>2040</v>
      </c>
      <c r="B91" s="1">
        <v>1697.420711018292</v>
      </c>
      <c r="C91" s="1">
        <v>1972.121506377242</v>
      </c>
      <c r="D91" s="1">
        <v>2073.2343381959381</v>
      </c>
      <c r="E91" s="1" t="s">
        <v>137</v>
      </c>
      <c r="F91" s="1">
        <v>1</v>
      </c>
    </row>
    <row r="92" spans="1:6" x14ac:dyDescent="0.35">
      <c r="A92" s="1">
        <v>2041</v>
      </c>
      <c r="B92" s="1">
        <v>1655.51124433832</v>
      </c>
      <c r="C92" s="1">
        <v>1923.4296528939699</v>
      </c>
      <c r="D92" s="1">
        <v>2125.7185153427522</v>
      </c>
      <c r="E92" s="1" t="s">
        <v>137</v>
      </c>
      <c r="F92" s="1">
        <v>1</v>
      </c>
    </row>
    <row r="93" spans="1:6" x14ac:dyDescent="0.35">
      <c r="A93" s="1">
        <v>2042</v>
      </c>
      <c r="B93" s="1">
        <v>2281.6057013863292</v>
      </c>
      <c r="C93" s="1">
        <v>3529.659464208014</v>
      </c>
      <c r="D93" s="1">
        <v>5995.5652166896116</v>
      </c>
      <c r="E93" s="1" t="s">
        <v>137</v>
      </c>
      <c r="F93" s="1">
        <v>1</v>
      </c>
    </row>
    <row r="94" spans="1:6" x14ac:dyDescent="0.35">
      <c r="A94" s="1">
        <v>2043</v>
      </c>
      <c r="B94" s="1">
        <v>1702.095826661314</v>
      </c>
      <c r="C94" s="1">
        <v>2755.7206272088779</v>
      </c>
      <c r="D94" s="1">
        <v>4797.6943977298424</v>
      </c>
      <c r="E94" s="1" t="s">
        <v>137</v>
      </c>
      <c r="F94" s="1">
        <v>1</v>
      </c>
    </row>
    <row r="95" spans="1:6" x14ac:dyDescent="0.35">
      <c r="A95" s="1">
        <v>2044</v>
      </c>
      <c r="B95" s="1">
        <v>1707.7759894885919</v>
      </c>
      <c r="C95" s="1">
        <v>2825.4820270183259</v>
      </c>
      <c r="D95" s="1">
        <v>4679.2389009887156</v>
      </c>
      <c r="E95" s="1" t="s">
        <v>137</v>
      </c>
      <c r="F95" s="1">
        <v>1</v>
      </c>
    </row>
    <row r="96" spans="1:6" x14ac:dyDescent="0.35">
      <c r="A96" s="1">
        <v>2045</v>
      </c>
      <c r="B96" s="1">
        <v>1665.6108500722171</v>
      </c>
      <c r="C96" s="1">
        <v>2755.7206272088779</v>
      </c>
      <c r="D96" s="1">
        <v>4797.6943977298406</v>
      </c>
      <c r="E96" s="1" t="s">
        <v>137</v>
      </c>
      <c r="F96" s="1">
        <v>1</v>
      </c>
    </row>
    <row r="97" spans="1:6" x14ac:dyDescent="0.35">
      <c r="A97" s="1">
        <v>2046</v>
      </c>
      <c r="B97" s="1">
        <v>1707.7759894885919</v>
      </c>
      <c r="C97" s="1">
        <v>2687.6816424977528</v>
      </c>
      <c r="D97" s="1">
        <v>4679.2389009887147</v>
      </c>
      <c r="E97" s="1" t="s">
        <v>137</v>
      </c>
      <c r="F97" s="1">
        <v>1</v>
      </c>
    </row>
    <row r="98" spans="1:6" x14ac:dyDescent="0.35">
      <c r="A98" s="1">
        <v>2047</v>
      </c>
      <c r="B98" s="1">
        <v>1665.6108500722171</v>
      </c>
      <c r="C98" s="1">
        <v>2621.3225463046479</v>
      </c>
      <c r="D98" s="1">
        <v>4797.6943977298397</v>
      </c>
      <c r="E98" s="1" t="s">
        <v>137</v>
      </c>
      <c r="F98" s="1">
        <v>1</v>
      </c>
    </row>
    <row r="99" spans="1:6" x14ac:dyDescent="0.35">
      <c r="A99" s="1">
        <v>2048</v>
      </c>
      <c r="B99" s="1">
        <v>1624.486771657371</v>
      </c>
      <c r="C99" s="1">
        <v>2687.6816424977528</v>
      </c>
      <c r="D99" s="1">
        <v>4919.1486096477474</v>
      </c>
      <c r="E99" s="1" t="s">
        <v>137</v>
      </c>
      <c r="F99" s="1">
        <v>1</v>
      </c>
    </row>
    <row r="100" spans="1:6" x14ac:dyDescent="0.35">
      <c r="A100" s="1">
        <v>2049</v>
      </c>
      <c r="B100" s="1">
        <v>1584.3780503563401</v>
      </c>
      <c r="C100" s="1">
        <v>2755.7206272088779</v>
      </c>
      <c r="D100" s="1">
        <v>5043.6774495785567</v>
      </c>
      <c r="E100" s="1" t="s">
        <v>137</v>
      </c>
      <c r="F100" s="1">
        <v>1</v>
      </c>
    </row>
    <row r="101" spans="1:6" x14ac:dyDescent="0.35">
      <c r="A101" s="1">
        <v>2050</v>
      </c>
      <c r="B101" s="1">
        <v>1545.259616912663</v>
      </c>
      <c r="C101" s="1">
        <v>2825.4820270183259</v>
      </c>
      <c r="D101" s="1">
        <v>4919.1486096477474</v>
      </c>
      <c r="E101" s="1" t="s">
        <v>137</v>
      </c>
      <c r="F101" s="1">
        <v>1</v>
      </c>
    </row>
    <row r="102" spans="1:6" x14ac:dyDescent="0.35">
      <c r="A102" s="1">
        <v>2026</v>
      </c>
      <c r="B102" s="1">
        <v>1992.650901192605</v>
      </c>
      <c r="C102" s="1">
        <v>1972.121506377242</v>
      </c>
      <c r="D102" s="1">
        <v>2073.234338195939</v>
      </c>
      <c r="E102" s="1" t="s">
        <v>138</v>
      </c>
      <c r="F102" s="1">
        <v>1</v>
      </c>
    </row>
    <row r="103" spans="1:6" x14ac:dyDescent="0.35">
      <c r="A103" s="1">
        <v>2027</v>
      </c>
      <c r="B103" s="1">
        <v>1943.4521751453369</v>
      </c>
      <c r="C103" s="1">
        <v>1991.5797344693381</v>
      </c>
      <c r="D103" s="1">
        <v>2125.718515342754</v>
      </c>
      <c r="E103" s="1" t="s">
        <v>138</v>
      </c>
      <c r="F103" s="1">
        <v>1</v>
      </c>
    </row>
    <row r="104" spans="1:6" x14ac:dyDescent="0.35">
      <c r="A104" s="1">
        <v>2028</v>
      </c>
      <c r="B104" s="1">
        <v>1895.4681699722701</v>
      </c>
      <c r="C104" s="1">
        <v>1942.4074556226999</v>
      </c>
      <c r="D104" s="1">
        <v>2073.234338195939</v>
      </c>
      <c r="E104" s="1" t="s">
        <v>138</v>
      </c>
      <c r="F104" s="1">
        <v>1</v>
      </c>
    </row>
    <row r="105" spans="1:6" x14ac:dyDescent="0.35">
      <c r="A105" s="1">
        <v>2029</v>
      </c>
      <c r="B105" s="1">
        <v>1848.66889410816</v>
      </c>
      <c r="C105" s="1">
        <v>1991.5797344693381</v>
      </c>
      <c r="D105" s="1">
        <v>2022.046</v>
      </c>
      <c r="E105" s="1" t="s">
        <v>138</v>
      </c>
      <c r="F105" s="1">
        <v>1</v>
      </c>
    </row>
    <row r="106" spans="1:6" x14ac:dyDescent="0.35">
      <c r="A106" s="1">
        <v>2030</v>
      </c>
      <c r="B106" s="1">
        <v>1803.0250964821439</v>
      </c>
      <c r="C106" s="1">
        <v>1942.4074556226999</v>
      </c>
      <c r="D106" s="1">
        <v>2073.234338195939</v>
      </c>
      <c r="E106" s="1" t="s">
        <v>138</v>
      </c>
      <c r="F106" s="1">
        <v>1</v>
      </c>
    </row>
    <row r="107" spans="1:6" x14ac:dyDescent="0.35">
      <c r="A107" s="1">
        <v>2031</v>
      </c>
      <c r="B107" s="1">
        <v>1758.508248234876</v>
      </c>
      <c r="C107" s="1">
        <v>1991.5797344693381</v>
      </c>
      <c r="D107" s="1">
        <v>2059.0707347970292</v>
      </c>
      <c r="E107" s="1" t="s">
        <v>138</v>
      </c>
      <c r="F107" s="1">
        <v>1</v>
      </c>
    </row>
    <row r="108" spans="1:6" x14ac:dyDescent="0.35">
      <c r="A108" s="1">
        <v>2032</v>
      </c>
      <c r="B108" s="1">
        <v>1803.0250964821439</v>
      </c>
      <c r="C108" s="1">
        <v>1942.4074556226999</v>
      </c>
      <c r="D108" s="1">
        <v>2111.1963586167399</v>
      </c>
      <c r="E108" s="1" t="s">
        <v>138</v>
      </c>
      <c r="F108" s="1">
        <v>1</v>
      </c>
    </row>
    <row r="109" spans="1:6" x14ac:dyDescent="0.35">
      <c r="A109" s="1">
        <v>2033</v>
      </c>
      <c r="B109" s="1">
        <v>1758.508248234876</v>
      </c>
      <c r="C109" s="1">
        <v>1894.4492446665531</v>
      </c>
      <c r="D109" s="1">
        <v>2059.0707347970292</v>
      </c>
      <c r="E109" s="1" t="s">
        <v>138</v>
      </c>
      <c r="F109" s="1">
        <v>1</v>
      </c>
    </row>
    <row r="110" spans="1:6" x14ac:dyDescent="0.35">
      <c r="A110" s="1">
        <v>2034</v>
      </c>
      <c r="B110" s="1">
        <v>1803.0250964821439</v>
      </c>
      <c r="C110" s="1">
        <v>1942.4074556226999</v>
      </c>
      <c r="D110" s="1">
        <v>2111.1963586167399</v>
      </c>
      <c r="E110" s="1" t="s">
        <v>138</v>
      </c>
      <c r="F110" s="1">
        <v>1</v>
      </c>
    </row>
    <row r="111" spans="1:6" x14ac:dyDescent="0.35">
      <c r="A111" s="1">
        <v>2035</v>
      </c>
      <c r="B111" s="1">
        <v>1758.508248234876</v>
      </c>
      <c r="C111" s="1">
        <v>1991.5797344693381</v>
      </c>
      <c r="D111" s="1">
        <v>2164.6415488858579</v>
      </c>
      <c r="E111" s="1" t="s">
        <v>138</v>
      </c>
      <c r="F111" s="1">
        <v>1</v>
      </c>
    </row>
    <row r="112" spans="1:6" x14ac:dyDescent="0.35">
      <c r="A112" s="1">
        <v>2036</v>
      </c>
      <c r="B112" s="1">
        <v>1715.090524887054</v>
      </c>
      <c r="C112" s="1">
        <v>2041.9968154814389</v>
      </c>
      <c r="D112" s="1">
        <v>2111.1963586167399</v>
      </c>
      <c r="E112" s="1" t="s">
        <v>138</v>
      </c>
      <c r="F112" s="1">
        <v>1</v>
      </c>
    </row>
    <row r="113" spans="1:6" x14ac:dyDescent="0.35">
      <c r="A113" s="1">
        <v>2037</v>
      </c>
      <c r="B113" s="1">
        <v>1672.7447889482189</v>
      </c>
      <c r="C113" s="1">
        <v>1991.5797344693381</v>
      </c>
      <c r="D113" s="1">
        <v>2164.6415488858579</v>
      </c>
      <c r="E113" s="1" t="s">
        <v>138</v>
      </c>
      <c r="F113" s="1">
        <v>1</v>
      </c>
    </row>
    <row r="114" spans="1:6" x14ac:dyDescent="0.35">
      <c r="A114" s="1">
        <v>2038</v>
      </c>
      <c r="B114" s="1">
        <v>1715.090524887054</v>
      </c>
      <c r="C114" s="1">
        <v>2041.9968154814389</v>
      </c>
      <c r="D114" s="1">
        <v>2219.4397105880898</v>
      </c>
      <c r="E114" s="1" t="s">
        <v>138</v>
      </c>
      <c r="F114" s="1">
        <v>1</v>
      </c>
    </row>
    <row r="115" spans="1:6" x14ac:dyDescent="0.35">
      <c r="A115" s="1">
        <v>2039</v>
      </c>
      <c r="B115" s="1">
        <v>1758.508248234876</v>
      </c>
      <c r="C115" s="1">
        <v>1991.5797344693381</v>
      </c>
      <c r="D115" s="1">
        <v>2275.6250943583309</v>
      </c>
      <c r="E115" s="1" t="s">
        <v>138</v>
      </c>
      <c r="F115" s="1">
        <v>1</v>
      </c>
    </row>
    <row r="116" spans="1:6" x14ac:dyDescent="0.35">
      <c r="A116" s="1">
        <v>2040</v>
      </c>
      <c r="B116" s="1">
        <v>1715.090524887054</v>
      </c>
      <c r="C116" s="1">
        <v>2041.9968154814389</v>
      </c>
      <c r="D116" s="1">
        <v>2276.8997804560158</v>
      </c>
      <c r="E116" s="1" t="s">
        <v>138</v>
      </c>
      <c r="F116" s="1">
        <v>1</v>
      </c>
    </row>
    <row r="117" spans="1:6" x14ac:dyDescent="0.35">
      <c r="A117" s="1">
        <v>2041</v>
      </c>
      <c r="B117" s="1">
        <v>1758.508248234876</v>
      </c>
      <c r="C117" s="1">
        <v>1991.5797344693381</v>
      </c>
      <c r="D117" s="1">
        <v>2334.5397728203061</v>
      </c>
      <c r="E117" s="1" t="s">
        <v>138</v>
      </c>
      <c r="F117" s="1">
        <v>1</v>
      </c>
    </row>
    <row r="118" spans="1:6" x14ac:dyDescent="0.35">
      <c r="A118" s="1">
        <v>2042</v>
      </c>
      <c r="B118" s="1">
        <v>1715.090524887054</v>
      </c>
      <c r="C118" s="1">
        <v>1942.4074556226999</v>
      </c>
      <c r="D118" s="1">
        <v>2276.8997804560158</v>
      </c>
      <c r="E118" s="1" t="s">
        <v>138</v>
      </c>
      <c r="F118" s="1">
        <v>1</v>
      </c>
    </row>
    <row r="119" spans="1:6" x14ac:dyDescent="0.35">
      <c r="A119" s="1">
        <v>2043</v>
      </c>
      <c r="B119" s="1">
        <v>1672.7447889482189</v>
      </c>
      <c r="C119" s="1">
        <v>1894.4492446665531</v>
      </c>
      <c r="D119" s="1">
        <v>2220.6829245738868</v>
      </c>
      <c r="E119" s="1" t="s">
        <v>138</v>
      </c>
      <c r="F119" s="1">
        <v>1</v>
      </c>
    </row>
    <row r="120" spans="1:6" x14ac:dyDescent="0.35">
      <c r="A120" s="1">
        <v>2044</v>
      </c>
      <c r="B120" s="1">
        <v>1631.4445729549391</v>
      </c>
      <c r="C120" s="1">
        <v>1942.4074556226999</v>
      </c>
      <c r="D120" s="1">
        <v>2165.854067808978</v>
      </c>
      <c r="E120" s="1" t="s">
        <v>138</v>
      </c>
      <c r="F120" s="1">
        <v>1</v>
      </c>
    </row>
    <row r="121" spans="1:6" x14ac:dyDescent="0.35">
      <c r="A121" s="1">
        <v>2045</v>
      </c>
      <c r="B121" s="1">
        <v>1672.7447889482189</v>
      </c>
      <c r="C121" s="1">
        <v>1894.4492446665531</v>
      </c>
      <c r="D121" s="1">
        <v>2112.378940340981</v>
      </c>
      <c r="E121" s="1" t="s">
        <v>138</v>
      </c>
      <c r="F121" s="1">
        <v>1</v>
      </c>
    </row>
    <row r="122" spans="1:6" x14ac:dyDescent="0.35">
      <c r="A122" s="1">
        <v>2046</v>
      </c>
      <c r="B122" s="1">
        <v>1631.4445729549391</v>
      </c>
      <c r="C122" s="1">
        <v>1847.675126157877</v>
      </c>
      <c r="D122" s="1">
        <v>2060.2241184744648</v>
      </c>
      <c r="E122" s="1" t="s">
        <v>138</v>
      </c>
      <c r="F122" s="1">
        <v>1</v>
      </c>
    </row>
    <row r="123" spans="1:6" x14ac:dyDescent="0.35">
      <c r="A123" s="1">
        <v>2047</v>
      </c>
      <c r="B123" s="1">
        <v>2020.499079884682</v>
      </c>
      <c r="C123" s="1">
        <v>3525.3059300501891</v>
      </c>
      <c r="D123" s="1">
        <v>6457.4915965438713</v>
      </c>
      <c r="E123" s="1" t="s">
        <v>138</v>
      </c>
      <c r="F123" s="1">
        <v>1</v>
      </c>
    </row>
    <row r="124" spans="1:6" x14ac:dyDescent="0.35">
      <c r="A124" s="1">
        <v>2048</v>
      </c>
      <c r="B124" s="1">
        <v>1538.6984098694461</v>
      </c>
      <c r="C124" s="1">
        <v>2584.4214306611029</v>
      </c>
      <c r="D124" s="1">
        <v>4725.3522007475358</v>
      </c>
      <c r="E124" s="1" t="s">
        <v>138</v>
      </c>
      <c r="F124" s="1">
        <v>1</v>
      </c>
    </row>
    <row r="125" spans="1:6" x14ac:dyDescent="0.35">
      <c r="A125" s="1">
        <v>2049</v>
      </c>
      <c r="B125" s="1">
        <v>1577.650745566038</v>
      </c>
      <c r="C125" s="1">
        <v>2520.611838182218</v>
      </c>
      <c r="D125" s="1">
        <v>4608.6828392139669</v>
      </c>
      <c r="E125" s="1" t="s">
        <v>138</v>
      </c>
      <c r="F125" s="1">
        <v>1</v>
      </c>
    </row>
    <row r="126" spans="1:6" x14ac:dyDescent="0.35">
      <c r="A126" s="1">
        <v>2050</v>
      </c>
      <c r="B126" s="1">
        <v>1538.6984098694461</v>
      </c>
      <c r="C126" s="1">
        <v>2584.4214306611029</v>
      </c>
      <c r="D126" s="1">
        <v>4725.3522007475358</v>
      </c>
      <c r="E126" s="1" t="s">
        <v>138</v>
      </c>
      <c r="F126" s="1">
        <v>1</v>
      </c>
    </row>
    <row r="127" spans="1:6" x14ac:dyDescent="0.35">
      <c r="A127" s="1">
        <v>2026</v>
      </c>
      <c r="B127" s="1">
        <v>2073.234338195939</v>
      </c>
      <c r="C127" s="1">
        <v>1972.121506377242</v>
      </c>
      <c r="D127" s="1">
        <v>1972.121506377242</v>
      </c>
      <c r="E127" s="1" t="s">
        <v>139</v>
      </c>
      <c r="F127" s="1">
        <v>2</v>
      </c>
    </row>
    <row r="128" spans="1:6" x14ac:dyDescent="0.35">
      <c r="A128" s="1">
        <v>2027</v>
      </c>
      <c r="B128" s="1">
        <v>2120.5463608831792</v>
      </c>
      <c r="C128" s="1">
        <v>2022.046</v>
      </c>
      <c r="D128" s="1">
        <v>2022.046</v>
      </c>
      <c r="E128" s="1" t="s">
        <v>139</v>
      </c>
      <c r="F128" s="1">
        <v>2</v>
      </c>
    </row>
    <row r="129" spans="1:6" x14ac:dyDescent="0.35">
      <c r="A129" s="1">
        <v>2028</v>
      </c>
      <c r="B129" s="1">
        <v>2068.189884684974</v>
      </c>
      <c r="C129" s="1">
        <v>1972.121506377242</v>
      </c>
      <c r="D129" s="1">
        <v>2073.234338195939</v>
      </c>
      <c r="E129" s="1" t="s">
        <v>139</v>
      </c>
      <c r="F129" s="1">
        <v>2</v>
      </c>
    </row>
    <row r="130" spans="1:6" x14ac:dyDescent="0.35">
      <c r="A130" s="1">
        <v>2029</v>
      </c>
      <c r="B130" s="1">
        <v>2174.2282475865759</v>
      </c>
      <c r="C130" s="1">
        <v>3280.9786225749531</v>
      </c>
      <c r="D130" s="1">
        <v>6225.8625495420902</v>
      </c>
      <c r="E130" s="1" t="s">
        <v>139</v>
      </c>
      <c r="F130" s="1">
        <v>2</v>
      </c>
    </row>
    <row r="131" spans="1:6" x14ac:dyDescent="0.35">
      <c r="A131" s="1">
        <v>2030</v>
      </c>
      <c r="B131" s="1">
        <v>1786.816091141684</v>
      </c>
      <c r="C131" s="1">
        <v>2908.2458152250028</v>
      </c>
      <c r="D131" s="1">
        <v>4716.5028022410024</v>
      </c>
      <c r="E131" s="1" t="s">
        <v>139</v>
      </c>
      <c r="F131" s="1">
        <v>2</v>
      </c>
    </row>
    <row r="132" spans="1:6" x14ac:dyDescent="0.35">
      <c r="A132" s="1">
        <v>2031</v>
      </c>
      <c r="B132" s="1">
        <v>1783.2115080617939</v>
      </c>
      <c r="C132" s="1">
        <v>2836.4409702038638</v>
      </c>
      <c r="D132" s="1">
        <v>4600.0519331350561</v>
      </c>
      <c r="E132" s="1" t="s">
        <v>139</v>
      </c>
      <c r="F132" s="1">
        <v>2</v>
      </c>
    </row>
    <row r="133" spans="1:6" x14ac:dyDescent="0.35">
      <c r="A133" s="1">
        <v>2032</v>
      </c>
      <c r="B133" s="1">
        <v>1739.183859055659</v>
      </c>
      <c r="C133" s="1">
        <v>2766.4089931230892</v>
      </c>
      <c r="D133" s="1">
        <v>4716.5028022410024</v>
      </c>
      <c r="E133" s="1" t="s">
        <v>139</v>
      </c>
      <c r="F133" s="1">
        <v>2</v>
      </c>
    </row>
    <row r="134" spans="1:6" x14ac:dyDescent="0.35">
      <c r="A134" s="1">
        <v>2033</v>
      </c>
      <c r="B134" s="1">
        <v>1696.2432565766701</v>
      </c>
      <c r="C134" s="1">
        <v>2836.4409702038638</v>
      </c>
      <c r="D134" s="1">
        <v>4835.901639133539</v>
      </c>
      <c r="E134" s="1" t="s">
        <v>139</v>
      </c>
      <c r="F134" s="1">
        <v>2</v>
      </c>
    </row>
    <row r="135" spans="1:6" x14ac:dyDescent="0.35">
      <c r="A135" s="1">
        <v>2034</v>
      </c>
      <c r="B135" s="1">
        <v>1654.362861350445</v>
      </c>
      <c r="C135" s="1">
        <v>2766.4089931230892</v>
      </c>
      <c r="D135" s="1">
        <v>4716.5028022410024</v>
      </c>
      <c r="E135" s="1" t="s">
        <v>139</v>
      </c>
      <c r="F135" s="1">
        <v>2</v>
      </c>
    </row>
    <row r="136" spans="1:6" x14ac:dyDescent="0.35">
      <c r="A136" s="1">
        <v>2035</v>
      </c>
      <c r="B136" s="1">
        <v>1613.5164967666431</v>
      </c>
      <c r="C136" s="1">
        <v>2698.106111717269</v>
      </c>
      <c r="D136" s="1">
        <v>4600.0519331350552</v>
      </c>
      <c r="E136" s="1" t="s">
        <v>139</v>
      </c>
      <c r="F136" s="1">
        <v>2</v>
      </c>
    </row>
    <row r="137" spans="1:6" x14ac:dyDescent="0.35">
      <c r="A137" s="1">
        <v>2036</v>
      </c>
      <c r="B137" s="1">
        <v>1654.362861350445</v>
      </c>
      <c r="C137" s="1">
        <v>2631.4896344620761</v>
      </c>
      <c r="D137" s="1">
        <v>4486.4762462317121</v>
      </c>
      <c r="E137" s="1" t="s">
        <v>139</v>
      </c>
      <c r="F137" s="1">
        <v>2</v>
      </c>
    </row>
    <row r="138" spans="1:6" x14ac:dyDescent="0.35">
      <c r="A138" s="1">
        <v>2037</v>
      </c>
      <c r="B138" s="1">
        <v>2466.614384534746</v>
      </c>
      <c r="C138" s="1">
        <v>5077.2009386218488</v>
      </c>
      <c r="D138" s="1">
        <v>10486.570855266949</v>
      </c>
      <c r="E138" s="1" t="s">
        <v>139</v>
      </c>
      <c r="F138" s="1">
        <v>2</v>
      </c>
    </row>
    <row r="139" spans="1:6" x14ac:dyDescent="0.35">
      <c r="A139" s="1">
        <v>2038</v>
      </c>
      <c r="B139" s="1">
        <v>1817.4769718645771</v>
      </c>
      <c r="C139" s="1">
        <v>3787.6341203227012</v>
      </c>
      <c r="D139" s="1">
        <v>8182.3744153789321</v>
      </c>
      <c r="E139" s="1" t="s">
        <v>139</v>
      </c>
      <c r="F139" s="1">
        <v>2</v>
      </c>
    </row>
    <row r="140" spans="1:6" x14ac:dyDescent="0.35">
      <c r="A140" s="1">
        <v>2039</v>
      </c>
      <c r="B140" s="1">
        <v>1772.6033055427611</v>
      </c>
      <c r="C140" s="1">
        <v>3883.5185345811092</v>
      </c>
      <c r="D140" s="1">
        <v>8389.5122098802531</v>
      </c>
      <c r="E140" s="1" t="s">
        <v>139</v>
      </c>
      <c r="F140" s="1">
        <v>2</v>
      </c>
    </row>
    <row r="141" spans="1:6" x14ac:dyDescent="0.35">
      <c r="A141" s="1">
        <v>2040</v>
      </c>
      <c r="B141" s="1">
        <v>1817.4769718645771</v>
      </c>
      <c r="C141" s="1">
        <v>3981.830274342884</v>
      </c>
      <c r="D141" s="1">
        <v>8601.893722614539</v>
      </c>
      <c r="E141" s="1" t="s">
        <v>139</v>
      </c>
      <c r="F141" s="1">
        <v>2</v>
      </c>
    </row>
    <row r="142" spans="1:6" x14ac:dyDescent="0.35">
      <c r="A142" s="1">
        <v>2041</v>
      </c>
      <c r="B142" s="1">
        <v>1863.486620457702</v>
      </c>
      <c r="C142" s="1">
        <v>3883.5185345811092</v>
      </c>
      <c r="D142" s="1">
        <v>8389.5122098802531</v>
      </c>
      <c r="E142" s="1" t="s">
        <v>139</v>
      </c>
      <c r="F142" s="1">
        <v>2</v>
      </c>
    </row>
    <row r="143" spans="1:6" x14ac:dyDescent="0.35">
      <c r="A143" s="1">
        <v>2042</v>
      </c>
      <c r="B143" s="1">
        <v>1817.4769718645771</v>
      </c>
      <c r="C143" s="1">
        <v>3843.900552150189</v>
      </c>
      <c r="D143" s="1">
        <v>8601.893722614539</v>
      </c>
      <c r="E143" s="1" t="s">
        <v>139</v>
      </c>
      <c r="F143" s="1">
        <v>2</v>
      </c>
    </row>
    <row r="144" spans="1:6" x14ac:dyDescent="0.35">
      <c r="A144" s="1">
        <v>2043</v>
      </c>
      <c r="B144" s="1">
        <v>1863.486620457702</v>
      </c>
      <c r="C144" s="1">
        <v>3941.20935791179</v>
      </c>
      <c r="D144" s="1">
        <v>8389.5122098802531</v>
      </c>
      <c r="E144" s="1" t="s">
        <v>139</v>
      </c>
      <c r="F144" s="1">
        <v>2</v>
      </c>
    </row>
    <row r="145" spans="1:6" x14ac:dyDescent="0.35">
      <c r="A145" s="1">
        <v>2044</v>
      </c>
      <c r="B145" s="1">
        <v>1817.4769718645771</v>
      </c>
      <c r="C145" s="1">
        <v>3843.900552150189</v>
      </c>
      <c r="D145" s="1">
        <v>8182.3744153789321</v>
      </c>
      <c r="E145" s="1" t="s">
        <v>139</v>
      </c>
      <c r="F145" s="1">
        <v>2</v>
      </c>
    </row>
    <row r="146" spans="1:6" x14ac:dyDescent="0.35">
      <c r="A146" s="1">
        <v>2045</v>
      </c>
      <c r="B146" s="1">
        <v>1772.6033055427611</v>
      </c>
      <c r="C146" s="1">
        <v>3941.2093579117891</v>
      </c>
      <c r="D146" s="1">
        <v>8389.5122098802531</v>
      </c>
      <c r="E146" s="1" t="s">
        <v>139</v>
      </c>
      <c r="F146" s="1">
        <v>2</v>
      </c>
    </row>
    <row r="147" spans="1:6" x14ac:dyDescent="0.35">
      <c r="A147" s="1">
        <v>2046</v>
      </c>
      <c r="B147" s="1">
        <v>1817.4769718645771</v>
      </c>
      <c r="C147" s="1">
        <v>4040.9815478193332</v>
      </c>
      <c r="D147" s="1">
        <v>8182.3744153789321</v>
      </c>
      <c r="E147" s="1" t="s">
        <v>139</v>
      </c>
      <c r="F147" s="1">
        <v>2</v>
      </c>
    </row>
    <row r="148" spans="1:6" x14ac:dyDescent="0.35">
      <c r="A148" s="1">
        <v>2047</v>
      </c>
      <c r="B148" s="1">
        <v>1772.6033055427611</v>
      </c>
      <c r="C148" s="1">
        <v>3941.2093579117891</v>
      </c>
      <c r="D148" s="1">
        <v>8389.5122098802531</v>
      </c>
      <c r="E148" s="1" t="s">
        <v>139</v>
      </c>
      <c r="F148" s="1">
        <v>2</v>
      </c>
    </row>
    <row r="149" spans="1:6" x14ac:dyDescent="0.35">
      <c r="A149" s="1">
        <v>2048</v>
      </c>
      <c r="B149" s="1">
        <v>1728.8375739900409</v>
      </c>
      <c r="C149" s="1">
        <v>3843.9005521501881</v>
      </c>
      <c r="D149" s="1">
        <v>8182.3744153789321</v>
      </c>
      <c r="E149" s="1" t="s">
        <v>139</v>
      </c>
      <c r="F149" s="1">
        <v>2</v>
      </c>
    </row>
    <row r="150" spans="1:6" x14ac:dyDescent="0.35">
      <c r="A150" s="1">
        <v>2049</v>
      </c>
      <c r="B150" s="1">
        <v>1772.6033055427599</v>
      </c>
      <c r="C150" s="1">
        <v>3941.2093579117882</v>
      </c>
      <c r="D150" s="1">
        <v>7980.3508712461062</v>
      </c>
      <c r="E150" s="1" t="s">
        <v>139</v>
      </c>
      <c r="F150" s="1">
        <v>2</v>
      </c>
    </row>
    <row r="151" spans="1:6" x14ac:dyDescent="0.35">
      <c r="A151" s="1">
        <v>2050</v>
      </c>
      <c r="B151" s="1">
        <v>1777.731410023471</v>
      </c>
      <c r="C151" s="1">
        <v>4040.9815478193318</v>
      </c>
      <c r="D151" s="1">
        <v>7783.3153061902676</v>
      </c>
      <c r="E151" s="1" t="s">
        <v>139</v>
      </c>
      <c r="F151" s="1">
        <v>2</v>
      </c>
    </row>
    <row r="152" spans="1:6" x14ac:dyDescent="0.35">
      <c r="A152" s="1">
        <v>2026</v>
      </c>
      <c r="B152" s="1">
        <v>1972.121506377242</v>
      </c>
      <c r="C152" s="1">
        <v>2073.234338195939</v>
      </c>
      <c r="D152" s="1">
        <v>2073.234338195939</v>
      </c>
      <c r="E152" s="1" t="s">
        <v>140</v>
      </c>
      <c r="F152" s="1">
        <v>2</v>
      </c>
    </row>
    <row r="153" spans="1:6" x14ac:dyDescent="0.35">
      <c r="A153" s="1">
        <v>2027</v>
      </c>
      <c r="B153" s="1">
        <v>2022.046</v>
      </c>
      <c r="C153" s="1">
        <v>2125.718515342754</v>
      </c>
      <c r="D153" s="1">
        <v>2026.130707947917</v>
      </c>
      <c r="E153" s="1" t="s">
        <v>140</v>
      </c>
      <c r="F153" s="1">
        <v>2</v>
      </c>
    </row>
    <row r="154" spans="1:6" x14ac:dyDescent="0.35">
      <c r="A154" s="1">
        <v>2028</v>
      </c>
      <c r="B154" s="1">
        <v>2073.234338195939</v>
      </c>
      <c r="C154" s="1">
        <v>2073.234338195939</v>
      </c>
      <c r="D154" s="1">
        <v>1976.105362526587</v>
      </c>
      <c r="E154" s="1" t="s">
        <v>140</v>
      </c>
      <c r="F154" s="1">
        <v>2</v>
      </c>
    </row>
    <row r="155" spans="1:6" x14ac:dyDescent="0.35">
      <c r="A155" s="1">
        <v>2029</v>
      </c>
      <c r="B155" s="1">
        <v>2022.046</v>
      </c>
      <c r="C155" s="1">
        <v>2125.718515342754</v>
      </c>
      <c r="D155" s="1">
        <v>1927.315147284522</v>
      </c>
      <c r="E155" s="1" t="s">
        <v>140</v>
      </c>
      <c r="F155" s="1">
        <v>2</v>
      </c>
    </row>
    <row r="156" spans="1:6" x14ac:dyDescent="0.35">
      <c r="A156" s="1">
        <v>2030</v>
      </c>
      <c r="B156" s="1">
        <v>2125.718515342754</v>
      </c>
      <c r="C156" s="1">
        <v>3802.6179166455031</v>
      </c>
      <c r="D156" s="1">
        <v>5640.0840209111502</v>
      </c>
      <c r="E156" s="1" t="s">
        <v>140</v>
      </c>
      <c r="F156" s="1">
        <v>2</v>
      </c>
    </row>
    <row r="157" spans="1:6" x14ac:dyDescent="0.35">
      <c r="A157" s="1">
        <v>2031</v>
      </c>
      <c r="B157" s="1">
        <v>1686.6382757488309</v>
      </c>
      <c r="C157" s="1">
        <v>2692.4933355376988</v>
      </c>
      <c r="D157" s="1">
        <v>5023.3062746983287</v>
      </c>
      <c r="E157" s="1" t="s">
        <v>140</v>
      </c>
      <c r="F157" s="1">
        <v>2</v>
      </c>
    </row>
    <row r="158" spans="1:6" x14ac:dyDescent="0.35">
      <c r="A158" s="1">
        <v>2032</v>
      </c>
      <c r="B158" s="1">
        <v>1644.9950283442111</v>
      </c>
      <c r="C158" s="1">
        <v>2626.0154382201449</v>
      </c>
      <c r="D158" s="1">
        <v>4899.2804008673984</v>
      </c>
      <c r="E158" s="1" t="s">
        <v>140</v>
      </c>
      <c r="F158" s="1">
        <v>2</v>
      </c>
    </row>
    <row r="159" spans="1:6" x14ac:dyDescent="0.35">
      <c r="A159" s="1">
        <v>2033</v>
      </c>
      <c r="B159" s="1">
        <v>1604.3799563814371</v>
      </c>
      <c r="C159" s="1">
        <v>2561.1788860355332</v>
      </c>
      <c r="D159" s="1">
        <v>5023.3062746983287</v>
      </c>
      <c r="E159" s="1" t="s">
        <v>140</v>
      </c>
      <c r="F159" s="1">
        <v>2</v>
      </c>
    </row>
    <row r="160" spans="1:6" x14ac:dyDescent="0.35">
      <c r="A160" s="1">
        <v>2034</v>
      </c>
      <c r="B160" s="1">
        <v>1564.7676741183991</v>
      </c>
      <c r="C160" s="1">
        <v>2626.0154382201449</v>
      </c>
      <c r="D160" s="1">
        <v>4899.2804008673984</v>
      </c>
      <c r="E160" s="1" t="s">
        <v>140</v>
      </c>
      <c r="F160" s="1">
        <v>2</v>
      </c>
    </row>
    <row r="161" spans="1:6" x14ac:dyDescent="0.35">
      <c r="A161" s="1">
        <v>2035</v>
      </c>
      <c r="B161" s="1">
        <v>1604.3799563814371</v>
      </c>
      <c r="C161" s="1">
        <v>2561.1788860355332</v>
      </c>
      <c r="D161" s="1">
        <v>4778.3167367721162</v>
      </c>
      <c r="E161" s="1" t="s">
        <v>140</v>
      </c>
      <c r="F161" s="1">
        <v>2</v>
      </c>
    </row>
    <row r="162" spans="1:6" x14ac:dyDescent="0.35">
      <c r="A162" s="1">
        <v>2036</v>
      </c>
      <c r="B162" s="1">
        <v>1644.9950283442111</v>
      </c>
      <c r="C162" s="1">
        <v>2626.0154382201449</v>
      </c>
      <c r="D162" s="1">
        <v>4660.3396761847216</v>
      </c>
      <c r="E162" s="1" t="s">
        <v>140</v>
      </c>
      <c r="F162" s="1">
        <v>2</v>
      </c>
    </row>
    <row r="163" spans="1:6" x14ac:dyDescent="0.35">
      <c r="A163" s="1">
        <v>2037</v>
      </c>
      <c r="B163" s="1">
        <v>1604.3799563814371</v>
      </c>
      <c r="C163" s="1">
        <v>2692.4933355376988</v>
      </c>
      <c r="D163" s="1">
        <v>4778.3167367721153</v>
      </c>
      <c r="E163" s="1" t="s">
        <v>140</v>
      </c>
      <c r="F163" s="1">
        <v>2</v>
      </c>
    </row>
    <row r="164" spans="1:6" x14ac:dyDescent="0.35">
      <c r="A164" s="1">
        <v>2038</v>
      </c>
      <c r="B164" s="1">
        <v>1644.9950283442111</v>
      </c>
      <c r="C164" s="1">
        <v>2626.0154382201449</v>
      </c>
      <c r="D164" s="1">
        <v>4660.3396761847207</v>
      </c>
      <c r="E164" s="1" t="s">
        <v>140</v>
      </c>
      <c r="F164" s="1">
        <v>2</v>
      </c>
    </row>
    <row r="165" spans="1:6" x14ac:dyDescent="0.35">
      <c r="A165" s="1">
        <v>2039</v>
      </c>
      <c r="B165" s="1">
        <v>1604.3799563814371</v>
      </c>
      <c r="C165" s="1">
        <v>2692.4933355376988</v>
      </c>
      <c r="D165" s="1">
        <v>4545.275479601868</v>
      </c>
      <c r="E165" s="1" t="s">
        <v>140</v>
      </c>
      <c r="F165" s="1">
        <v>2</v>
      </c>
    </row>
    <row r="166" spans="1:6" x14ac:dyDescent="0.35">
      <c r="A166" s="1">
        <v>2040</v>
      </c>
      <c r="B166" s="1">
        <v>1644.9950283442111</v>
      </c>
      <c r="C166" s="1">
        <v>2626.0154382201449</v>
      </c>
      <c r="D166" s="1">
        <v>4660.3396761847207</v>
      </c>
      <c r="E166" s="1" t="s">
        <v>140</v>
      </c>
      <c r="F166" s="1">
        <v>2</v>
      </c>
    </row>
    <row r="167" spans="1:6" x14ac:dyDescent="0.35">
      <c r="A167" s="1">
        <v>2041</v>
      </c>
      <c r="B167" s="1">
        <v>1604.3799563814371</v>
      </c>
      <c r="C167" s="1">
        <v>2692.4933355376988</v>
      </c>
      <c r="D167" s="1">
        <v>4778.3167367721144</v>
      </c>
      <c r="E167" s="1" t="s">
        <v>140</v>
      </c>
      <c r="F167" s="1">
        <v>2</v>
      </c>
    </row>
    <row r="168" spans="1:6" x14ac:dyDescent="0.35">
      <c r="A168" s="1">
        <v>2042</v>
      </c>
      <c r="B168" s="1">
        <v>1564.7676741183991</v>
      </c>
      <c r="C168" s="1">
        <v>2760.6541288380581</v>
      </c>
      <c r="D168" s="1">
        <v>4660.3396761847207</v>
      </c>
      <c r="E168" s="1" t="s">
        <v>140</v>
      </c>
      <c r="F168" s="1">
        <v>2</v>
      </c>
    </row>
    <row r="169" spans="1:6" x14ac:dyDescent="0.35">
      <c r="A169" s="1">
        <v>2043</v>
      </c>
      <c r="B169" s="1">
        <v>1526.1334225891951</v>
      </c>
      <c r="C169" s="1">
        <v>2692.4933355376988</v>
      </c>
      <c r="D169" s="1">
        <v>4778.3167367721144</v>
      </c>
      <c r="E169" s="1" t="s">
        <v>140</v>
      </c>
      <c r="F169" s="1">
        <v>2</v>
      </c>
    </row>
    <row r="170" spans="1:6" x14ac:dyDescent="0.35">
      <c r="A170" s="1">
        <v>2044</v>
      </c>
      <c r="B170" s="1">
        <v>1564.7676741183991</v>
      </c>
      <c r="C170" s="1">
        <v>2760.6541288380581</v>
      </c>
      <c r="D170" s="1">
        <v>4660.3396761847207</v>
      </c>
      <c r="E170" s="1" t="s">
        <v>140</v>
      </c>
      <c r="F170" s="1">
        <v>2</v>
      </c>
    </row>
    <row r="171" spans="1:6" x14ac:dyDescent="0.35">
      <c r="A171" s="1">
        <v>2045</v>
      </c>
      <c r="B171" s="1">
        <v>1526.1334225891951</v>
      </c>
      <c r="C171" s="1">
        <v>2786.4825007329559</v>
      </c>
      <c r="D171" s="1">
        <v>4545.275479601868</v>
      </c>
      <c r="E171" s="1" t="s">
        <v>140</v>
      </c>
      <c r="F171" s="1">
        <v>2</v>
      </c>
    </row>
    <row r="172" spans="1:6" x14ac:dyDescent="0.35">
      <c r="A172" s="1">
        <v>2046</v>
      </c>
      <c r="B172" s="1">
        <v>1564.7676741183991</v>
      </c>
      <c r="C172" s="1">
        <v>2857.0226410782229</v>
      </c>
      <c r="D172" s="1">
        <v>4660.3396761847207</v>
      </c>
      <c r="E172" s="1" t="s">
        <v>140</v>
      </c>
      <c r="F172" s="1">
        <v>2</v>
      </c>
    </row>
    <row r="173" spans="1:6" x14ac:dyDescent="0.35">
      <c r="A173" s="1">
        <v>2047</v>
      </c>
      <c r="B173" s="1">
        <v>2316.492264409465</v>
      </c>
      <c r="C173" s="1">
        <v>4753.4321167733497</v>
      </c>
      <c r="D173" s="1">
        <v>9412.9993208922897</v>
      </c>
      <c r="E173" s="1" t="s">
        <v>140</v>
      </c>
      <c r="F173" s="1">
        <v>2</v>
      </c>
    </row>
    <row r="174" spans="1:6" x14ac:dyDescent="0.35">
      <c r="A174" s="1">
        <v>2048</v>
      </c>
      <c r="B174" s="1">
        <v>1656.642092729119</v>
      </c>
      <c r="C174" s="1">
        <v>3805.6655476138849</v>
      </c>
      <c r="D174" s="1">
        <v>7939.5819729720633</v>
      </c>
      <c r="E174" s="1" t="s">
        <v>140</v>
      </c>
      <c r="F174" s="1">
        <v>2</v>
      </c>
    </row>
    <row r="175" spans="1:6" x14ac:dyDescent="0.35">
      <c r="A175" s="1">
        <v>2049</v>
      </c>
      <c r="B175" s="1">
        <v>1615.73945372207</v>
      </c>
      <c r="C175" s="1">
        <v>3874.9296365039258</v>
      </c>
      <c r="D175" s="1">
        <v>7743.5529956011187</v>
      </c>
      <c r="E175" s="1" t="s">
        <v>140</v>
      </c>
      <c r="F175" s="1">
        <v>2</v>
      </c>
    </row>
    <row r="176" spans="1:6" x14ac:dyDescent="0.35">
      <c r="A176" s="1">
        <v>2050</v>
      </c>
      <c r="B176" s="1">
        <v>1656.642092729119</v>
      </c>
      <c r="C176" s="1">
        <v>3779.2572828946231</v>
      </c>
      <c r="D176" s="1">
        <v>7552.3639909264584</v>
      </c>
      <c r="E176" s="1" t="s">
        <v>140</v>
      </c>
      <c r="F176" s="1">
        <v>2</v>
      </c>
    </row>
    <row r="177" spans="1:6" x14ac:dyDescent="0.35">
      <c r="A177" s="1">
        <v>2026</v>
      </c>
      <c r="B177" s="1">
        <v>1972.121506377242</v>
      </c>
      <c r="C177" s="1">
        <v>2073.234338195939</v>
      </c>
      <c r="D177" s="1">
        <v>1972.121506377242</v>
      </c>
      <c r="E177" s="1" t="s">
        <v>141</v>
      </c>
      <c r="F177" s="1">
        <v>2</v>
      </c>
    </row>
    <row r="178" spans="1:6" x14ac:dyDescent="0.35">
      <c r="A178" s="1">
        <v>2027</v>
      </c>
      <c r="B178" s="1">
        <v>2022.046</v>
      </c>
      <c r="C178" s="1">
        <v>2022.046</v>
      </c>
      <c r="D178" s="1">
        <v>1923.429652893971</v>
      </c>
      <c r="E178" s="1" t="s">
        <v>141</v>
      </c>
      <c r="F178" s="1">
        <v>2</v>
      </c>
    </row>
    <row r="179" spans="1:6" x14ac:dyDescent="0.35">
      <c r="A179" s="1">
        <v>2028</v>
      </c>
      <c r="B179" s="1">
        <v>2073.234338195939</v>
      </c>
      <c r="C179" s="1">
        <v>1972.121506377242</v>
      </c>
      <c r="D179" s="1">
        <v>1875.940005556705</v>
      </c>
      <c r="E179" s="1" t="s">
        <v>141</v>
      </c>
      <c r="F179" s="1">
        <v>2</v>
      </c>
    </row>
    <row r="180" spans="1:6" x14ac:dyDescent="0.35">
      <c r="A180" s="1">
        <v>2029</v>
      </c>
      <c r="B180" s="1">
        <v>2022.046</v>
      </c>
      <c r="C180" s="1">
        <v>1923.429652893971</v>
      </c>
      <c r="D180" s="1">
        <v>1906.4045288464231</v>
      </c>
      <c r="E180" s="1" t="s">
        <v>141</v>
      </c>
      <c r="F180" s="1">
        <v>2</v>
      </c>
    </row>
    <row r="181" spans="1:6" x14ac:dyDescent="0.35">
      <c r="A181" s="1">
        <v>2030</v>
      </c>
      <c r="B181" s="1">
        <v>1972.121506377242</v>
      </c>
      <c r="C181" s="1">
        <v>1875.940005556705</v>
      </c>
      <c r="D181" s="1">
        <v>1954.665389262487</v>
      </c>
      <c r="E181" s="1" t="s">
        <v>141</v>
      </c>
      <c r="F181" s="1">
        <v>2</v>
      </c>
    </row>
    <row r="182" spans="1:6" x14ac:dyDescent="0.35">
      <c r="A182" s="1">
        <v>2031</v>
      </c>
      <c r="B182" s="1">
        <v>2073.234338195939</v>
      </c>
      <c r="C182" s="1">
        <v>3238.0344590152508</v>
      </c>
      <c r="D182" s="1">
        <v>6090.0625250084613</v>
      </c>
      <c r="E182" s="1" t="s">
        <v>141</v>
      </c>
      <c r="F182" s="1">
        <v>2</v>
      </c>
    </row>
    <row r="183" spans="1:6" x14ac:dyDescent="0.35">
      <c r="A183" s="1">
        <v>2032</v>
      </c>
      <c r="B183" s="1">
        <v>1662.5048306872529</v>
      </c>
      <c r="C183" s="1">
        <v>2804.800985614595</v>
      </c>
      <c r="D183" s="1">
        <v>5208.9147023694586</v>
      </c>
      <c r="E183" s="1" t="s">
        <v>141</v>
      </c>
      <c r="F183" s="1">
        <v>2</v>
      </c>
    </row>
    <row r="184" spans="1:6" x14ac:dyDescent="0.35">
      <c r="A184" s="1">
        <v>2033</v>
      </c>
      <c r="B184" s="1">
        <v>1704.591340848546</v>
      </c>
      <c r="C184" s="1">
        <v>2735.5502025367509</v>
      </c>
      <c r="D184" s="1">
        <v>5340.779005861411</v>
      </c>
      <c r="E184" s="1" t="s">
        <v>141</v>
      </c>
      <c r="F184" s="1">
        <v>2</v>
      </c>
    </row>
    <row r="185" spans="1:6" x14ac:dyDescent="0.35">
      <c r="A185" s="1">
        <v>2034</v>
      </c>
      <c r="B185" s="1">
        <v>1662.5048306872529</v>
      </c>
      <c r="C185" s="1">
        <v>2804.800985614595</v>
      </c>
      <c r="D185" s="1">
        <v>5208.9147023694586</v>
      </c>
      <c r="E185" s="1" t="s">
        <v>141</v>
      </c>
      <c r="F185" s="1">
        <v>2</v>
      </c>
    </row>
    <row r="186" spans="1:6" x14ac:dyDescent="0.35">
      <c r="A186" s="1">
        <v>2035</v>
      </c>
      <c r="B186" s="1">
        <v>1704.591340848546</v>
      </c>
      <c r="C186" s="1">
        <v>2735.5502025367509</v>
      </c>
      <c r="D186" s="1">
        <v>5340.779005861411</v>
      </c>
      <c r="E186" s="1" t="s">
        <v>141</v>
      </c>
      <c r="F186" s="1">
        <v>2</v>
      </c>
    </row>
    <row r="187" spans="1:6" x14ac:dyDescent="0.35">
      <c r="A187" s="1">
        <v>2036</v>
      </c>
      <c r="B187" s="1">
        <v>2420.579021163489</v>
      </c>
      <c r="C187" s="1">
        <v>4879.7679024746758</v>
      </c>
      <c r="D187" s="1">
        <v>10014.989650930111</v>
      </c>
      <c r="E187" s="1" t="s">
        <v>141</v>
      </c>
      <c r="F187" s="1">
        <v>2</v>
      </c>
    </row>
    <row r="188" spans="1:6" x14ac:dyDescent="0.35">
      <c r="A188" s="1">
        <v>2037</v>
      </c>
      <c r="B188" s="1">
        <v>1964.757740342965</v>
      </c>
      <c r="C188" s="1">
        <v>3858.8844363986632</v>
      </c>
      <c r="D188" s="1">
        <v>7979.0137767854221</v>
      </c>
      <c r="E188" s="1" t="s">
        <v>141</v>
      </c>
      <c r="F188" s="1">
        <v>2</v>
      </c>
    </row>
    <row r="189" spans="1:6" x14ac:dyDescent="0.35">
      <c r="A189" s="1">
        <v>2038</v>
      </c>
      <c r="B189" s="1">
        <v>2014.4958193410521</v>
      </c>
      <c r="C189" s="1">
        <v>3763.6082401914819</v>
      </c>
      <c r="D189" s="1">
        <v>8052.0676013039238</v>
      </c>
      <c r="E189" s="1" t="s">
        <v>141</v>
      </c>
      <c r="F189" s="1">
        <v>2</v>
      </c>
    </row>
    <row r="190" spans="1:6" x14ac:dyDescent="0.35">
      <c r="A190" s="1">
        <v>2039</v>
      </c>
      <c r="B190" s="1">
        <v>1964.757740342965</v>
      </c>
      <c r="C190" s="1">
        <v>3670.6844216502618</v>
      </c>
      <c r="D190" s="1">
        <v>8255.9066631017813</v>
      </c>
      <c r="E190" s="1" t="s">
        <v>141</v>
      </c>
      <c r="F190" s="1">
        <v>2</v>
      </c>
    </row>
    <row r="191" spans="1:6" x14ac:dyDescent="0.35">
      <c r="A191" s="1">
        <v>2040</v>
      </c>
      <c r="B191" s="1">
        <v>1916.2476988908829</v>
      </c>
      <c r="C191" s="1">
        <v>3763.6082401914809</v>
      </c>
      <c r="D191" s="1">
        <v>8052.0676013039238</v>
      </c>
      <c r="E191" s="1" t="s">
        <v>141</v>
      </c>
      <c r="F191" s="1">
        <v>2</v>
      </c>
    </row>
    <row r="192" spans="1:6" x14ac:dyDescent="0.35">
      <c r="A192" s="1">
        <v>2041</v>
      </c>
      <c r="B192" s="1">
        <v>1868.935374629762</v>
      </c>
      <c r="C192" s="1">
        <v>3670.6844216502609</v>
      </c>
      <c r="D192" s="1">
        <v>7853.2613438739172</v>
      </c>
      <c r="E192" s="1" t="s">
        <v>141</v>
      </c>
      <c r="F192" s="1">
        <v>2</v>
      </c>
    </row>
    <row r="193" spans="1:6" x14ac:dyDescent="0.35">
      <c r="A193" s="1">
        <v>2042</v>
      </c>
      <c r="B193" s="1">
        <v>1834.1212603185661</v>
      </c>
      <c r="C193" s="1">
        <v>3763.6082401914809</v>
      </c>
      <c r="D193" s="1">
        <v>8052.0676013039238</v>
      </c>
      <c r="E193" s="1" t="s">
        <v>141</v>
      </c>
      <c r="F193" s="1">
        <v>2</v>
      </c>
    </row>
    <row r="194" spans="1:6" x14ac:dyDescent="0.35">
      <c r="A194" s="1">
        <v>2043</v>
      </c>
      <c r="B194" s="1">
        <v>1788.8366450505951</v>
      </c>
      <c r="C194" s="1">
        <v>3858.8844363986618</v>
      </c>
      <c r="D194" s="1">
        <v>7853.2613438739172</v>
      </c>
      <c r="E194" s="1" t="s">
        <v>141</v>
      </c>
      <c r="F194" s="1">
        <v>2</v>
      </c>
    </row>
    <row r="195" spans="1:6" x14ac:dyDescent="0.35">
      <c r="A195" s="1">
        <v>2044</v>
      </c>
      <c r="B195" s="1">
        <v>1834.1212603185661</v>
      </c>
      <c r="C195" s="1">
        <v>3763.6082401914809</v>
      </c>
      <c r="D195" s="1">
        <v>8052.0676013039238</v>
      </c>
      <c r="E195" s="1" t="s">
        <v>141</v>
      </c>
      <c r="F195" s="1">
        <v>2</v>
      </c>
    </row>
    <row r="196" spans="1:6" x14ac:dyDescent="0.35">
      <c r="A196" s="1">
        <v>2045</v>
      </c>
      <c r="B196" s="1">
        <v>1788.8366450505951</v>
      </c>
      <c r="C196" s="1">
        <v>3858.8844363986618</v>
      </c>
      <c r="D196" s="1">
        <v>7853.2613438739172</v>
      </c>
      <c r="E196" s="1" t="s">
        <v>141</v>
      </c>
      <c r="F196" s="1">
        <v>2</v>
      </c>
    </row>
    <row r="197" spans="1:6" x14ac:dyDescent="0.35">
      <c r="A197" s="1">
        <v>2046</v>
      </c>
      <c r="B197" s="1">
        <v>1744.670110917353</v>
      </c>
      <c r="C197" s="1">
        <v>3956.5725609959368</v>
      </c>
      <c r="D197" s="1">
        <v>8052.0676013039238</v>
      </c>
      <c r="E197" s="1" t="s">
        <v>141</v>
      </c>
      <c r="F197" s="1">
        <v>2</v>
      </c>
    </row>
    <row r="198" spans="1:6" x14ac:dyDescent="0.35">
      <c r="A198" s="1">
        <v>2047</v>
      </c>
      <c r="B198" s="1">
        <v>1701.5940523972649</v>
      </c>
      <c r="C198" s="1">
        <v>3858.8844363986618</v>
      </c>
      <c r="D198" s="1">
        <v>7853.2613438739172</v>
      </c>
      <c r="E198" s="1" t="s">
        <v>141</v>
      </c>
      <c r="F198" s="1">
        <v>2</v>
      </c>
    </row>
    <row r="199" spans="1:6" x14ac:dyDescent="0.35">
      <c r="A199" s="1">
        <v>2048</v>
      </c>
      <c r="B199" s="1">
        <v>1744.670110917353</v>
      </c>
      <c r="C199" s="1">
        <v>3763.6082401914809</v>
      </c>
      <c r="D199" s="1">
        <v>7659.3636304291749</v>
      </c>
      <c r="E199" s="1" t="s">
        <v>141</v>
      </c>
      <c r="F199" s="1">
        <v>2</v>
      </c>
    </row>
    <row r="200" spans="1:6" x14ac:dyDescent="0.35">
      <c r="A200" s="1">
        <v>2049</v>
      </c>
      <c r="B200" s="1">
        <v>1788.8366450505951</v>
      </c>
      <c r="C200" s="1">
        <v>3670.6844216502609</v>
      </c>
      <c r="D200" s="1">
        <v>7470.2532685868891</v>
      </c>
      <c r="E200" s="1" t="s">
        <v>141</v>
      </c>
      <c r="F200" s="1">
        <v>2</v>
      </c>
    </row>
    <row r="201" spans="1:6" x14ac:dyDescent="0.35">
      <c r="A201" s="1">
        <v>2050</v>
      </c>
      <c r="B201" s="1">
        <v>1834.1212603185661</v>
      </c>
      <c r="C201" s="1">
        <v>3763.60824019148</v>
      </c>
      <c r="D201" s="1">
        <v>7285.8120582148431</v>
      </c>
      <c r="E201" s="1" t="s">
        <v>141</v>
      </c>
      <c r="F201" s="1">
        <v>2</v>
      </c>
    </row>
    <row r="202" spans="1:6" x14ac:dyDescent="0.35">
      <c r="A202" s="1">
        <v>2026</v>
      </c>
      <c r="B202" s="1">
        <v>2073.234338195939</v>
      </c>
      <c r="C202" s="1">
        <v>2073.234338195939</v>
      </c>
      <c r="D202" s="1">
        <v>1972.121506377242</v>
      </c>
      <c r="E202" s="1" t="s">
        <v>142</v>
      </c>
      <c r="F202" s="1">
        <v>2</v>
      </c>
    </row>
    <row r="203" spans="1:6" x14ac:dyDescent="0.35">
      <c r="A203" s="1">
        <v>2027</v>
      </c>
      <c r="B203" s="1">
        <v>2022.046</v>
      </c>
      <c r="C203" s="1">
        <v>2022.046</v>
      </c>
      <c r="D203" s="1">
        <v>1998.5644136710721</v>
      </c>
      <c r="E203" s="1" t="s">
        <v>142</v>
      </c>
      <c r="F203" s="1">
        <v>2</v>
      </c>
    </row>
    <row r="204" spans="1:6" x14ac:dyDescent="0.35">
      <c r="A204" s="1">
        <v>2028</v>
      </c>
      <c r="B204" s="1">
        <v>1972.121506377242</v>
      </c>
      <c r="C204" s="1">
        <v>1972.121506377242</v>
      </c>
      <c r="D204" s="1">
        <v>2049.1583126789901</v>
      </c>
      <c r="E204" s="1" t="s">
        <v>142</v>
      </c>
      <c r="F204" s="1">
        <v>2</v>
      </c>
    </row>
    <row r="205" spans="1:6" x14ac:dyDescent="0.35">
      <c r="A205" s="1">
        <v>2029</v>
      </c>
      <c r="B205" s="1">
        <v>1923.429652893971</v>
      </c>
      <c r="C205" s="1">
        <v>1923.429652893971</v>
      </c>
      <c r="D205" s="1">
        <v>2101.0330023380939</v>
      </c>
      <c r="E205" s="1" t="s">
        <v>142</v>
      </c>
      <c r="F205" s="1">
        <v>2</v>
      </c>
    </row>
    <row r="206" spans="1:6" x14ac:dyDescent="0.35">
      <c r="A206" s="1">
        <v>2030</v>
      </c>
      <c r="B206" s="1">
        <v>1875.940005556705</v>
      </c>
      <c r="C206" s="1">
        <v>1875.940005556705</v>
      </c>
      <c r="D206" s="1">
        <v>2049.1583126789901</v>
      </c>
      <c r="E206" s="1" t="s">
        <v>142</v>
      </c>
      <c r="F206" s="1">
        <v>2</v>
      </c>
    </row>
    <row r="207" spans="1:6" x14ac:dyDescent="0.35">
      <c r="A207" s="1">
        <v>2031</v>
      </c>
      <c r="B207" s="1">
        <v>1923.429652893971</v>
      </c>
      <c r="C207" s="1">
        <v>1923.429652893971</v>
      </c>
      <c r="D207" s="1">
        <v>1998.5644136710721</v>
      </c>
      <c r="E207" s="1" t="s">
        <v>142</v>
      </c>
      <c r="F207" s="1">
        <v>2</v>
      </c>
    </row>
    <row r="208" spans="1:6" x14ac:dyDescent="0.35">
      <c r="A208" s="1">
        <v>2032</v>
      </c>
      <c r="B208" s="1">
        <v>1875.940005556705</v>
      </c>
      <c r="C208" s="1">
        <v>1972.121506377242</v>
      </c>
      <c r="D208" s="1">
        <v>2049.1583126789901</v>
      </c>
      <c r="E208" s="1" t="s">
        <v>142</v>
      </c>
      <c r="F208" s="1">
        <v>2</v>
      </c>
    </row>
    <row r="209" spans="1:6" x14ac:dyDescent="0.35">
      <c r="A209" s="1">
        <v>2033</v>
      </c>
      <c r="B209" s="1">
        <v>1829.62288178994</v>
      </c>
      <c r="C209" s="1">
        <v>1923.429652893971</v>
      </c>
      <c r="D209" s="1">
        <v>2101.033002338093</v>
      </c>
      <c r="E209" s="1" t="s">
        <v>142</v>
      </c>
      <c r="F209" s="1">
        <v>2</v>
      </c>
    </row>
    <row r="210" spans="1:6" x14ac:dyDescent="0.35">
      <c r="A210" s="1">
        <v>2034</v>
      </c>
      <c r="B210" s="1">
        <v>1875.940005556705</v>
      </c>
      <c r="C210" s="1">
        <v>1875.940005556705</v>
      </c>
      <c r="D210" s="1">
        <v>2154.2209060180849</v>
      </c>
      <c r="E210" s="1" t="s">
        <v>142</v>
      </c>
      <c r="F210" s="1">
        <v>2</v>
      </c>
    </row>
    <row r="211" spans="1:6" x14ac:dyDescent="0.35">
      <c r="A211" s="1">
        <v>2035</v>
      </c>
      <c r="B211" s="1">
        <v>1972.121506377242</v>
      </c>
      <c r="C211" s="1">
        <v>3695.3953982175158</v>
      </c>
      <c r="D211" s="1">
        <v>4938.8183105943099</v>
      </c>
      <c r="E211" s="1" t="s">
        <v>142</v>
      </c>
      <c r="F211" s="1">
        <v>2</v>
      </c>
    </row>
    <row r="212" spans="1:6" x14ac:dyDescent="0.35">
      <c r="A212" s="1">
        <v>2036</v>
      </c>
      <c r="B212" s="1">
        <v>1635.324970339241</v>
      </c>
      <c r="C212" s="1">
        <v>2900.8458887104071</v>
      </c>
      <c r="D212" s="1">
        <v>4722.0128177394399</v>
      </c>
      <c r="E212" s="1" t="s">
        <v>142</v>
      </c>
      <c r="F212" s="1">
        <v>2</v>
      </c>
    </row>
    <row r="213" spans="1:6" x14ac:dyDescent="0.35">
      <c r="A213" s="1">
        <v>2037</v>
      </c>
      <c r="B213" s="1">
        <v>1676.723419059987</v>
      </c>
      <c r="C213" s="1">
        <v>2829.223748525897</v>
      </c>
      <c r="D213" s="1">
        <v>4841.551141338412</v>
      </c>
      <c r="E213" s="1" t="s">
        <v>142</v>
      </c>
      <c r="F213" s="1">
        <v>2</v>
      </c>
    </row>
    <row r="214" spans="1:6" x14ac:dyDescent="0.35">
      <c r="A214" s="1">
        <v>2038</v>
      </c>
      <c r="B214" s="1">
        <v>1719.1698744996229</v>
      </c>
      <c r="C214" s="1">
        <v>2759.369965283262</v>
      </c>
      <c r="D214" s="1">
        <v>4964.1155920065803</v>
      </c>
      <c r="E214" s="1" t="s">
        <v>142</v>
      </c>
      <c r="F214" s="1">
        <v>2</v>
      </c>
    </row>
    <row r="215" spans="1:6" x14ac:dyDescent="0.35">
      <c r="A215" s="1">
        <v>2039</v>
      </c>
      <c r="B215" s="1">
        <v>1676.723419059987</v>
      </c>
      <c r="C215" s="1">
        <v>2691.2408780940409</v>
      </c>
      <c r="D215" s="1">
        <v>5089.7827765154234</v>
      </c>
      <c r="E215" s="1" t="s">
        <v>142</v>
      </c>
      <c r="F215" s="1">
        <v>2</v>
      </c>
    </row>
    <row r="216" spans="1:6" x14ac:dyDescent="0.35">
      <c r="A216" s="1">
        <v>2040</v>
      </c>
      <c r="B216" s="1">
        <v>1719.1698744996229</v>
      </c>
      <c r="C216" s="1">
        <v>2624.7939040609522</v>
      </c>
      <c r="D216" s="1">
        <v>5218.6312409460734</v>
      </c>
      <c r="E216" s="1" t="s">
        <v>142</v>
      </c>
      <c r="F216" s="1">
        <v>2</v>
      </c>
    </row>
    <row r="217" spans="1:6" x14ac:dyDescent="0.35">
      <c r="A217" s="1">
        <v>2041</v>
      </c>
      <c r="B217" s="1">
        <v>2335.8140084721008</v>
      </c>
      <c r="C217" s="1">
        <v>4825.0883533841306</v>
      </c>
      <c r="D217" s="1">
        <v>10312.132351806389</v>
      </c>
      <c r="E217" s="1" t="s">
        <v>142</v>
      </c>
      <c r="F217" s="1">
        <v>2</v>
      </c>
    </row>
    <row r="218" spans="1:6" x14ac:dyDescent="0.35">
      <c r="A218" s="1">
        <v>2042</v>
      </c>
      <c r="B218" s="1">
        <v>1792.506146187764</v>
      </c>
      <c r="C218" s="1">
        <v>3859.8053680465068</v>
      </c>
      <c r="D218" s="1">
        <v>8114.2411348532223</v>
      </c>
      <c r="E218" s="1" t="s">
        <v>142</v>
      </c>
      <c r="F218" s="1">
        <v>2</v>
      </c>
    </row>
    <row r="219" spans="1:6" x14ac:dyDescent="0.35">
      <c r="A219" s="1">
        <v>2043</v>
      </c>
      <c r="B219" s="1">
        <v>1837.8836553192859</v>
      </c>
      <c r="C219" s="1">
        <v>3957.516806139442</v>
      </c>
      <c r="D219" s="1">
        <v>8319.6541271463102</v>
      </c>
      <c r="E219" s="1" t="s">
        <v>142</v>
      </c>
      <c r="F219" s="1">
        <v>2</v>
      </c>
    </row>
    <row r="220" spans="1:6" x14ac:dyDescent="0.35">
      <c r="A220" s="1">
        <v>2044</v>
      </c>
      <c r="B220" s="1">
        <v>1833.512341475765</v>
      </c>
      <c r="C220" s="1">
        <v>4057.7018210643141</v>
      </c>
      <c r="D220" s="1">
        <v>8382.1042231418305</v>
      </c>
      <c r="E220" s="1" t="s">
        <v>142</v>
      </c>
      <c r="F220" s="1">
        <v>2</v>
      </c>
    </row>
    <row r="221" spans="1:6" x14ac:dyDescent="0.35">
      <c r="A221" s="1">
        <v>2045</v>
      </c>
      <c r="B221" s="1">
        <v>1879.927927383251</v>
      </c>
      <c r="C221" s="1">
        <v>3957.5168061394411</v>
      </c>
      <c r="D221" s="1">
        <v>8175.1493324847743</v>
      </c>
      <c r="E221" s="1" t="s">
        <v>142</v>
      </c>
      <c r="F221" s="1">
        <v>2</v>
      </c>
    </row>
    <row r="222" spans="1:6" x14ac:dyDescent="0.35">
      <c r="A222" s="1">
        <v>2046</v>
      </c>
      <c r="B222" s="1">
        <v>1833.512341475765</v>
      </c>
      <c r="C222" s="1">
        <v>3859.8053680465059</v>
      </c>
      <c r="D222" s="1">
        <v>7973.3041762842076</v>
      </c>
      <c r="E222" s="1" t="s">
        <v>142</v>
      </c>
      <c r="F222" s="1">
        <v>2</v>
      </c>
    </row>
    <row r="223" spans="1:6" x14ac:dyDescent="0.35">
      <c r="A223" s="1">
        <v>2047</v>
      </c>
      <c r="B223" s="1">
        <v>1879.927927383251</v>
      </c>
      <c r="C223" s="1">
        <v>3764.506433955924</v>
      </c>
      <c r="D223" s="1">
        <v>8175.1493324847743</v>
      </c>
      <c r="E223" s="1" t="s">
        <v>142</v>
      </c>
      <c r="F223" s="1">
        <v>2</v>
      </c>
    </row>
    <row r="224" spans="1:6" x14ac:dyDescent="0.35">
      <c r="A224" s="1">
        <v>2048</v>
      </c>
      <c r="B224" s="1">
        <v>1927.5185294421981</v>
      </c>
      <c r="C224" s="1">
        <v>3671.560438931645</v>
      </c>
      <c r="D224" s="1">
        <v>8382.1042231418305</v>
      </c>
      <c r="E224" s="1" t="s">
        <v>142</v>
      </c>
      <c r="F224" s="1">
        <v>2</v>
      </c>
    </row>
    <row r="225" spans="1:6" x14ac:dyDescent="0.35">
      <c r="A225" s="1">
        <v>2049</v>
      </c>
      <c r="B225" s="1">
        <v>1976.313893328097</v>
      </c>
      <c r="C225" s="1">
        <v>3720.2015403128221</v>
      </c>
      <c r="D225" s="1">
        <v>8594.2982017989907</v>
      </c>
      <c r="E225" s="1" t="s">
        <v>142</v>
      </c>
      <c r="F225" s="1">
        <v>2</v>
      </c>
    </row>
    <row r="226" spans="1:6" x14ac:dyDescent="0.35">
      <c r="A226" s="1">
        <v>2050</v>
      </c>
      <c r="B226" s="1">
        <v>2026.344517731801</v>
      </c>
      <c r="C226" s="1">
        <v>3814.3788906810059</v>
      </c>
      <c r="D226" s="1">
        <v>8382.1042231418305</v>
      </c>
      <c r="E226" s="1" t="s">
        <v>142</v>
      </c>
      <c r="F226" s="1">
        <v>2</v>
      </c>
    </row>
    <row r="227" spans="1:6" x14ac:dyDescent="0.35">
      <c r="A227" s="1">
        <v>2026</v>
      </c>
      <c r="B227" s="1">
        <v>1972.121506377242</v>
      </c>
      <c r="C227" s="1">
        <v>1972.121506377242</v>
      </c>
      <c r="D227" s="1">
        <v>1972.121506377242</v>
      </c>
      <c r="E227" s="1" t="s">
        <v>143</v>
      </c>
      <c r="F227" s="1">
        <v>2</v>
      </c>
    </row>
    <row r="228" spans="1:6" x14ac:dyDescent="0.35">
      <c r="A228" s="1">
        <v>2027</v>
      </c>
      <c r="B228" s="1">
        <v>1923.429652893971</v>
      </c>
      <c r="C228" s="1">
        <v>2022.046</v>
      </c>
      <c r="D228" s="1">
        <v>2022.046</v>
      </c>
      <c r="E228" s="1" t="s">
        <v>143</v>
      </c>
      <c r="F228" s="1">
        <v>2</v>
      </c>
    </row>
    <row r="229" spans="1:6" x14ac:dyDescent="0.35">
      <c r="A229" s="1">
        <v>2028</v>
      </c>
      <c r="B229" s="1">
        <v>1972.121506377242</v>
      </c>
      <c r="C229" s="1">
        <v>2073.234338195939</v>
      </c>
      <c r="D229" s="1">
        <v>1972.121506377242</v>
      </c>
      <c r="E229" s="1" t="s">
        <v>143</v>
      </c>
      <c r="F229" s="1">
        <v>2</v>
      </c>
    </row>
    <row r="230" spans="1:6" x14ac:dyDescent="0.35">
      <c r="A230" s="1">
        <v>2029</v>
      </c>
      <c r="B230" s="1">
        <v>1923.429652893971</v>
      </c>
      <c r="C230" s="1">
        <v>2022.046</v>
      </c>
      <c r="D230" s="1">
        <v>2022.046</v>
      </c>
      <c r="E230" s="1" t="s">
        <v>143</v>
      </c>
      <c r="F230" s="1">
        <v>2</v>
      </c>
    </row>
    <row r="231" spans="1:6" x14ac:dyDescent="0.35">
      <c r="A231" s="1">
        <v>2030</v>
      </c>
      <c r="B231" s="1">
        <v>1875.940005556705</v>
      </c>
      <c r="C231" s="1">
        <v>1972.121506377242</v>
      </c>
      <c r="D231" s="1">
        <v>2073.234338195939</v>
      </c>
      <c r="E231" s="1" t="s">
        <v>143</v>
      </c>
      <c r="F231" s="1">
        <v>2</v>
      </c>
    </row>
    <row r="232" spans="1:6" x14ac:dyDescent="0.35">
      <c r="A232" s="1">
        <v>2031</v>
      </c>
      <c r="B232" s="1">
        <v>1829.62288178994</v>
      </c>
      <c r="C232" s="1">
        <v>1923.429652893971</v>
      </c>
      <c r="D232" s="1">
        <v>2125.718515342754</v>
      </c>
      <c r="E232" s="1" t="s">
        <v>143</v>
      </c>
      <c r="F232" s="1">
        <v>2</v>
      </c>
    </row>
    <row r="233" spans="1:6" x14ac:dyDescent="0.35">
      <c r="A233" s="1">
        <v>2032</v>
      </c>
      <c r="B233" s="1">
        <v>1875.940005556705</v>
      </c>
      <c r="C233" s="1">
        <v>1972.121506377242</v>
      </c>
      <c r="D233" s="1">
        <v>2179.531335759666</v>
      </c>
      <c r="E233" s="1" t="s">
        <v>143</v>
      </c>
      <c r="F233" s="1">
        <v>2</v>
      </c>
    </row>
    <row r="234" spans="1:6" x14ac:dyDescent="0.35">
      <c r="A234" s="1">
        <v>2033</v>
      </c>
      <c r="B234" s="1">
        <v>1829.62288178994</v>
      </c>
      <c r="C234" s="1">
        <v>2022.046</v>
      </c>
      <c r="D234" s="1">
        <v>2125.718515342754</v>
      </c>
      <c r="E234" s="1" t="s">
        <v>143</v>
      </c>
      <c r="F234" s="1">
        <v>2</v>
      </c>
    </row>
    <row r="235" spans="1:6" x14ac:dyDescent="0.35">
      <c r="A235" s="1">
        <v>2034</v>
      </c>
      <c r="B235" s="1">
        <v>1784.44933188357</v>
      </c>
      <c r="C235" s="1">
        <v>1972.121506377242</v>
      </c>
      <c r="D235" s="1">
        <v>2073.234338195939</v>
      </c>
      <c r="E235" s="1" t="s">
        <v>143</v>
      </c>
      <c r="F235" s="1">
        <v>2</v>
      </c>
    </row>
    <row r="236" spans="1:6" x14ac:dyDescent="0.35">
      <c r="A236" s="1">
        <v>2035</v>
      </c>
      <c r="B236" s="1">
        <v>1740.391120898382</v>
      </c>
      <c r="C236" s="1">
        <v>2022.046</v>
      </c>
      <c r="D236" s="1">
        <v>2022.046</v>
      </c>
      <c r="E236" s="1" t="s">
        <v>143</v>
      </c>
      <c r="F236" s="1">
        <v>2</v>
      </c>
    </row>
    <row r="237" spans="1:6" x14ac:dyDescent="0.35">
      <c r="A237" s="1">
        <v>2036</v>
      </c>
      <c r="B237" s="1">
        <v>1784.44933188357</v>
      </c>
      <c r="C237" s="1">
        <v>1972.121506377242</v>
      </c>
      <c r="D237" s="1">
        <v>1972.121506377242</v>
      </c>
      <c r="E237" s="1" t="s">
        <v>143</v>
      </c>
      <c r="F237" s="1">
        <v>2</v>
      </c>
    </row>
    <row r="238" spans="1:6" x14ac:dyDescent="0.35">
      <c r="A238" s="1">
        <v>2037</v>
      </c>
      <c r="B238" s="1">
        <v>1829.6228817899389</v>
      </c>
      <c r="C238" s="1">
        <v>2022.046</v>
      </c>
      <c r="D238" s="1">
        <v>2022.046</v>
      </c>
      <c r="E238" s="1" t="s">
        <v>143</v>
      </c>
      <c r="F238" s="1">
        <v>2</v>
      </c>
    </row>
    <row r="239" spans="1:6" x14ac:dyDescent="0.35">
      <c r="A239" s="1">
        <v>2038</v>
      </c>
      <c r="B239" s="1">
        <v>1784.44933188357</v>
      </c>
      <c r="C239" s="1">
        <v>2073.234338195939</v>
      </c>
      <c r="D239" s="1">
        <v>1972.121506377242</v>
      </c>
      <c r="E239" s="1" t="s">
        <v>143</v>
      </c>
      <c r="F239" s="1">
        <v>2</v>
      </c>
    </row>
    <row r="240" spans="1:6" x14ac:dyDescent="0.35">
      <c r="A240" s="1">
        <v>2039</v>
      </c>
      <c r="B240" s="1">
        <v>1740.391120898382</v>
      </c>
      <c r="C240" s="1">
        <v>2022.046</v>
      </c>
      <c r="D240" s="1">
        <v>2022.046</v>
      </c>
      <c r="E240" s="1" t="s">
        <v>143</v>
      </c>
      <c r="F240" s="1">
        <v>2</v>
      </c>
    </row>
    <row r="241" spans="1:6" x14ac:dyDescent="0.35">
      <c r="A241" s="1">
        <v>2040</v>
      </c>
      <c r="B241" s="1">
        <v>1697.420711018292</v>
      </c>
      <c r="C241" s="1">
        <v>1972.121506377242</v>
      </c>
      <c r="D241" s="1">
        <v>1972.121506377242</v>
      </c>
      <c r="E241" s="1" t="s">
        <v>143</v>
      </c>
      <c r="F241" s="1">
        <v>2</v>
      </c>
    </row>
    <row r="242" spans="1:6" x14ac:dyDescent="0.35">
      <c r="A242" s="1">
        <v>2041</v>
      </c>
      <c r="B242" s="1">
        <v>1655.51124433832</v>
      </c>
      <c r="C242" s="1">
        <v>1923.4296528939699</v>
      </c>
      <c r="D242" s="1">
        <v>2022.046</v>
      </c>
      <c r="E242" s="1" t="s">
        <v>143</v>
      </c>
      <c r="F242" s="1">
        <v>2</v>
      </c>
    </row>
    <row r="243" spans="1:6" x14ac:dyDescent="0.35">
      <c r="A243" s="1">
        <v>2042</v>
      </c>
      <c r="B243" s="1">
        <v>2281.6057013863292</v>
      </c>
      <c r="C243" s="1">
        <v>3529.659464208014</v>
      </c>
      <c r="D243" s="1">
        <v>5785.1875620536684</v>
      </c>
      <c r="E243" s="1" t="s">
        <v>143</v>
      </c>
      <c r="F243" s="1">
        <v>2</v>
      </c>
    </row>
    <row r="244" spans="1:6" x14ac:dyDescent="0.35">
      <c r="A244" s="1">
        <v>2043</v>
      </c>
      <c r="B244" s="1">
        <v>1702.095826661314</v>
      </c>
      <c r="C244" s="1">
        <v>2755.7206272088779</v>
      </c>
      <c r="D244" s="1">
        <v>4868.5305037585276</v>
      </c>
      <c r="E244" s="1" t="s">
        <v>143</v>
      </c>
      <c r="F244" s="1">
        <v>2</v>
      </c>
    </row>
    <row r="245" spans="1:6" x14ac:dyDescent="0.35">
      <c r="A245" s="1">
        <v>2044</v>
      </c>
      <c r="B245" s="1">
        <v>1707.7759894885919</v>
      </c>
      <c r="C245" s="1">
        <v>2825.4820270183259</v>
      </c>
      <c r="D245" s="1">
        <v>4991.7779402380329</v>
      </c>
      <c r="E245" s="1" t="s">
        <v>143</v>
      </c>
      <c r="F245" s="1">
        <v>2</v>
      </c>
    </row>
    <row r="246" spans="1:6" x14ac:dyDescent="0.35">
      <c r="A246" s="1">
        <v>2045</v>
      </c>
      <c r="B246" s="1">
        <v>1665.6108500722171</v>
      </c>
      <c r="C246" s="1">
        <v>2755.7206272088779</v>
      </c>
      <c r="D246" s="1">
        <v>4868.5305037585276</v>
      </c>
      <c r="E246" s="1" t="s">
        <v>143</v>
      </c>
      <c r="F246" s="1">
        <v>2</v>
      </c>
    </row>
    <row r="247" spans="1:6" x14ac:dyDescent="0.35">
      <c r="A247" s="1">
        <v>2046</v>
      </c>
      <c r="B247" s="1">
        <v>1707.7759894885919</v>
      </c>
      <c r="C247" s="1">
        <v>2687.6816424977528</v>
      </c>
      <c r="D247" s="1">
        <v>4748.3260573279831</v>
      </c>
      <c r="E247" s="1" t="s">
        <v>143</v>
      </c>
      <c r="F247" s="1">
        <v>2</v>
      </c>
    </row>
    <row r="248" spans="1:6" x14ac:dyDescent="0.35">
      <c r="A248" s="1">
        <v>2047</v>
      </c>
      <c r="B248" s="1">
        <v>1665.6108500722171</v>
      </c>
      <c r="C248" s="1">
        <v>2621.3225463046479</v>
      </c>
      <c r="D248" s="1">
        <v>4868.5305037585267</v>
      </c>
      <c r="E248" s="1" t="s">
        <v>143</v>
      </c>
      <c r="F248" s="1">
        <v>2</v>
      </c>
    </row>
    <row r="249" spans="1:6" x14ac:dyDescent="0.35">
      <c r="A249" s="1">
        <v>2048</v>
      </c>
      <c r="B249" s="1">
        <v>1624.486771657371</v>
      </c>
      <c r="C249" s="1">
        <v>2687.6816424977528</v>
      </c>
      <c r="D249" s="1">
        <v>4991.777940238032</v>
      </c>
      <c r="E249" s="1" t="s">
        <v>143</v>
      </c>
      <c r="F249" s="1">
        <v>2</v>
      </c>
    </row>
    <row r="250" spans="1:6" x14ac:dyDescent="0.35">
      <c r="A250" s="1">
        <v>2049</v>
      </c>
      <c r="B250" s="1">
        <v>1584.3780503563401</v>
      </c>
      <c r="C250" s="1">
        <v>2755.7206272088779</v>
      </c>
      <c r="D250" s="1">
        <v>4868.5305037585267</v>
      </c>
      <c r="E250" s="1" t="s">
        <v>143</v>
      </c>
      <c r="F250" s="1">
        <v>2</v>
      </c>
    </row>
    <row r="251" spans="1:6" x14ac:dyDescent="0.35">
      <c r="A251" s="1">
        <v>2050</v>
      </c>
      <c r="B251" s="1">
        <v>2402.5416813201041</v>
      </c>
      <c r="C251" s="1">
        <v>5306.5985952917636</v>
      </c>
      <c r="D251" s="1">
        <v>9784.3945439560284</v>
      </c>
      <c r="E251" s="1" t="s">
        <v>143</v>
      </c>
      <c r="F251" s="1">
        <v>2</v>
      </c>
    </row>
    <row r="252" spans="1:6" x14ac:dyDescent="0.35">
      <c r="A252" s="1">
        <v>2026</v>
      </c>
      <c r="B252" s="1">
        <v>1972.121506377242</v>
      </c>
      <c r="C252" s="1">
        <v>2073.234338195939</v>
      </c>
      <c r="D252" s="1">
        <v>2073.234338195939</v>
      </c>
      <c r="E252" s="1" t="s">
        <v>144</v>
      </c>
      <c r="F252" s="1">
        <v>3</v>
      </c>
    </row>
    <row r="253" spans="1:6" x14ac:dyDescent="0.35">
      <c r="A253" s="1">
        <v>2027</v>
      </c>
      <c r="B253" s="1">
        <v>1923.429652893971</v>
      </c>
      <c r="C253" s="1">
        <v>2022.046</v>
      </c>
      <c r="D253" s="1">
        <v>2095.2449663576858</v>
      </c>
      <c r="E253" s="1" t="s">
        <v>144</v>
      </c>
      <c r="F253" s="1">
        <v>3</v>
      </c>
    </row>
    <row r="254" spans="1:6" x14ac:dyDescent="0.35">
      <c r="A254" s="1">
        <v>2028</v>
      </c>
      <c r="B254" s="1">
        <v>1875.940005556705</v>
      </c>
      <c r="C254" s="1">
        <v>2073.234338195939</v>
      </c>
      <c r="D254" s="1">
        <v>2043.513183816121</v>
      </c>
      <c r="E254" s="1" t="s">
        <v>144</v>
      </c>
      <c r="F254" s="1">
        <v>3</v>
      </c>
    </row>
    <row r="255" spans="1:6" x14ac:dyDescent="0.35">
      <c r="A255" s="1">
        <v>2029</v>
      </c>
      <c r="B255" s="1">
        <v>1829.62288178994</v>
      </c>
      <c r="C255" s="1">
        <v>2022.046</v>
      </c>
      <c r="D255" s="1">
        <v>2095.2449663576858</v>
      </c>
      <c r="E255" s="1" t="s">
        <v>144</v>
      </c>
      <c r="F255" s="1">
        <v>3</v>
      </c>
    </row>
    <row r="256" spans="1:6" x14ac:dyDescent="0.35">
      <c r="A256" s="1">
        <v>2030</v>
      </c>
      <c r="B256" s="1">
        <v>1784.44933188357</v>
      </c>
      <c r="C256" s="1">
        <v>1972.121506377242</v>
      </c>
      <c r="D256" s="1">
        <v>2148.2863452092329</v>
      </c>
      <c r="E256" s="1" t="s">
        <v>144</v>
      </c>
      <c r="F256" s="1">
        <v>3</v>
      </c>
    </row>
    <row r="257" spans="1:6" x14ac:dyDescent="0.35">
      <c r="A257" s="1">
        <v>2031</v>
      </c>
      <c r="B257" s="1">
        <v>1740.391120898382</v>
      </c>
      <c r="C257" s="1">
        <v>1923.429652893971</v>
      </c>
      <c r="D257" s="1">
        <v>2202.6704729591902</v>
      </c>
      <c r="E257" s="1" t="s">
        <v>144</v>
      </c>
      <c r="F257" s="1">
        <v>3</v>
      </c>
    </row>
    <row r="258" spans="1:6" x14ac:dyDescent="0.35">
      <c r="A258" s="1">
        <v>2032</v>
      </c>
      <c r="B258" s="1">
        <v>1697.420711018292</v>
      </c>
      <c r="C258" s="1">
        <v>1875.940005556705</v>
      </c>
      <c r="D258" s="1">
        <v>2148.2863452092329</v>
      </c>
      <c r="E258" s="1" t="s">
        <v>144</v>
      </c>
      <c r="F258" s="1">
        <v>3</v>
      </c>
    </row>
    <row r="259" spans="1:6" x14ac:dyDescent="0.35">
      <c r="A259" s="1">
        <v>2033</v>
      </c>
      <c r="B259" s="1">
        <v>1655.51124433832</v>
      </c>
      <c r="C259" s="1">
        <v>1923.429652893971</v>
      </c>
      <c r="D259" s="1">
        <v>2095.2449663576849</v>
      </c>
      <c r="E259" s="1" t="s">
        <v>144</v>
      </c>
      <c r="F259" s="1">
        <v>3</v>
      </c>
    </row>
    <row r="260" spans="1:6" x14ac:dyDescent="0.35">
      <c r="A260" s="1">
        <v>2034</v>
      </c>
      <c r="B260" s="1">
        <v>1614.6365260775231</v>
      </c>
      <c r="C260" s="1">
        <v>1875.940005556705</v>
      </c>
      <c r="D260" s="1">
        <v>2043.513183816121</v>
      </c>
      <c r="E260" s="1" t="s">
        <v>144</v>
      </c>
      <c r="F260" s="1">
        <v>3</v>
      </c>
    </row>
    <row r="261" spans="1:6" x14ac:dyDescent="0.35">
      <c r="A261" s="1">
        <v>2035</v>
      </c>
      <c r="B261" s="1">
        <v>1655.51124433832</v>
      </c>
      <c r="C261" s="1">
        <v>1829.62288178994</v>
      </c>
      <c r="D261" s="1">
        <v>2095.2449663576849</v>
      </c>
      <c r="E261" s="1" t="s">
        <v>144</v>
      </c>
      <c r="F261" s="1">
        <v>3</v>
      </c>
    </row>
    <row r="262" spans="1:6" x14ac:dyDescent="0.35">
      <c r="A262" s="1">
        <v>2036</v>
      </c>
      <c r="B262" s="1">
        <v>1614.6365260775231</v>
      </c>
      <c r="C262" s="1">
        <v>1784.44933188357</v>
      </c>
      <c r="D262" s="1">
        <v>2043.513183816121</v>
      </c>
      <c r="E262" s="1" t="s">
        <v>144</v>
      </c>
      <c r="F262" s="1">
        <v>3</v>
      </c>
    </row>
    <row r="263" spans="1:6" x14ac:dyDescent="0.35">
      <c r="A263" s="1">
        <v>2037</v>
      </c>
      <c r="B263" s="1">
        <v>2011.336393384023</v>
      </c>
      <c r="C263" s="1">
        <v>3369.2538029669849</v>
      </c>
      <c r="D263" s="1">
        <v>6302.1213095585081</v>
      </c>
      <c r="E263" s="1" t="s">
        <v>144</v>
      </c>
      <c r="F263" s="1">
        <v>3</v>
      </c>
    </row>
    <row r="264" spans="1:6" x14ac:dyDescent="0.35">
      <c r="A264" s="1">
        <v>2038</v>
      </c>
      <c r="B264" s="1">
        <v>1808.431299872299</v>
      </c>
      <c r="C264" s="1">
        <v>2919.9162228204568</v>
      </c>
      <c r="D264" s="1">
        <v>4276.2982355532258</v>
      </c>
      <c r="E264" s="1" t="s">
        <v>144</v>
      </c>
      <c r="F264" s="1">
        <v>3</v>
      </c>
    </row>
    <row r="265" spans="1:6" x14ac:dyDescent="0.35">
      <c r="A265" s="1">
        <v>2039</v>
      </c>
      <c r="B265" s="1">
        <v>2483.4493153258691</v>
      </c>
      <c r="C265" s="1">
        <v>4310.4745607000223</v>
      </c>
      <c r="D265" s="1">
        <v>11106.64003982133</v>
      </c>
      <c r="E265" s="1" t="s">
        <v>144</v>
      </c>
      <c r="F265" s="1">
        <v>3</v>
      </c>
    </row>
    <row r="266" spans="1:6" x14ac:dyDescent="0.35">
      <c r="A266" s="1">
        <v>2040</v>
      </c>
      <c r="B266" s="1">
        <v>1652.7895220221019</v>
      </c>
      <c r="C266" s="1">
        <v>3223.5373162496348</v>
      </c>
      <c r="D266" s="1">
        <v>8960.921106664915</v>
      </c>
      <c r="E266" s="1" t="s">
        <v>144</v>
      </c>
      <c r="F266" s="1">
        <v>3</v>
      </c>
    </row>
    <row r="267" spans="1:6" x14ac:dyDescent="0.35">
      <c r="A267" s="1">
        <v>2041</v>
      </c>
      <c r="B267" s="1">
        <v>3042.0934030274202</v>
      </c>
      <c r="C267" s="1">
        <v>6690.6724470638565</v>
      </c>
      <c r="D267" s="1">
        <v>17144.123762618001</v>
      </c>
      <c r="E267" s="1" t="s">
        <v>144</v>
      </c>
      <c r="F267" s="1">
        <v>3</v>
      </c>
    </row>
    <row r="268" spans="1:6" x14ac:dyDescent="0.35">
      <c r="A268" s="1">
        <v>2042</v>
      </c>
      <c r="B268" s="1">
        <v>2228.3627144720099</v>
      </c>
      <c r="C268" s="1">
        <v>5682.9260099864368</v>
      </c>
      <c r="D268" s="1">
        <v>13202.325208757729</v>
      </c>
      <c r="E268" s="1" t="s">
        <v>144</v>
      </c>
      <c r="F268" s="1">
        <v>3</v>
      </c>
    </row>
    <row r="269" spans="1:6" x14ac:dyDescent="0.35">
      <c r="A269" s="1">
        <v>2043</v>
      </c>
      <c r="B269" s="1">
        <v>2233.2743023032372</v>
      </c>
      <c r="C269" s="1">
        <v>5542.6140668633952</v>
      </c>
      <c r="D269" s="1">
        <v>13536.54366262013</v>
      </c>
      <c r="E269" s="1" t="s">
        <v>144</v>
      </c>
      <c r="F269" s="1">
        <v>3</v>
      </c>
    </row>
    <row r="270" spans="1:6" x14ac:dyDescent="0.35">
      <c r="A270" s="1">
        <v>2044</v>
      </c>
      <c r="B270" s="1">
        <v>2178.1345633145061</v>
      </c>
      <c r="C270" s="1">
        <v>5405.7664379595371</v>
      </c>
      <c r="D270" s="1">
        <v>13202.325208757729</v>
      </c>
      <c r="E270" s="1" t="s">
        <v>144</v>
      </c>
      <c r="F270" s="1">
        <v>3</v>
      </c>
    </row>
    <row r="271" spans="1:6" x14ac:dyDescent="0.35">
      <c r="A271" s="1">
        <v>2045</v>
      </c>
      <c r="B271" s="1">
        <v>2233.2743023032372</v>
      </c>
      <c r="C271" s="1">
        <v>5415.1269102253673</v>
      </c>
      <c r="D271" s="1">
        <v>13536.54366262013</v>
      </c>
      <c r="E271" s="1" t="s">
        <v>144</v>
      </c>
      <c r="F271" s="1">
        <v>3</v>
      </c>
    </row>
    <row r="272" spans="1:6" x14ac:dyDescent="0.35">
      <c r="A272" s="1">
        <v>2046</v>
      </c>
      <c r="B272" s="1">
        <v>2178.1345633145061</v>
      </c>
      <c r="C272" s="1">
        <v>5552.2115006128006</v>
      </c>
      <c r="D272" s="1">
        <v>13879.22289692356</v>
      </c>
      <c r="E272" s="1" t="s">
        <v>144</v>
      </c>
      <c r="F272" s="1">
        <v>3</v>
      </c>
    </row>
    <row r="273" spans="1:6" x14ac:dyDescent="0.35">
      <c r="A273" s="1">
        <v>2047</v>
      </c>
      <c r="B273" s="1">
        <v>2160.169987105759</v>
      </c>
      <c r="C273" s="1">
        <v>5692.7664039279334</v>
      </c>
      <c r="D273" s="1">
        <v>13536.54366262013</v>
      </c>
      <c r="E273" s="1" t="s">
        <v>144</v>
      </c>
      <c r="F273" s="1">
        <v>3</v>
      </c>
    </row>
    <row r="274" spans="1:6" x14ac:dyDescent="0.35">
      <c r="A274" s="1">
        <v>2048</v>
      </c>
      <c r="B274" s="1">
        <v>2160.9540739491899</v>
      </c>
      <c r="C274" s="1">
        <v>5552.2115006128006</v>
      </c>
      <c r="D274" s="1">
        <v>13202.325208757729</v>
      </c>
      <c r="E274" s="1" t="s">
        <v>144</v>
      </c>
      <c r="F274" s="1">
        <v>3</v>
      </c>
    </row>
    <row r="275" spans="1:6" x14ac:dyDescent="0.35">
      <c r="A275" s="1">
        <v>2049</v>
      </c>
      <c r="B275" s="1">
        <v>2107.599927760652</v>
      </c>
      <c r="C275" s="1">
        <v>5415.1269102253673</v>
      </c>
      <c r="D275" s="1">
        <v>12876.358637922929</v>
      </c>
      <c r="E275" s="1" t="s">
        <v>144</v>
      </c>
      <c r="F275" s="1">
        <v>3</v>
      </c>
    </row>
    <row r="276" spans="1:6" x14ac:dyDescent="0.35">
      <c r="A276" s="1">
        <v>2050</v>
      </c>
      <c r="B276" s="1">
        <v>2160.9540739491899</v>
      </c>
      <c r="C276" s="1">
        <v>5281.4269504341592</v>
      </c>
      <c r="D276" s="1">
        <v>12938.264122863249</v>
      </c>
      <c r="E276" s="1" t="s">
        <v>144</v>
      </c>
      <c r="F276" s="1">
        <v>3</v>
      </c>
    </row>
    <row r="277" spans="1:6" x14ac:dyDescent="0.35">
      <c r="A277" s="1">
        <v>2026</v>
      </c>
      <c r="B277" s="1">
        <v>2125.718515342754</v>
      </c>
      <c r="C277" s="1">
        <v>3611.739115545035</v>
      </c>
      <c r="D277" s="1">
        <v>5157.0208161682904</v>
      </c>
      <c r="E277" s="1" t="s">
        <v>145</v>
      </c>
      <c r="F277" s="1">
        <v>3</v>
      </c>
    </row>
    <row r="278" spans="1:6" x14ac:dyDescent="0.35">
      <c r="A278" s="1">
        <v>2027</v>
      </c>
      <c r="B278" s="1">
        <v>1730.9740419591451</v>
      </c>
      <c r="C278" s="1">
        <v>2875.1146396826462</v>
      </c>
      <c r="D278" s="1">
        <v>5054.9049622234788</v>
      </c>
      <c r="E278" s="1" t="s">
        <v>145</v>
      </c>
      <c r="F278" s="1">
        <v>3</v>
      </c>
    </row>
    <row r="279" spans="1:6" x14ac:dyDescent="0.35">
      <c r="A279" s="1">
        <v>2028</v>
      </c>
      <c r="B279" s="1">
        <v>1688.2361405865011</v>
      </c>
      <c r="C279" s="1">
        <v>2947.8985133077622</v>
      </c>
      <c r="D279" s="1">
        <v>5182.8704905816994</v>
      </c>
      <c r="E279" s="1" t="s">
        <v>145</v>
      </c>
      <c r="F279" s="1">
        <v>3</v>
      </c>
    </row>
    <row r="280" spans="1:6" x14ac:dyDescent="0.35">
      <c r="A280" s="1">
        <v>2029</v>
      </c>
      <c r="B280" s="1">
        <v>1646.553441758472</v>
      </c>
      <c r="C280" s="1">
        <v>2875.1146396826462</v>
      </c>
      <c r="D280" s="1">
        <v>5314.0754817132811</v>
      </c>
      <c r="E280" s="1" t="s">
        <v>145</v>
      </c>
      <c r="F280" s="1">
        <v>3</v>
      </c>
    </row>
    <row r="281" spans="1:6" x14ac:dyDescent="0.35">
      <c r="A281" s="1">
        <v>2030</v>
      </c>
      <c r="B281" s="1">
        <v>1688.2361405865011</v>
      </c>
      <c r="C281" s="1">
        <v>2947.8985133077622</v>
      </c>
      <c r="D281" s="1">
        <v>5182.8704905816994</v>
      </c>
      <c r="E281" s="1" t="s">
        <v>145</v>
      </c>
      <c r="F281" s="1">
        <v>3</v>
      </c>
    </row>
    <row r="282" spans="1:6" x14ac:dyDescent="0.35">
      <c r="A282" s="1">
        <v>2031</v>
      </c>
      <c r="B282" s="1">
        <v>2434.91784665764</v>
      </c>
      <c r="C282" s="1">
        <v>5186.4525957125634</v>
      </c>
      <c r="D282" s="1">
        <v>9305.3525028809472</v>
      </c>
      <c r="E282" s="1" t="s">
        <v>145</v>
      </c>
      <c r="F282" s="1">
        <v>3</v>
      </c>
    </row>
    <row r="283" spans="1:6" x14ac:dyDescent="0.35">
      <c r="A283" s="1">
        <v>2032</v>
      </c>
      <c r="B283" s="1">
        <v>2089.7956514985149</v>
      </c>
      <c r="C283" s="1">
        <v>4028.400652314956</v>
      </c>
      <c r="D283" s="1">
        <v>8064.1937061117778</v>
      </c>
      <c r="E283" s="1" t="s">
        <v>145</v>
      </c>
      <c r="F283" s="1">
        <v>3</v>
      </c>
    </row>
    <row r="284" spans="1:6" x14ac:dyDescent="0.35">
      <c r="A284" s="1">
        <v>2033</v>
      </c>
      <c r="B284" s="1">
        <v>2038.198413020209</v>
      </c>
      <c r="C284" s="1">
        <v>3928.9390858241782</v>
      </c>
      <c r="D284" s="1">
        <v>7865.0880540873113</v>
      </c>
      <c r="E284" s="1" t="s">
        <v>145</v>
      </c>
      <c r="F284" s="1">
        <v>3</v>
      </c>
    </row>
    <row r="285" spans="1:6" x14ac:dyDescent="0.35">
      <c r="A285" s="1">
        <v>2034</v>
      </c>
      <c r="B285" s="1">
        <v>1987.875114899027</v>
      </c>
      <c r="C285" s="1">
        <v>4028.400652314956</v>
      </c>
      <c r="D285" s="1">
        <v>8064.1937061117769</v>
      </c>
      <c r="E285" s="1" t="s">
        <v>145</v>
      </c>
      <c r="F285" s="1">
        <v>3</v>
      </c>
    </row>
    <row r="286" spans="1:6" x14ac:dyDescent="0.35">
      <c r="A286" s="1">
        <v>2035</v>
      </c>
      <c r="B286" s="1">
        <v>1938.7943034354821</v>
      </c>
      <c r="C286" s="1">
        <v>4130.3801003489971</v>
      </c>
      <c r="D286" s="1">
        <v>8268.3397417143369</v>
      </c>
      <c r="E286" s="1" t="s">
        <v>145</v>
      </c>
      <c r="F286" s="1">
        <v>3</v>
      </c>
    </row>
    <row r="287" spans="1:6" x14ac:dyDescent="0.35">
      <c r="A287" s="1">
        <v>2036</v>
      </c>
      <c r="B287" s="1">
        <v>1987.875114899027</v>
      </c>
      <c r="C287" s="1">
        <v>4028.400652314956</v>
      </c>
      <c r="D287" s="1">
        <v>8064.193706111776</v>
      </c>
      <c r="E287" s="1" t="s">
        <v>145</v>
      </c>
      <c r="F287" s="1">
        <v>3</v>
      </c>
    </row>
    <row r="288" spans="1:6" x14ac:dyDescent="0.35">
      <c r="A288" s="1">
        <v>2037</v>
      </c>
      <c r="B288" s="1">
        <v>2038.198413020209</v>
      </c>
      <c r="C288" s="1">
        <v>3928.9390858241768</v>
      </c>
      <c r="D288" s="1">
        <v>8268.3397417143369</v>
      </c>
      <c r="E288" s="1" t="s">
        <v>145</v>
      </c>
      <c r="F288" s="1">
        <v>3</v>
      </c>
    </row>
    <row r="289" spans="1:6" x14ac:dyDescent="0.35">
      <c r="A289" s="1">
        <v>2038</v>
      </c>
      <c r="B289" s="1">
        <v>1987.875114899027</v>
      </c>
      <c r="C289" s="1">
        <v>3831.9332341598561</v>
      </c>
      <c r="D289" s="1">
        <v>8064.193706111776</v>
      </c>
      <c r="E289" s="1" t="s">
        <v>145</v>
      </c>
      <c r="F289" s="1">
        <v>3</v>
      </c>
    </row>
    <row r="290" spans="1:6" x14ac:dyDescent="0.35">
      <c r="A290" s="1">
        <v>2039</v>
      </c>
      <c r="B290" s="1">
        <v>2038.198413020209</v>
      </c>
      <c r="C290" s="1">
        <v>3928.9390858241768</v>
      </c>
      <c r="D290" s="1">
        <v>7865.0880540873104</v>
      </c>
      <c r="E290" s="1" t="s">
        <v>145</v>
      </c>
      <c r="F290" s="1">
        <v>3</v>
      </c>
    </row>
    <row r="291" spans="1:6" x14ac:dyDescent="0.35">
      <c r="A291" s="1">
        <v>2040</v>
      </c>
      <c r="B291" s="1">
        <v>1987.875114899027</v>
      </c>
      <c r="C291" s="1">
        <v>3831.9332341598561</v>
      </c>
      <c r="D291" s="1">
        <v>8022.9926326779296</v>
      </c>
      <c r="E291" s="1" t="s">
        <v>145</v>
      </c>
      <c r="F291" s="1">
        <v>3</v>
      </c>
    </row>
    <row r="292" spans="1:6" x14ac:dyDescent="0.35">
      <c r="A292" s="1">
        <v>2041</v>
      </c>
      <c r="B292" s="1">
        <v>2038.198413020209</v>
      </c>
      <c r="C292" s="1">
        <v>3737.322465506893</v>
      </c>
      <c r="D292" s="1">
        <v>7824.9042387810723</v>
      </c>
      <c r="E292" s="1" t="s">
        <v>145</v>
      </c>
      <c r="F292" s="1">
        <v>3</v>
      </c>
    </row>
    <row r="293" spans="1:6" x14ac:dyDescent="0.35">
      <c r="A293" s="1">
        <v>2042</v>
      </c>
      <c r="B293" s="1">
        <v>2670.2293276703231</v>
      </c>
      <c r="C293" s="1">
        <v>6151.3197070764654</v>
      </c>
      <c r="D293" s="1">
        <v>18876.86684849998</v>
      </c>
      <c r="E293" s="1" t="s">
        <v>145</v>
      </c>
      <c r="F293" s="1">
        <v>3</v>
      </c>
    </row>
    <row r="294" spans="1:6" x14ac:dyDescent="0.35">
      <c r="A294" s="1">
        <v>2043</v>
      </c>
      <c r="B294" s="1">
        <v>2300.7953217440049</v>
      </c>
      <c r="C294" s="1">
        <v>5260.4008030870173</v>
      </c>
      <c r="D294" s="1">
        <v>14519.360599917971</v>
      </c>
      <c r="E294" s="1" t="s">
        <v>145</v>
      </c>
      <c r="F294" s="1">
        <v>3</v>
      </c>
    </row>
    <row r="295" spans="1:6" x14ac:dyDescent="0.35">
      <c r="A295" s="1">
        <v>2044</v>
      </c>
      <c r="B295" s="1">
        <v>2243.9884828453451</v>
      </c>
      <c r="C295" s="1">
        <v>5130.5210444925688</v>
      </c>
      <c r="D295" s="1">
        <v>14160.876309413639</v>
      </c>
      <c r="E295" s="1" t="s">
        <v>145</v>
      </c>
      <c r="F295" s="1">
        <v>3</v>
      </c>
    </row>
    <row r="296" spans="1:6" x14ac:dyDescent="0.35">
      <c r="A296" s="1">
        <v>2045</v>
      </c>
      <c r="B296" s="1">
        <v>2188.5842097964851</v>
      </c>
      <c r="C296" s="1">
        <v>5003.848028563556</v>
      </c>
      <c r="D296" s="1">
        <v>13982.72063212076</v>
      </c>
      <c r="E296" s="1" t="s">
        <v>145</v>
      </c>
      <c r="F296" s="1">
        <v>3</v>
      </c>
    </row>
    <row r="297" spans="1:6" x14ac:dyDescent="0.35">
      <c r="A297" s="1">
        <v>2046</v>
      </c>
      <c r="B297" s="1">
        <v>2134.547873123207</v>
      </c>
      <c r="C297" s="1">
        <v>4880.3025805414673</v>
      </c>
      <c r="D297" s="1">
        <v>13637.486029630451</v>
      </c>
      <c r="E297" s="1" t="s">
        <v>145</v>
      </c>
      <c r="F297" s="1">
        <v>3</v>
      </c>
    </row>
    <row r="298" spans="1:6" x14ac:dyDescent="0.35">
      <c r="A298" s="1">
        <v>2047</v>
      </c>
      <c r="B298" s="1">
        <v>2188.5842097964851</v>
      </c>
      <c r="C298" s="1">
        <v>5003.848028563556</v>
      </c>
      <c r="D298" s="1">
        <v>13961.1832883114</v>
      </c>
      <c r="E298" s="1" t="s">
        <v>145</v>
      </c>
      <c r="F298" s="1">
        <v>3</v>
      </c>
    </row>
    <row r="299" spans="1:6" x14ac:dyDescent="0.35">
      <c r="A299" s="1">
        <v>2048</v>
      </c>
      <c r="B299" s="1">
        <v>2243.9884828453451</v>
      </c>
      <c r="C299" s="1">
        <v>5130.5210444925679</v>
      </c>
      <c r="D299" s="1">
        <v>14314.61232591865</v>
      </c>
      <c r="E299" s="1" t="s">
        <v>145</v>
      </c>
      <c r="F299" s="1">
        <v>3</v>
      </c>
    </row>
    <row r="300" spans="1:6" x14ac:dyDescent="0.35">
      <c r="A300" s="1">
        <v>2049</v>
      </c>
      <c r="B300" s="1">
        <v>2300.7953217440049</v>
      </c>
      <c r="C300" s="1">
        <v>5260.4008030870154</v>
      </c>
      <c r="D300" s="1">
        <v>14676.98846220976</v>
      </c>
      <c r="E300" s="1" t="s">
        <v>145</v>
      </c>
      <c r="F300" s="1">
        <v>3</v>
      </c>
    </row>
    <row r="301" spans="1:6" x14ac:dyDescent="0.35">
      <c r="A301" s="1">
        <v>2050</v>
      </c>
      <c r="B301" s="1">
        <v>2243.9884828453451</v>
      </c>
      <c r="C301" s="1">
        <v>5130.5210444925669</v>
      </c>
      <c r="D301" s="1">
        <v>14314.61232591865</v>
      </c>
      <c r="E301" s="1" t="s">
        <v>145</v>
      </c>
      <c r="F301" s="1">
        <v>3</v>
      </c>
    </row>
    <row r="302" spans="1:6" x14ac:dyDescent="0.35">
      <c r="A302" s="1">
        <v>2026</v>
      </c>
      <c r="B302" s="1">
        <v>2010.8067526734369</v>
      </c>
      <c r="C302" s="1">
        <v>1972.121506377242</v>
      </c>
      <c r="D302" s="1">
        <v>2073.234338195939</v>
      </c>
      <c r="E302" s="1" t="s">
        <v>146</v>
      </c>
      <c r="F302" s="1">
        <v>3</v>
      </c>
    </row>
    <row r="303" spans="1:6" x14ac:dyDescent="0.35">
      <c r="A303" s="1">
        <v>2027</v>
      </c>
      <c r="B303" s="1">
        <v>1961.159757055907</v>
      </c>
      <c r="C303" s="1">
        <v>1923.429652893971</v>
      </c>
      <c r="D303" s="1">
        <v>2022.046</v>
      </c>
      <c r="E303" s="1" t="s">
        <v>146</v>
      </c>
      <c r="F303" s="1">
        <v>3</v>
      </c>
    </row>
    <row r="304" spans="1:6" x14ac:dyDescent="0.35">
      <c r="A304" s="1">
        <v>2028</v>
      </c>
      <c r="B304" s="1">
        <v>1912.7385501277031</v>
      </c>
      <c r="C304" s="1">
        <v>1875.940005556705</v>
      </c>
      <c r="D304" s="1">
        <v>1972.121506377242</v>
      </c>
      <c r="E304" s="1" t="s">
        <v>146</v>
      </c>
      <c r="F304" s="1">
        <v>3</v>
      </c>
    </row>
    <row r="305" spans="1:6" x14ac:dyDescent="0.35">
      <c r="A305" s="1">
        <v>2029</v>
      </c>
      <c r="B305" s="1">
        <v>1865.512867058251</v>
      </c>
      <c r="C305" s="1">
        <v>1829.62288178994</v>
      </c>
      <c r="D305" s="1">
        <v>2022.046</v>
      </c>
      <c r="E305" s="1" t="s">
        <v>146</v>
      </c>
      <c r="F305" s="1">
        <v>3</v>
      </c>
    </row>
    <row r="306" spans="1:6" x14ac:dyDescent="0.35">
      <c r="A306" s="1">
        <v>2030</v>
      </c>
      <c r="B306" s="1">
        <v>1912.7385501277031</v>
      </c>
      <c r="C306" s="1">
        <v>1875.940005556705</v>
      </c>
      <c r="D306" s="1">
        <v>1972.121506377242</v>
      </c>
      <c r="E306" s="1" t="s">
        <v>146</v>
      </c>
      <c r="F306" s="1">
        <v>3</v>
      </c>
    </row>
    <row r="307" spans="1:6" x14ac:dyDescent="0.35">
      <c r="A307" s="1">
        <v>2031</v>
      </c>
      <c r="B307" s="1">
        <v>1865.512867058251</v>
      </c>
      <c r="C307" s="1">
        <v>1923.429652893971</v>
      </c>
      <c r="D307" s="1">
        <v>1958.46337804219</v>
      </c>
      <c r="E307" s="1" t="s">
        <v>146</v>
      </c>
      <c r="F307" s="1">
        <v>3</v>
      </c>
    </row>
    <row r="308" spans="1:6" x14ac:dyDescent="0.35">
      <c r="A308" s="1">
        <v>2032</v>
      </c>
      <c r="B308" s="1">
        <v>1819.4531902583051</v>
      </c>
      <c r="C308" s="1">
        <v>1875.940005556705</v>
      </c>
      <c r="D308" s="1">
        <v>2008.042114500008</v>
      </c>
      <c r="E308" s="1" t="s">
        <v>146</v>
      </c>
      <c r="F308" s="1">
        <v>3</v>
      </c>
    </row>
    <row r="309" spans="1:6" x14ac:dyDescent="0.35">
      <c r="A309" s="1">
        <v>2033</v>
      </c>
      <c r="B309" s="1">
        <v>1774.530730930496</v>
      </c>
      <c r="C309" s="1">
        <v>1923.429652893971</v>
      </c>
      <c r="D309" s="1">
        <v>1958.46337804219</v>
      </c>
      <c r="E309" s="1" t="s">
        <v>146</v>
      </c>
      <c r="F309" s="1">
        <v>3</v>
      </c>
    </row>
    <row r="310" spans="1:6" x14ac:dyDescent="0.35">
      <c r="A310" s="1">
        <v>2034</v>
      </c>
      <c r="B310" s="1">
        <v>1865.512867058251</v>
      </c>
      <c r="C310" s="1">
        <v>3120.4779826916401</v>
      </c>
      <c r="D310" s="1">
        <v>5738.8292512142407</v>
      </c>
      <c r="E310" s="1" t="s">
        <v>146</v>
      </c>
      <c r="F310" s="1">
        <v>3</v>
      </c>
    </row>
    <row r="311" spans="1:6" x14ac:dyDescent="0.35">
      <c r="A311" s="1">
        <v>2035</v>
      </c>
      <c r="B311" s="1">
        <v>1491.395588300679</v>
      </c>
      <c r="C311" s="1">
        <v>2423.0706716444579</v>
      </c>
      <c r="D311" s="1">
        <v>4345.3122288818267</v>
      </c>
      <c r="E311" s="1" t="s">
        <v>146</v>
      </c>
      <c r="F311" s="1">
        <v>3</v>
      </c>
    </row>
    <row r="312" spans="1:6" x14ac:dyDescent="0.35">
      <c r="A312" s="1">
        <v>2036</v>
      </c>
      <c r="B312" s="1">
        <v>1529.1504473681121</v>
      </c>
      <c r="C312" s="1">
        <v>2484.410997736346</v>
      </c>
      <c r="D312" s="1">
        <v>4455.3143316722444</v>
      </c>
      <c r="E312" s="1" t="s">
        <v>146</v>
      </c>
      <c r="F312" s="1">
        <v>3</v>
      </c>
    </row>
    <row r="313" spans="1:6" x14ac:dyDescent="0.35">
      <c r="A313" s="1">
        <v>2037</v>
      </c>
      <c r="B313" s="1">
        <v>1567.8610752432201</v>
      </c>
      <c r="C313" s="1">
        <v>2423.070671644457</v>
      </c>
      <c r="D313" s="1">
        <v>4568.1011509527434</v>
      </c>
      <c r="E313" s="1" t="s">
        <v>146</v>
      </c>
      <c r="F313" s="1">
        <v>3</v>
      </c>
    </row>
    <row r="314" spans="1:6" x14ac:dyDescent="0.35">
      <c r="A314" s="1">
        <v>2038</v>
      </c>
      <c r="B314" s="1">
        <v>1529.1504473681121</v>
      </c>
      <c r="C314" s="1">
        <v>2484.410997736346</v>
      </c>
      <c r="D314" s="1">
        <v>4683.7431821568935</v>
      </c>
      <c r="E314" s="1" t="s">
        <v>146</v>
      </c>
      <c r="F314" s="1">
        <v>3</v>
      </c>
    </row>
    <row r="315" spans="1:6" x14ac:dyDescent="0.35">
      <c r="A315" s="1">
        <v>2039</v>
      </c>
      <c r="B315" s="1">
        <v>1567.8610752432201</v>
      </c>
      <c r="C315" s="1">
        <v>2547.3041615762581</v>
      </c>
      <c r="D315" s="1">
        <v>4568.1011509527434</v>
      </c>
      <c r="E315" s="1" t="s">
        <v>146</v>
      </c>
      <c r="F315" s="1">
        <v>3</v>
      </c>
    </row>
    <row r="316" spans="1:6" x14ac:dyDescent="0.35">
      <c r="A316" s="1">
        <v>2040</v>
      </c>
      <c r="B316" s="1">
        <v>1607.5516673285631</v>
      </c>
      <c r="C316" s="1">
        <v>2611.7894734389401</v>
      </c>
      <c r="D316" s="1">
        <v>4455.3143316722444</v>
      </c>
      <c r="E316" s="1" t="s">
        <v>146</v>
      </c>
      <c r="F316" s="1">
        <v>3</v>
      </c>
    </row>
    <row r="317" spans="1:6" x14ac:dyDescent="0.35">
      <c r="A317" s="1">
        <v>2041</v>
      </c>
      <c r="B317" s="1">
        <v>1648.247031536232</v>
      </c>
      <c r="C317" s="1">
        <v>2677.9072387434808</v>
      </c>
      <c r="D317" s="1">
        <v>4568.1011509527434</v>
      </c>
      <c r="E317" s="1" t="s">
        <v>146</v>
      </c>
      <c r="F317" s="1">
        <v>3</v>
      </c>
    </row>
    <row r="318" spans="1:6" x14ac:dyDescent="0.35">
      <c r="A318" s="1">
        <v>2042</v>
      </c>
      <c r="B318" s="1">
        <v>1607.5516673285631</v>
      </c>
      <c r="C318" s="1">
        <v>2745.6987832455129</v>
      </c>
      <c r="D318" s="1">
        <v>4455.3143316722444</v>
      </c>
      <c r="E318" s="1" t="s">
        <v>146</v>
      </c>
      <c r="F318" s="1">
        <v>3</v>
      </c>
    </row>
    <row r="319" spans="1:6" x14ac:dyDescent="0.35">
      <c r="A319" s="1">
        <v>2043</v>
      </c>
      <c r="B319" s="1">
        <v>1567.8610752432201</v>
      </c>
      <c r="C319" s="1">
        <v>2677.9072387434808</v>
      </c>
      <c r="D319" s="1">
        <v>4568.1011509527434</v>
      </c>
      <c r="E319" s="1" t="s">
        <v>146</v>
      </c>
      <c r="F319" s="1">
        <v>3</v>
      </c>
    </row>
    <row r="320" spans="1:6" x14ac:dyDescent="0.35">
      <c r="A320" s="1">
        <v>2044</v>
      </c>
      <c r="B320" s="1">
        <v>1529.1504473681121</v>
      </c>
      <c r="C320" s="1">
        <v>2745.6987832455129</v>
      </c>
      <c r="D320" s="1">
        <v>4455.3143316722444</v>
      </c>
      <c r="E320" s="1" t="s">
        <v>146</v>
      </c>
      <c r="F320" s="1">
        <v>3</v>
      </c>
    </row>
    <row r="321" spans="1:6" x14ac:dyDescent="0.35">
      <c r="A321" s="1">
        <v>2045</v>
      </c>
      <c r="B321" s="1">
        <v>1567.8610752432201</v>
      </c>
      <c r="C321" s="1">
        <v>2815.206478867151</v>
      </c>
      <c r="D321" s="1">
        <v>4345.3122288818258</v>
      </c>
      <c r="E321" s="1" t="s">
        <v>146</v>
      </c>
      <c r="F321" s="1">
        <v>3</v>
      </c>
    </row>
    <row r="322" spans="1:6" x14ac:dyDescent="0.35">
      <c r="A322" s="1">
        <v>2046</v>
      </c>
      <c r="B322" s="1">
        <v>1607.5516673285631</v>
      </c>
      <c r="C322" s="1">
        <v>2745.6987832455129</v>
      </c>
      <c r="D322" s="1">
        <v>4238.0260876863713</v>
      </c>
      <c r="E322" s="1" t="s">
        <v>146</v>
      </c>
      <c r="F322" s="1">
        <v>3</v>
      </c>
    </row>
    <row r="323" spans="1:6" x14ac:dyDescent="0.35">
      <c r="A323" s="1">
        <v>2047</v>
      </c>
      <c r="B323" s="1">
        <v>1648.247031536232</v>
      </c>
      <c r="C323" s="1">
        <v>2677.9072387434808</v>
      </c>
      <c r="D323" s="1">
        <v>4133.3888507551737</v>
      </c>
      <c r="E323" s="1" t="s">
        <v>146</v>
      </c>
      <c r="F323" s="1">
        <v>3</v>
      </c>
    </row>
    <row r="324" spans="1:6" x14ac:dyDescent="0.35">
      <c r="A324" s="1">
        <v>2048</v>
      </c>
      <c r="B324" s="1">
        <v>1880.0751783184769</v>
      </c>
      <c r="C324" s="1">
        <v>4393.8045531253256</v>
      </c>
      <c r="D324" s="1">
        <v>10841.54761034532</v>
      </c>
      <c r="E324" s="1" t="s">
        <v>146</v>
      </c>
      <c r="F324" s="1">
        <v>3</v>
      </c>
    </row>
    <row r="325" spans="1:6" x14ac:dyDescent="0.35">
      <c r="A325" s="1">
        <v>2049</v>
      </c>
      <c r="B325" s="1">
        <v>1842.8471955047321</v>
      </c>
      <c r="C325" s="1">
        <v>4128.406157907858</v>
      </c>
      <c r="D325" s="1">
        <v>8218.1296134561708</v>
      </c>
      <c r="E325" s="1" t="s">
        <v>146</v>
      </c>
      <c r="F325" s="1">
        <v>3</v>
      </c>
    </row>
    <row r="326" spans="1:6" x14ac:dyDescent="0.35">
      <c r="A326" s="1">
        <v>2050</v>
      </c>
      <c r="B326" s="1">
        <v>3280.3259395126688</v>
      </c>
      <c r="C326" s="1">
        <v>6984.6607434449397</v>
      </c>
      <c r="D326" s="1">
        <v>16351.836339558609</v>
      </c>
      <c r="E326" s="1" t="s">
        <v>146</v>
      </c>
      <c r="F326" s="1">
        <v>3</v>
      </c>
    </row>
    <row r="327" spans="1:6" x14ac:dyDescent="0.35">
      <c r="A327" s="1">
        <v>2026</v>
      </c>
      <c r="B327" s="1">
        <v>2073.234338195939</v>
      </c>
      <c r="C327" s="1">
        <v>1972.121506377242</v>
      </c>
      <c r="D327" s="1">
        <v>2073.234338195939</v>
      </c>
      <c r="E327" s="1" t="s">
        <v>147</v>
      </c>
      <c r="F327" s="1">
        <v>3</v>
      </c>
    </row>
    <row r="328" spans="1:6" x14ac:dyDescent="0.35">
      <c r="A328" s="1">
        <v>2027</v>
      </c>
      <c r="B328" s="1">
        <v>2125.718515342754</v>
      </c>
      <c r="C328" s="1">
        <v>2022.046</v>
      </c>
      <c r="D328" s="1">
        <v>2125.718515342754</v>
      </c>
      <c r="E328" s="1" t="s">
        <v>147</v>
      </c>
      <c r="F328" s="1">
        <v>3</v>
      </c>
    </row>
    <row r="329" spans="1:6" x14ac:dyDescent="0.35">
      <c r="A329" s="1">
        <v>2028</v>
      </c>
      <c r="B329" s="1">
        <v>2073.234338195939</v>
      </c>
      <c r="C329" s="1">
        <v>2073.234338195939</v>
      </c>
      <c r="D329" s="1">
        <v>2179.531335759666</v>
      </c>
      <c r="E329" s="1" t="s">
        <v>147</v>
      </c>
      <c r="F329" s="1">
        <v>3</v>
      </c>
    </row>
    <row r="330" spans="1:6" x14ac:dyDescent="0.35">
      <c r="A330" s="1">
        <v>2029</v>
      </c>
      <c r="B330" s="1">
        <v>2179.531335759666</v>
      </c>
      <c r="C330" s="1">
        <v>3462.5663852759062</v>
      </c>
      <c r="D330" s="1">
        <v>4854.0469529925595</v>
      </c>
      <c r="E330" s="1" t="s">
        <v>147</v>
      </c>
      <c r="F330" s="1">
        <v>3</v>
      </c>
    </row>
    <row r="331" spans="1:6" x14ac:dyDescent="0.35">
      <c r="A331" s="1">
        <v>2030</v>
      </c>
      <c r="B331" s="1">
        <v>1669.8982868059211</v>
      </c>
      <c r="C331" s="1">
        <v>2634.846979386924</v>
      </c>
      <c r="D331" s="1">
        <v>4629.2538093772346</v>
      </c>
      <c r="E331" s="1" t="s">
        <v>147</v>
      </c>
      <c r="F331" s="1">
        <v>3</v>
      </c>
    </row>
    <row r="332" spans="1:6" x14ac:dyDescent="0.35">
      <c r="A332" s="1">
        <v>2031</v>
      </c>
      <c r="B332" s="1">
        <v>1712.1719631999499</v>
      </c>
      <c r="C332" s="1">
        <v>2701.5484482335319</v>
      </c>
      <c r="D332" s="1">
        <v>4746.4439274997912</v>
      </c>
      <c r="E332" s="1" t="s">
        <v>147</v>
      </c>
      <c r="F332" s="1">
        <v>3</v>
      </c>
    </row>
    <row r="333" spans="1:6" x14ac:dyDescent="0.35">
      <c r="A333" s="1">
        <v>2032</v>
      </c>
      <c r="B333" s="1">
        <v>1669.8982868059211</v>
      </c>
      <c r="C333" s="1">
        <v>2634.846979386924</v>
      </c>
      <c r="D333" s="1">
        <v>4629.2538093772346</v>
      </c>
      <c r="E333" s="1" t="s">
        <v>147</v>
      </c>
      <c r="F333" s="1">
        <v>3</v>
      </c>
    </row>
    <row r="334" spans="1:6" x14ac:dyDescent="0.35">
      <c r="A334" s="1">
        <v>2033</v>
      </c>
      <c r="B334" s="1">
        <v>1712.1719631999499</v>
      </c>
      <c r="C334" s="1">
        <v>2701.5484482335319</v>
      </c>
      <c r="D334" s="1">
        <v>4746.4439274997903</v>
      </c>
      <c r="E334" s="1" t="s">
        <v>147</v>
      </c>
      <c r="F334" s="1">
        <v>3</v>
      </c>
    </row>
    <row r="335" spans="1:6" x14ac:dyDescent="0.35">
      <c r="A335" s="1">
        <v>2034</v>
      </c>
      <c r="B335" s="1">
        <v>1755.515802806905</v>
      </c>
      <c r="C335" s="1">
        <v>2769.9384728031469</v>
      </c>
      <c r="D335" s="1">
        <v>4866.6007275868906</v>
      </c>
      <c r="E335" s="1" t="s">
        <v>147</v>
      </c>
      <c r="F335" s="1">
        <v>3</v>
      </c>
    </row>
    <row r="336" spans="1:6" x14ac:dyDescent="0.35">
      <c r="A336" s="1">
        <v>2035</v>
      </c>
      <c r="B336" s="1">
        <v>1712.1719631999499</v>
      </c>
      <c r="C336" s="1">
        <v>2701.548448233531</v>
      </c>
      <c r="D336" s="1">
        <v>4746.4439274997894</v>
      </c>
      <c r="E336" s="1" t="s">
        <v>147</v>
      </c>
      <c r="F336" s="1">
        <v>3</v>
      </c>
    </row>
    <row r="337" spans="1:6" x14ac:dyDescent="0.35">
      <c r="A337" s="1">
        <v>2036</v>
      </c>
      <c r="B337" s="1">
        <v>1669.8982868059211</v>
      </c>
      <c r="C337" s="1">
        <v>2634.846979386924</v>
      </c>
      <c r="D337" s="1">
        <v>4866.6007275868897</v>
      </c>
      <c r="E337" s="1" t="s">
        <v>147</v>
      </c>
      <c r="F337" s="1">
        <v>3</v>
      </c>
    </row>
    <row r="338" spans="1:6" x14ac:dyDescent="0.35">
      <c r="A338" s="1">
        <v>2037</v>
      </c>
      <c r="B338" s="1">
        <v>1628.6683512009461</v>
      </c>
      <c r="C338" s="1">
        <v>2701.548448233531</v>
      </c>
      <c r="D338" s="1">
        <v>4746.4439274997894</v>
      </c>
      <c r="E338" s="1" t="s">
        <v>147</v>
      </c>
      <c r="F338" s="1">
        <v>3</v>
      </c>
    </row>
    <row r="339" spans="1:6" x14ac:dyDescent="0.35">
      <c r="A339" s="1">
        <v>2038</v>
      </c>
      <c r="B339" s="1">
        <v>1588.4563863331241</v>
      </c>
      <c r="C339" s="1">
        <v>2734.459767956906</v>
      </c>
      <c r="D339" s="1">
        <v>4629.2538093772318</v>
      </c>
      <c r="E339" s="1" t="s">
        <v>147</v>
      </c>
      <c r="F339" s="1">
        <v>3</v>
      </c>
    </row>
    <row r="340" spans="1:6" x14ac:dyDescent="0.35">
      <c r="A340" s="1">
        <v>2039</v>
      </c>
      <c r="B340" s="1">
        <v>1549.237258415402</v>
      </c>
      <c r="C340" s="1">
        <v>2803.6829465519372</v>
      </c>
      <c r="D340" s="1">
        <v>4746.4439274997876</v>
      </c>
      <c r="E340" s="1" t="s">
        <v>147</v>
      </c>
      <c r="F340" s="1">
        <v>3</v>
      </c>
    </row>
    <row r="341" spans="1:6" x14ac:dyDescent="0.35">
      <c r="A341" s="1">
        <v>2040</v>
      </c>
      <c r="B341" s="1">
        <v>1588.4563863331241</v>
      </c>
      <c r="C341" s="1">
        <v>2734.459767956906</v>
      </c>
      <c r="D341" s="1">
        <v>4866.6007275868878</v>
      </c>
      <c r="E341" s="1" t="s">
        <v>147</v>
      </c>
      <c r="F341" s="1">
        <v>3</v>
      </c>
    </row>
    <row r="342" spans="1:6" x14ac:dyDescent="0.35">
      <c r="A342" s="1">
        <v>2041</v>
      </c>
      <c r="B342" s="1">
        <v>1593.0153366693371</v>
      </c>
      <c r="C342" s="1">
        <v>2666.9457157310649</v>
      </c>
      <c r="D342" s="1">
        <v>4746.4439274997867</v>
      </c>
      <c r="E342" s="1" t="s">
        <v>147</v>
      </c>
      <c r="F342" s="1">
        <v>3</v>
      </c>
    </row>
    <row r="343" spans="1:6" x14ac:dyDescent="0.35">
      <c r="A343" s="1">
        <v>2042</v>
      </c>
      <c r="B343" s="1">
        <v>1633.3427119143851</v>
      </c>
      <c r="C343" s="1">
        <v>2601.098591394004</v>
      </c>
      <c r="D343" s="1">
        <v>4629.2538093772309</v>
      </c>
      <c r="E343" s="1" t="s">
        <v>147</v>
      </c>
      <c r="F343" s="1">
        <v>3</v>
      </c>
    </row>
    <row r="344" spans="1:6" x14ac:dyDescent="0.35">
      <c r="A344" s="1">
        <v>2043</v>
      </c>
      <c r="B344" s="1">
        <v>1593.0153366693371</v>
      </c>
      <c r="C344" s="1">
        <v>2536.8772383495061</v>
      </c>
      <c r="D344" s="1">
        <v>4514.9571255805304</v>
      </c>
      <c r="E344" s="1" t="s">
        <v>147</v>
      </c>
      <c r="F344" s="1">
        <v>3</v>
      </c>
    </row>
    <row r="345" spans="1:6" x14ac:dyDescent="0.35">
      <c r="A345" s="1">
        <v>2044</v>
      </c>
      <c r="B345" s="1">
        <v>2758.3099957421869</v>
      </c>
      <c r="C345" s="1">
        <v>5235.9351816588951</v>
      </c>
      <c r="D345" s="1">
        <v>8624.9622731353102</v>
      </c>
      <c r="E345" s="1" t="s">
        <v>147</v>
      </c>
      <c r="F345" s="1">
        <v>3</v>
      </c>
    </row>
    <row r="346" spans="1:6" x14ac:dyDescent="0.35">
      <c r="A346" s="1">
        <v>2045</v>
      </c>
      <c r="B346" s="1">
        <v>1785.1317837623151</v>
      </c>
      <c r="C346" s="1">
        <v>3883.78680888797</v>
      </c>
      <c r="D346" s="1">
        <v>7314.6955448208237</v>
      </c>
      <c r="E346" s="1" t="s">
        <v>147</v>
      </c>
      <c r="F346" s="1">
        <v>3</v>
      </c>
    </row>
    <row r="347" spans="1:6" x14ac:dyDescent="0.35">
      <c r="A347" s="1">
        <v>2046</v>
      </c>
      <c r="B347" s="1">
        <v>1741.0567229802041</v>
      </c>
      <c r="C347" s="1">
        <v>3982.105340046156</v>
      </c>
      <c r="D347" s="1">
        <v>7499.8679441374652</v>
      </c>
      <c r="E347" s="1" t="s">
        <v>147</v>
      </c>
      <c r="F347" s="1">
        <v>3</v>
      </c>
    </row>
    <row r="348" spans="1:6" x14ac:dyDescent="0.35">
      <c r="A348" s="1">
        <v>2047</v>
      </c>
      <c r="B348" s="1">
        <v>1698.069879326159</v>
      </c>
      <c r="C348" s="1">
        <v>3883.78680888797</v>
      </c>
      <c r="D348" s="1">
        <v>7689.7280050606059</v>
      </c>
      <c r="E348" s="1" t="s">
        <v>147</v>
      </c>
      <c r="F348" s="1">
        <v>3</v>
      </c>
    </row>
    <row r="349" spans="1:6" x14ac:dyDescent="0.35">
      <c r="A349" s="1">
        <v>2048</v>
      </c>
      <c r="B349" s="1">
        <v>1741.0567229802041</v>
      </c>
      <c r="C349" s="1">
        <v>3982.105340046156</v>
      </c>
      <c r="D349" s="1">
        <v>7884.3943963087913</v>
      </c>
      <c r="E349" s="1" t="s">
        <v>147</v>
      </c>
      <c r="F349" s="1">
        <v>3</v>
      </c>
    </row>
    <row r="350" spans="1:6" x14ac:dyDescent="0.35">
      <c r="A350" s="1">
        <v>2049</v>
      </c>
      <c r="B350" s="1">
        <v>3352.0958231929262</v>
      </c>
      <c r="C350" s="1">
        <v>5618.3739971032564</v>
      </c>
      <c r="D350" s="1">
        <v>15738.364177948681</v>
      </c>
      <c r="E350" s="1" t="s">
        <v>147</v>
      </c>
      <c r="F350" s="1">
        <v>3</v>
      </c>
    </row>
    <row r="351" spans="1:6" x14ac:dyDescent="0.35">
      <c r="A351" s="1">
        <v>2050</v>
      </c>
      <c r="B351" s="1">
        <v>2265.7401238344642</v>
      </c>
      <c r="C351" s="1">
        <v>5008.0670929494954</v>
      </c>
      <c r="D351" s="1">
        <v>11537.77484418407</v>
      </c>
      <c r="E351" s="1" t="s">
        <v>147</v>
      </c>
      <c r="F351" s="1">
        <v>3</v>
      </c>
    </row>
    <row r="352" spans="1:6" x14ac:dyDescent="0.35">
      <c r="A352" s="1">
        <v>2026</v>
      </c>
      <c r="B352" s="1">
        <v>1972.121506377242</v>
      </c>
      <c r="C352" s="1">
        <v>1972.121506377242</v>
      </c>
      <c r="D352" s="1">
        <v>1972.121506377242</v>
      </c>
      <c r="E352" s="1" t="s">
        <v>148</v>
      </c>
      <c r="F352" s="1">
        <v>3</v>
      </c>
    </row>
    <row r="353" spans="1:6" x14ac:dyDescent="0.35">
      <c r="A353" s="1">
        <v>2027</v>
      </c>
      <c r="B353" s="1">
        <v>2329.8633464023128</v>
      </c>
      <c r="C353" s="1">
        <v>4866.5649018667818</v>
      </c>
      <c r="D353" s="1">
        <v>5108.6017032448863</v>
      </c>
      <c r="E353" s="1" t="s">
        <v>148</v>
      </c>
      <c r="F353" s="1">
        <v>3</v>
      </c>
    </row>
    <row r="354" spans="1:6" x14ac:dyDescent="0.35">
      <c r="A354" s="1">
        <v>2028</v>
      </c>
      <c r="B354" s="1">
        <v>1860.0269804609691</v>
      </c>
      <c r="C354" s="1">
        <v>2941.063881677152</v>
      </c>
      <c r="D354" s="1">
        <v>4280.8143057609004</v>
      </c>
      <c r="E354" s="1" t="s">
        <v>148</v>
      </c>
      <c r="F354" s="1">
        <v>3</v>
      </c>
    </row>
    <row r="355" spans="1:6" x14ac:dyDescent="0.35">
      <c r="A355" s="1">
        <v>2029</v>
      </c>
      <c r="B355" s="1">
        <v>1814.1027506837131</v>
      </c>
      <c r="C355" s="1">
        <v>2868.4487557082489</v>
      </c>
      <c r="D355" s="1">
        <v>4389.1836358539367</v>
      </c>
      <c r="E355" s="1" t="s">
        <v>148</v>
      </c>
      <c r="F355" s="1">
        <v>3</v>
      </c>
    </row>
    <row r="356" spans="1:6" x14ac:dyDescent="0.35">
      <c r="A356" s="1">
        <v>2030</v>
      </c>
      <c r="B356" s="1">
        <v>1769.312394179688</v>
      </c>
      <c r="C356" s="1">
        <v>2941.063881677152</v>
      </c>
      <c r="D356" s="1">
        <v>4500.2963485994296</v>
      </c>
      <c r="E356" s="1" t="s">
        <v>148</v>
      </c>
      <c r="F356" s="1">
        <v>3</v>
      </c>
    </row>
    <row r="357" spans="1:6" x14ac:dyDescent="0.35">
      <c r="A357" s="1">
        <v>2031</v>
      </c>
      <c r="B357" s="1">
        <v>1814.1027506837131</v>
      </c>
      <c r="C357" s="1">
        <v>2868.4487557082489</v>
      </c>
      <c r="D357" s="1">
        <v>4389.1836358539358</v>
      </c>
      <c r="E357" s="1" t="s">
        <v>148</v>
      </c>
      <c r="F357" s="1">
        <v>3</v>
      </c>
    </row>
    <row r="358" spans="1:6" x14ac:dyDescent="0.35">
      <c r="A358" s="1">
        <v>2032</v>
      </c>
      <c r="B358" s="1">
        <v>1769.312394179688</v>
      </c>
      <c r="C358" s="1">
        <v>2797.6265035875931</v>
      </c>
      <c r="D358" s="1">
        <v>4280.8143057609004</v>
      </c>
      <c r="E358" s="1" t="s">
        <v>148</v>
      </c>
      <c r="F358" s="1">
        <v>3</v>
      </c>
    </row>
    <row r="359" spans="1:6" x14ac:dyDescent="0.35">
      <c r="A359" s="1">
        <v>2033</v>
      </c>
      <c r="B359" s="1">
        <v>1801.6462448204679</v>
      </c>
      <c r="C359" s="1">
        <v>2728.5528591021471</v>
      </c>
      <c r="D359" s="1">
        <v>4175.1206239612902</v>
      </c>
      <c r="E359" s="1" t="s">
        <v>148</v>
      </c>
      <c r="F359" s="1">
        <v>3</v>
      </c>
    </row>
    <row r="360" spans="1:6" x14ac:dyDescent="0.35">
      <c r="A360" s="1">
        <v>2034</v>
      </c>
      <c r="B360" s="1">
        <v>1847.2551366504831</v>
      </c>
      <c r="C360" s="1">
        <v>2797.6265035875922</v>
      </c>
      <c r="D360" s="1">
        <v>4072.0365284633631</v>
      </c>
      <c r="E360" s="1" t="s">
        <v>148</v>
      </c>
      <c r="F360" s="1">
        <v>3</v>
      </c>
    </row>
    <row r="361" spans="1:6" x14ac:dyDescent="0.35">
      <c r="A361" s="1">
        <v>2035</v>
      </c>
      <c r="B361" s="1">
        <v>1941.965932792795</v>
      </c>
      <c r="C361" s="1">
        <v>4814.5859323605073</v>
      </c>
      <c r="D361" s="1">
        <v>10782.944942278469</v>
      </c>
      <c r="E361" s="1" t="s">
        <v>148</v>
      </c>
      <c r="F361" s="1">
        <v>3</v>
      </c>
    </row>
    <row r="362" spans="1:6" x14ac:dyDescent="0.35">
      <c r="A362" s="1">
        <v>2036</v>
      </c>
      <c r="B362" s="1">
        <v>1896.175166647944</v>
      </c>
      <c r="C362" s="1">
        <v>3627.162297667363</v>
      </c>
      <c r="D362" s="1">
        <v>9494.5939584768767</v>
      </c>
      <c r="E362" s="1" t="s">
        <v>148</v>
      </c>
      <c r="F362" s="1">
        <v>3</v>
      </c>
    </row>
    <row r="363" spans="1:6" x14ac:dyDescent="0.35">
      <c r="A363" s="1">
        <v>2037</v>
      </c>
      <c r="B363" s="1">
        <v>1849.358434973715</v>
      </c>
      <c r="C363" s="1">
        <v>3718.984348394476</v>
      </c>
      <c r="D363" s="1">
        <v>9260.1715983868216</v>
      </c>
      <c r="E363" s="1" t="s">
        <v>148</v>
      </c>
      <c r="F363" s="1">
        <v>3</v>
      </c>
    </row>
    <row r="364" spans="1:6" x14ac:dyDescent="0.35">
      <c r="A364" s="1">
        <v>2038</v>
      </c>
      <c r="B364" s="1">
        <v>3367.5079057055041</v>
      </c>
      <c r="C364" s="1">
        <v>6532.8430902908531</v>
      </c>
      <c r="D364" s="1">
        <v>18298.253660119939</v>
      </c>
      <c r="E364" s="1" t="s">
        <v>148</v>
      </c>
      <c r="F364" s="1">
        <v>3</v>
      </c>
    </row>
    <row r="365" spans="1:6" x14ac:dyDescent="0.35">
      <c r="A365" s="1">
        <v>2039</v>
      </c>
      <c r="B365" s="1">
        <v>2312.1546051489881</v>
      </c>
      <c r="C365" s="1">
        <v>5180.0277915406923</v>
      </c>
      <c r="D365" s="1">
        <v>12591.5506270798</v>
      </c>
      <c r="E365" s="1" t="s">
        <v>148</v>
      </c>
      <c r="F365" s="1">
        <v>3</v>
      </c>
    </row>
    <row r="366" spans="1:6" x14ac:dyDescent="0.35">
      <c r="A366" s="1">
        <v>2040</v>
      </c>
      <c r="B366" s="1">
        <v>2370.687077649447</v>
      </c>
      <c r="C366" s="1">
        <v>5311.1608194034361</v>
      </c>
      <c r="D366" s="1">
        <v>12910.30724879377</v>
      </c>
      <c r="E366" s="1" t="s">
        <v>148</v>
      </c>
      <c r="F366" s="1">
        <v>3</v>
      </c>
    </row>
    <row r="367" spans="1:6" x14ac:dyDescent="0.35">
      <c r="A367" s="1">
        <v>2041</v>
      </c>
      <c r="B367" s="1">
        <v>2312.1546051489881</v>
      </c>
      <c r="C367" s="1">
        <v>5445.6134956712594</v>
      </c>
      <c r="D367" s="1">
        <v>12591.550627079791</v>
      </c>
      <c r="E367" s="1" t="s">
        <v>148</v>
      </c>
      <c r="F367" s="1">
        <v>3</v>
      </c>
    </row>
    <row r="368" spans="1:6" x14ac:dyDescent="0.35">
      <c r="A368" s="1">
        <v>2042</v>
      </c>
      <c r="B368" s="1">
        <v>2370.687077649447</v>
      </c>
      <c r="C368" s="1">
        <v>5311.1608194034361</v>
      </c>
      <c r="D368" s="1">
        <v>12910.30724879377</v>
      </c>
      <c r="E368" s="1" t="s">
        <v>148</v>
      </c>
      <c r="F368" s="1">
        <v>3</v>
      </c>
    </row>
    <row r="369" spans="1:6" x14ac:dyDescent="0.35">
      <c r="A369" s="1">
        <v>2043</v>
      </c>
      <c r="B369" s="1">
        <v>2430.7013067458488</v>
      </c>
      <c r="C369" s="1">
        <v>5445.6134956712594</v>
      </c>
      <c r="D369" s="1">
        <v>12591.550627079791</v>
      </c>
      <c r="E369" s="1" t="s">
        <v>148</v>
      </c>
      <c r="F369" s="1">
        <v>3</v>
      </c>
    </row>
    <row r="370" spans="1:6" x14ac:dyDescent="0.35">
      <c r="A370" s="1">
        <v>2044</v>
      </c>
      <c r="B370" s="1">
        <v>2370.687077649447</v>
      </c>
      <c r="C370" s="1">
        <v>5583.4698576436331</v>
      </c>
      <c r="D370" s="1">
        <v>12280.66413439749</v>
      </c>
      <c r="E370" s="1" t="s">
        <v>148</v>
      </c>
      <c r="F370" s="1">
        <v>3</v>
      </c>
    </row>
    <row r="371" spans="1:6" x14ac:dyDescent="0.35">
      <c r="A371" s="1">
        <v>2045</v>
      </c>
      <c r="B371" s="1">
        <v>2312.9288775418522</v>
      </c>
      <c r="C371" s="1">
        <v>5445.6134956712594</v>
      </c>
      <c r="D371" s="1">
        <v>12591.550627079791</v>
      </c>
      <c r="E371" s="1" t="s">
        <v>148</v>
      </c>
      <c r="F371" s="1">
        <v>3</v>
      </c>
    </row>
    <row r="372" spans="1:6" x14ac:dyDescent="0.35">
      <c r="A372" s="1">
        <v>2046</v>
      </c>
      <c r="B372" s="1">
        <v>2255.822460083134</v>
      </c>
      <c r="C372" s="1">
        <v>5311.1608194034361</v>
      </c>
      <c r="D372" s="1">
        <v>12910.307248793761</v>
      </c>
      <c r="E372" s="1" t="s">
        <v>148</v>
      </c>
      <c r="F372" s="1">
        <v>3</v>
      </c>
    </row>
    <row r="373" spans="1:6" x14ac:dyDescent="0.35">
      <c r="A373" s="1">
        <v>2047</v>
      </c>
      <c r="B373" s="1">
        <v>2312.9288775418522</v>
      </c>
      <c r="C373" s="1">
        <v>5445.6134956712594</v>
      </c>
      <c r="D373" s="1">
        <v>12591.550627079791</v>
      </c>
      <c r="E373" s="1" t="s">
        <v>148</v>
      </c>
      <c r="F373" s="1">
        <v>3</v>
      </c>
    </row>
    <row r="374" spans="1:6" x14ac:dyDescent="0.35">
      <c r="A374" s="1">
        <v>2048</v>
      </c>
      <c r="B374" s="1">
        <v>2255.822460083134</v>
      </c>
      <c r="C374" s="1">
        <v>5583.4698576436331</v>
      </c>
      <c r="D374" s="1">
        <v>12910.307248793761</v>
      </c>
      <c r="E374" s="1" t="s">
        <v>148</v>
      </c>
      <c r="F374" s="1">
        <v>3</v>
      </c>
    </row>
    <row r="375" spans="1:6" x14ac:dyDescent="0.35">
      <c r="A375" s="1">
        <v>2049</v>
      </c>
      <c r="B375" s="1">
        <v>2200.1260050952178</v>
      </c>
      <c r="C375" s="1">
        <v>5445.6134956712594</v>
      </c>
      <c r="D375" s="1">
        <v>12591.550627079791</v>
      </c>
      <c r="E375" s="1" t="s">
        <v>148</v>
      </c>
      <c r="F375" s="1">
        <v>3</v>
      </c>
    </row>
    <row r="376" spans="1:6" x14ac:dyDescent="0.35">
      <c r="A376" s="1">
        <v>2050</v>
      </c>
      <c r="B376" s="1">
        <v>2255.822460083134</v>
      </c>
      <c r="C376" s="1">
        <v>5311.1608194034361</v>
      </c>
      <c r="D376" s="1">
        <v>12280.664134397481</v>
      </c>
      <c r="E376" s="1" t="s">
        <v>148</v>
      </c>
      <c r="F376" s="1">
        <v>3</v>
      </c>
    </row>
    <row r="377" spans="1:6" x14ac:dyDescent="0.35">
      <c r="A377" s="1">
        <v>2026</v>
      </c>
      <c r="B377" s="1">
        <v>2125.718515342754</v>
      </c>
      <c r="C377" s="1">
        <v>3419.1860350165712</v>
      </c>
      <c r="D377" s="1">
        <v>6971.2504696544502</v>
      </c>
      <c r="E377" s="1" t="s">
        <v>149</v>
      </c>
      <c r="F377" s="1">
        <v>4</v>
      </c>
    </row>
    <row r="378" spans="1:6" x14ac:dyDescent="0.35">
      <c r="A378" s="1">
        <v>2027</v>
      </c>
      <c r="B378" s="1">
        <v>1651.607293046007</v>
      </c>
      <c r="C378" s="1">
        <v>3316.7567973051928</v>
      </c>
      <c r="D378" s="1">
        <v>4581.1744004259044</v>
      </c>
      <c r="E378" s="1" t="s">
        <v>149</v>
      </c>
      <c r="F378" s="1">
        <v>4</v>
      </c>
    </row>
    <row r="379" spans="1:6" x14ac:dyDescent="0.35">
      <c r="A379" s="1">
        <v>2028</v>
      </c>
      <c r="B379" s="1">
        <v>1610.8289636860529</v>
      </c>
      <c r="C379" s="1">
        <v>3333.7921201368231</v>
      </c>
      <c r="D379" s="1">
        <v>4468.0648014658382</v>
      </c>
      <c r="E379" s="1" t="s">
        <v>149</v>
      </c>
      <c r="F379" s="1">
        <v>4</v>
      </c>
    </row>
    <row r="380" spans="1:6" x14ac:dyDescent="0.35">
      <c r="A380" s="1">
        <v>2029</v>
      </c>
      <c r="B380" s="1">
        <v>1571.0574548653351</v>
      </c>
      <c r="C380" s="1">
        <v>3251.4804994113929</v>
      </c>
      <c r="D380" s="1">
        <v>4357.7478884545362</v>
      </c>
      <c r="E380" s="1" t="s">
        <v>149</v>
      </c>
      <c r="F380" s="1">
        <v>4</v>
      </c>
    </row>
    <row r="381" spans="1:6" x14ac:dyDescent="0.35">
      <c r="A381" s="1">
        <v>2030</v>
      </c>
      <c r="B381" s="1">
        <v>2497.692130637527</v>
      </c>
      <c r="C381" s="1">
        <v>4810.9326713648652</v>
      </c>
      <c r="D381" s="1">
        <v>8056.2772028441987</v>
      </c>
      <c r="E381" s="1" t="s">
        <v>149</v>
      </c>
      <c r="F381" s="1">
        <v>4</v>
      </c>
    </row>
    <row r="382" spans="1:6" x14ac:dyDescent="0.35">
      <c r="A382" s="1">
        <v>2031</v>
      </c>
      <c r="B382" s="1">
        <v>1954.3951486347969</v>
      </c>
      <c r="C382" s="1">
        <v>4715.6698218399652</v>
      </c>
      <c r="D382" s="1">
        <v>7595.409276547095</v>
      </c>
      <c r="E382" s="1" t="s">
        <v>149</v>
      </c>
      <c r="F382" s="1">
        <v>4</v>
      </c>
    </row>
    <row r="383" spans="1:6" x14ac:dyDescent="0.35">
      <c r="A383" s="1">
        <v>2032</v>
      </c>
      <c r="B383" s="1">
        <v>1906.140960483604</v>
      </c>
      <c r="C383" s="1">
        <v>4731.0598007720346</v>
      </c>
      <c r="D383" s="1">
        <v>7407.8779533283287</v>
      </c>
      <c r="E383" s="1" t="s">
        <v>149</v>
      </c>
      <c r="F383" s="1">
        <v>4</v>
      </c>
    </row>
    <row r="384" spans="1:6" x14ac:dyDescent="0.35">
      <c r="A384" s="1">
        <v>2033</v>
      </c>
      <c r="B384" s="1">
        <v>1859.078172482866</v>
      </c>
      <c r="C384" s="1">
        <v>4614.2495180917549</v>
      </c>
      <c r="D384" s="1">
        <v>7595.409276547095</v>
      </c>
      <c r="E384" s="1" t="s">
        <v>149</v>
      </c>
      <c r="F384" s="1">
        <v>4</v>
      </c>
    </row>
    <row r="385" spans="1:6" x14ac:dyDescent="0.35">
      <c r="A385" s="1">
        <v>2034</v>
      </c>
      <c r="B385" s="1">
        <v>1813.177368858057</v>
      </c>
      <c r="C385" s="1">
        <v>4500.3232915668459</v>
      </c>
      <c r="D385" s="1">
        <v>7407.8779533283287</v>
      </c>
      <c r="E385" s="1" t="s">
        <v>149</v>
      </c>
      <c r="F385" s="1">
        <v>4</v>
      </c>
    </row>
    <row r="386" spans="1:6" x14ac:dyDescent="0.35">
      <c r="A386" s="1">
        <v>2035</v>
      </c>
      <c r="B386" s="1">
        <v>1768.409860112715</v>
      </c>
      <c r="C386" s="1">
        <v>4389.2099135971166</v>
      </c>
      <c r="D386" s="1">
        <v>7224.9767949772768</v>
      </c>
      <c r="E386" s="1" t="s">
        <v>149</v>
      </c>
      <c r="F386" s="1">
        <v>4</v>
      </c>
    </row>
    <row r="387" spans="1:6" x14ac:dyDescent="0.35">
      <c r="A387" s="1">
        <v>2036</v>
      </c>
      <c r="B387" s="1">
        <v>2880.6431741908282</v>
      </c>
      <c r="C387" s="1">
        <v>7782.024278284709</v>
      </c>
      <c r="D387" s="1">
        <v>16050.7006178383</v>
      </c>
      <c r="E387" s="1" t="s">
        <v>149</v>
      </c>
      <c r="F387" s="1">
        <v>4</v>
      </c>
    </row>
    <row r="388" spans="1:6" x14ac:dyDescent="0.35">
      <c r="A388" s="1">
        <v>2037</v>
      </c>
      <c r="B388" s="1">
        <v>2503.660062875992</v>
      </c>
      <c r="C388" s="1">
        <v>5116.5826768534689</v>
      </c>
      <c r="D388" s="1">
        <v>12907.684201310631</v>
      </c>
      <c r="E388" s="1" t="s">
        <v>149</v>
      </c>
      <c r="F388" s="1">
        <v>4</v>
      </c>
    </row>
    <row r="389" spans="1:6" x14ac:dyDescent="0.35">
      <c r="A389" s="1">
        <v>2038</v>
      </c>
      <c r="B389" s="1">
        <v>2567.040519119897</v>
      </c>
      <c r="C389" s="1">
        <v>4990.2538004476473</v>
      </c>
      <c r="D389" s="1">
        <v>13234.443782558081</v>
      </c>
      <c r="E389" s="1" t="s">
        <v>149</v>
      </c>
      <c r="F389" s="1">
        <v>4</v>
      </c>
    </row>
    <row r="390" spans="1:6" x14ac:dyDescent="0.35">
      <c r="A390" s="1">
        <v>2039</v>
      </c>
      <c r="B390" s="1">
        <v>2503.660062875992</v>
      </c>
      <c r="C390" s="1">
        <v>5116.5826768534689</v>
      </c>
      <c r="D390" s="1">
        <v>12907.684201310631</v>
      </c>
      <c r="E390" s="1" t="s">
        <v>149</v>
      </c>
      <c r="F390" s="1">
        <v>4</v>
      </c>
    </row>
    <row r="391" spans="1:6" x14ac:dyDescent="0.35">
      <c r="A391" s="1">
        <v>2040</v>
      </c>
      <c r="B391" s="1">
        <v>2441.844475672433</v>
      </c>
      <c r="C391" s="1">
        <v>4990.2538004476473</v>
      </c>
      <c r="D391" s="1">
        <v>12588.992342869769</v>
      </c>
      <c r="E391" s="1" t="s">
        <v>149</v>
      </c>
      <c r="F391" s="1">
        <v>4</v>
      </c>
    </row>
    <row r="392" spans="1:6" x14ac:dyDescent="0.35">
      <c r="A392" s="1">
        <v>2041</v>
      </c>
      <c r="B392" s="1">
        <v>2381.5551207549511</v>
      </c>
      <c r="C392" s="1">
        <v>4867.0439951136477</v>
      </c>
      <c r="D392" s="1">
        <v>12907.684201310631</v>
      </c>
      <c r="E392" s="1" t="s">
        <v>149</v>
      </c>
      <c r="F392" s="1">
        <v>4</v>
      </c>
    </row>
    <row r="393" spans="1:6" x14ac:dyDescent="0.35">
      <c r="A393" s="1">
        <v>2042</v>
      </c>
      <c r="B393" s="1">
        <v>2322.754315314136</v>
      </c>
      <c r="C393" s="1">
        <v>4746.8762507123174</v>
      </c>
      <c r="D393" s="1">
        <v>13234.44378255807</v>
      </c>
      <c r="E393" s="1" t="s">
        <v>149</v>
      </c>
      <c r="F393" s="1">
        <v>4</v>
      </c>
    </row>
    <row r="394" spans="1:6" x14ac:dyDescent="0.35">
      <c r="A394" s="1">
        <v>2043</v>
      </c>
      <c r="B394" s="1">
        <v>2381.5551207549511</v>
      </c>
      <c r="C394" s="1">
        <v>4629.6754584916107</v>
      </c>
      <c r="D394" s="1">
        <v>12907.684201310631</v>
      </c>
      <c r="E394" s="1" t="s">
        <v>149</v>
      </c>
      <c r="F394" s="1">
        <v>4</v>
      </c>
    </row>
    <row r="395" spans="1:6" x14ac:dyDescent="0.35">
      <c r="A395" s="1">
        <v>2044</v>
      </c>
      <c r="B395" s="1">
        <v>3292.321524261034</v>
      </c>
      <c r="C395" s="1">
        <v>9365.727466149765</v>
      </c>
      <c r="D395" s="1">
        <v>20220.46</v>
      </c>
      <c r="E395" s="1" t="s">
        <v>149</v>
      </c>
      <c r="F395" s="1">
        <v>4</v>
      </c>
    </row>
    <row r="396" spans="1:6" x14ac:dyDescent="0.35">
      <c r="A396" s="1">
        <v>2045</v>
      </c>
      <c r="B396" s="1">
        <v>2616.2615529127402</v>
      </c>
      <c r="C396" s="1">
        <v>8220.6238924897225</v>
      </c>
      <c r="D396" s="1">
        <v>15335.678647332959</v>
      </c>
      <c r="E396" s="1" t="s">
        <v>149</v>
      </c>
      <c r="F396" s="1">
        <v>4</v>
      </c>
    </row>
    <row r="397" spans="1:6" x14ac:dyDescent="0.35">
      <c r="A397" s="1">
        <v>2046</v>
      </c>
      <c r="B397" s="1">
        <v>2682.492529448155</v>
      </c>
      <c r="C397" s="1">
        <v>8017.6559654021603</v>
      </c>
      <c r="D397" s="1">
        <v>15723.90320061411</v>
      </c>
      <c r="E397" s="1" t="s">
        <v>149</v>
      </c>
      <c r="F397" s="1">
        <v>4</v>
      </c>
    </row>
    <row r="398" spans="1:6" x14ac:dyDescent="0.35">
      <c r="A398" s="1">
        <v>2047</v>
      </c>
      <c r="B398" s="1">
        <v>2616.2615529127388</v>
      </c>
      <c r="C398" s="1">
        <v>7819.6993342898168</v>
      </c>
      <c r="D398" s="1">
        <v>15335.678647332959</v>
      </c>
      <c r="E398" s="1" t="s">
        <v>149</v>
      </c>
      <c r="F398" s="1">
        <v>4</v>
      </c>
    </row>
    <row r="399" spans="1:6" x14ac:dyDescent="0.35">
      <c r="A399" s="1">
        <v>2048</v>
      </c>
      <c r="B399" s="1">
        <v>2551.6658250144328</v>
      </c>
      <c r="C399" s="1">
        <v>7626.6302698142126</v>
      </c>
      <c r="D399" s="1">
        <v>14957.039392425089</v>
      </c>
      <c r="E399" s="1" t="s">
        <v>149</v>
      </c>
      <c r="F399" s="1">
        <v>4</v>
      </c>
    </row>
    <row r="400" spans="1:6" x14ac:dyDescent="0.35">
      <c r="A400" s="1">
        <v>2049</v>
      </c>
      <c r="B400" s="1">
        <v>2616.2615529127388</v>
      </c>
      <c r="C400" s="1">
        <v>7438.3280975251182</v>
      </c>
      <c r="D400" s="1">
        <v>15335.678647332959</v>
      </c>
      <c r="E400" s="1" t="s">
        <v>149</v>
      </c>
      <c r="F400" s="1">
        <v>4</v>
      </c>
    </row>
    <row r="401" spans="1:6" x14ac:dyDescent="0.35">
      <c r="A401" s="1">
        <v>2050</v>
      </c>
      <c r="B401" s="1">
        <v>2682.492529448155</v>
      </c>
      <c r="C401" s="1">
        <v>7254.6751224350974</v>
      </c>
      <c r="D401" s="1">
        <v>15723.90320061411</v>
      </c>
      <c r="E401" s="1" t="s">
        <v>149</v>
      </c>
      <c r="F401" s="1">
        <v>4</v>
      </c>
    </row>
    <row r="402" spans="1:6" x14ac:dyDescent="0.35">
      <c r="A402" s="1">
        <v>2026</v>
      </c>
      <c r="B402" s="1">
        <v>1972.121506377242</v>
      </c>
      <c r="C402" s="1">
        <v>1972.121506377242</v>
      </c>
      <c r="D402" s="1">
        <v>1972.121506377242</v>
      </c>
      <c r="E402" s="1" t="s">
        <v>150</v>
      </c>
      <c r="F402" s="1">
        <v>4</v>
      </c>
    </row>
    <row r="403" spans="1:6" x14ac:dyDescent="0.35">
      <c r="A403" s="1">
        <v>2027</v>
      </c>
      <c r="B403" s="1">
        <v>1923.429652893971</v>
      </c>
      <c r="C403" s="1">
        <v>2022.046</v>
      </c>
      <c r="D403" s="1">
        <v>2022.046</v>
      </c>
      <c r="E403" s="1" t="s">
        <v>150</v>
      </c>
      <c r="F403" s="1">
        <v>4</v>
      </c>
    </row>
    <row r="404" spans="1:6" x14ac:dyDescent="0.35">
      <c r="A404" s="1">
        <v>2028</v>
      </c>
      <c r="B404" s="1">
        <v>1882.0378638019849</v>
      </c>
      <c r="C404" s="1">
        <v>2073.234338195939</v>
      </c>
      <c r="D404" s="1">
        <v>1972.121506377242</v>
      </c>
      <c r="E404" s="1" t="s">
        <v>150</v>
      </c>
      <c r="F404" s="1">
        <v>4</v>
      </c>
    </row>
    <row r="405" spans="1:6" x14ac:dyDescent="0.35">
      <c r="A405" s="1">
        <v>2029</v>
      </c>
      <c r="B405" s="1">
        <v>1835.570183378705</v>
      </c>
      <c r="C405" s="1">
        <v>2022.046</v>
      </c>
      <c r="D405" s="1">
        <v>1923.429652893971</v>
      </c>
      <c r="E405" s="1" t="s">
        <v>150</v>
      </c>
      <c r="F405" s="1">
        <v>4</v>
      </c>
    </row>
    <row r="406" spans="1:6" x14ac:dyDescent="0.35">
      <c r="A406" s="1">
        <v>2030</v>
      </c>
      <c r="B406" s="1">
        <v>1882.0378638019849</v>
      </c>
      <c r="C406" s="1">
        <v>2073.234338195939</v>
      </c>
      <c r="D406" s="1">
        <v>1875.940005556705</v>
      </c>
      <c r="E406" s="1" t="s">
        <v>150</v>
      </c>
      <c r="F406" s="1">
        <v>4</v>
      </c>
    </row>
    <row r="407" spans="1:6" x14ac:dyDescent="0.35">
      <c r="A407" s="1">
        <v>2031</v>
      </c>
      <c r="B407" s="1">
        <v>1835.570183378705</v>
      </c>
      <c r="C407" s="1">
        <v>2022.046</v>
      </c>
      <c r="D407" s="1">
        <v>1829.62288178994</v>
      </c>
      <c r="E407" s="1" t="s">
        <v>150</v>
      </c>
      <c r="F407" s="1">
        <v>4</v>
      </c>
    </row>
    <row r="408" spans="1:6" x14ac:dyDescent="0.35">
      <c r="A408" s="1">
        <v>2032</v>
      </c>
      <c r="B408" s="1">
        <v>1882.0378638019849</v>
      </c>
      <c r="C408" s="1">
        <v>1972.121506377242</v>
      </c>
      <c r="D408" s="1">
        <v>1836.922748705859</v>
      </c>
      <c r="E408" s="1" t="s">
        <v>150</v>
      </c>
      <c r="F408" s="1">
        <v>4</v>
      </c>
    </row>
    <row r="409" spans="1:6" x14ac:dyDescent="0.35">
      <c r="A409" s="1">
        <v>2033</v>
      </c>
      <c r="B409" s="1">
        <v>1929.6818791556709</v>
      </c>
      <c r="C409" s="1">
        <v>2022.046</v>
      </c>
      <c r="D409" s="1">
        <v>1883.424669483413</v>
      </c>
      <c r="E409" s="1" t="s">
        <v>150</v>
      </c>
      <c r="F409" s="1">
        <v>4</v>
      </c>
    </row>
    <row r="410" spans="1:6" x14ac:dyDescent="0.35">
      <c r="A410" s="1">
        <v>2034</v>
      </c>
      <c r="B410" s="1">
        <v>1882.0378638019849</v>
      </c>
      <c r="C410" s="1">
        <v>2073.234338195939</v>
      </c>
      <c r="D410" s="1">
        <v>1931.1037919900691</v>
      </c>
      <c r="E410" s="1" t="s">
        <v>150</v>
      </c>
      <c r="F410" s="1">
        <v>4</v>
      </c>
    </row>
    <row r="411" spans="1:6" x14ac:dyDescent="0.35">
      <c r="A411" s="1">
        <v>2035</v>
      </c>
      <c r="B411" s="1">
        <v>2104.728293066245</v>
      </c>
      <c r="C411" s="1">
        <v>3477.9274288697779</v>
      </c>
      <c r="D411" s="1">
        <v>4184.4334830897778</v>
      </c>
      <c r="E411" s="1" t="s">
        <v>150</v>
      </c>
      <c r="F411" s="1">
        <v>4</v>
      </c>
    </row>
    <row r="412" spans="1:6" x14ac:dyDescent="0.35">
      <c r="A412" s="1">
        <v>2036</v>
      </c>
      <c r="B412" s="1">
        <v>1601.4274217587169</v>
      </c>
      <c r="C412" s="1">
        <v>2400.4264852354959</v>
      </c>
      <c r="D412" s="1">
        <v>4061.8740864174351</v>
      </c>
      <c r="E412" s="1" t="s">
        <v>150</v>
      </c>
      <c r="F412" s="1">
        <v>4</v>
      </c>
    </row>
    <row r="413" spans="1:6" x14ac:dyDescent="0.35">
      <c r="A413" s="1">
        <v>2037</v>
      </c>
      <c r="B413" s="1">
        <v>1641.967749951664</v>
      </c>
      <c r="C413" s="1">
        <v>2461.1935710192638</v>
      </c>
      <c r="D413" s="1">
        <v>3961.5860578939528</v>
      </c>
      <c r="E413" s="1" t="s">
        <v>150</v>
      </c>
      <c r="F413" s="1">
        <v>4</v>
      </c>
    </row>
    <row r="414" spans="1:6" x14ac:dyDescent="0.35">
      <c r="A414" s="1">
        <v>2038</v>
      </c>
      <c r="B414" s="1">
        <v>2100.3853884390551</v>
      </c>
      <c r="C414" s="1">
        <v>4600.5696125928871</v>
      </c>
      <c r="D414" s="1">
        <v>7547.9803476658972</v>
      </c>
      <c r="E414" s="1" t="s">
        <v>150</v>
      </c>
      <c r="F414" s="1">
        <v>4</v>
      </c>
    </row>
    <row r="415" spans="1:6" x14ac:dyDescent="0.35">
      <c r="A415" s="1">
        <v>2039</v>
      </c>
      <c r="B415" s="1">
        <v>1791.578359623551</v>
      </c>
      <c r="C415" s="1">
        <v>3775.1811964622598</v>
      </c>
      <c r="D415" s="1">
        <v>7398.5203229275739</v>
      </c>
      <c r="E415" s="1" t="s">
        <v>150</v>
      </c>
      <c r="F415" s="1">
        <v>4</v>
      </c>
    </row>
    <row r="416" spans="1:6" x14ac:dyDescent="0.35">
      <c r="A416" s="1">
        <v>2040</v>
      </c>
      <c r="B416" s="1">
        <v>1747.344132316309</v>
      </c>
      <c r="C416" s="1">
        <v>3681.9716406126222</v>
      </c>
      <c r="D416" s="1">
        <v>7215.8502052943231</v>
      </c>
      <c r="E416" s="1" t="s">
        <v>150</v>
      </c>
      <c r="F416" s="1">
        <v>4</v>
      </c>
    </row>
    <row r="417" spans="1:6" x14ac:dyDescent="0.35">
      <c r="A417" s="1">
        <v>2041</v>
      </c>
      <c r="B417" s="1">
        <v>1725.4547143604041</v>
      </c>
      <c r="C417" s="1">
        <v>3591.0634368967121</v>
      </c>
      <c r="D417" s="1">
        <v>7037.690228935232</v>
      </c>
      <c r="E417" s="1" t="s">
        <v>150</v>
      </c>
      <c r="F417" s="1">
        <v>4</v>
      </c>
    </row>
    <row r="418" spans="1:6" x14ac:dyDescent="0.35">
      <c r="A418" s="1">
        <v>2042</v>
      </c>
      <c r="B418" s="1">
        <v>1769.134808413882</v>
      </c>
      <c r="C418" s="1">
        <v>3681.9716406126222</v>
      </c>
      <c r="D418" s="1">
        <v>7215.8502052943231</v>
      </c>
      <c r="E418" s="1" t="s">
        <v>150</v>
      </c>
      <c r="F418" s="1">
        <v>4</v>
      </c>
    </row>
    <row r="419" spans="1:6" x14ac:dyDescent="0.35">
      <c r="A419" s="1">
        <v>2043</v>
      </c>
      <c r="B419" s="1">
        <v>1725.4547143604041</v>
      </c>
      <c r="C419" s="1">
        <v>3775.1811964622598</v>
      </c>
      <c r="D419" s="1">
        <v>7398.5203229275739</v>
      </c>
      <c r="E419" s="1" t="s">
        <v>150</v>
      </c>
      <c r="F419" s="1">
        <v>4</v>
      </c>
    </row>
    <row r="420" spans="1:6" x14ac:dyDescent="0.35">
      <c r="A420" s="1">
        <v>2044</v>
      </c>
      <c r="B420" s="1">
        <v>1769.134808413882</v>
      </c>
      <c r="C420" s="1">
        <v>3870.75036345226</v>
      </c>
      <c r="D420" s="1">
        <v>7215.8502052943231</v>
      </c>
      <c r="E420" s="1" t="s">
        <v>150</v>
      </c>
      <c r="F420" s="1">
        <v>4</v>
      </c>
    </row>
    <row r="421" spans="1:6" x14ac:dyDescent="0.35">
      <c r="A421" s="1">
        <v>2045</v>
      </c>
      <c r="B421" s="1">
        <v>3269.766014138107</v>
      </c>
      <c r="C421" s="1">
        <v>6853.382787092195</v>
      </c>
      <c r="D421" s="1">
        <v>16518.606679620589</v>
      </c>
      <c r="E421" s="1" t="s">
        <v>150</v>
      </c>
      <c r="F421" s="1">
        <v>4</v>
      </c>
    </row>
    <row r="422" spans="1:6" x14ac:dyDescent="0.35">
      <c r="A422" s="1">
        <v>2046</v>
      </c>
      <c r="B422" s="1">
        <v>2351.2400386755662</v>
      </c>
      <c r="C422" s="1">
        <v>5579.4662683507431</v>
      </c>
      <c r="D422" s="1">
        <v>14550.989712395811</v>
      </c>
      <c r="E422" s="1" t="s">
        <v>150</v>
      </c>
      <c r="F422" s="1">
        <v>4</v>
      </c>
    </row>
    <row r="423" spans="1:6" x14ac:dyDescent="0.35">
      <c r="A423" s="1">
        <v>2047</v>
      </c>
      <c r="B423" s="1">
        <v>2410.7619636365012</v>
      </c>
      <c r="C423" s="1">
        <v>5441.7087553502124</v>
      </c>
      <c r="D423" s="1">
        <v>14191.724496321929</v>
      </c>
      <c r="E423" s="1" t="s">
        <v>150</v>
      </c>
      <c r="F423" s="1">
        <v>4</v>
      </c>
    </row>
    <row r="424" spans="1:6" x14ac:dyDescent="0.35">
      <c r="A424" s="1">
        <v>2048</v>
      </c>
      <c r="B424" s="1">
        <v>3509.7578091169589</v>
      </c>
      <c r="C424" s="1">
        <v>11181.16251168913</v>
      </c>
      <c r="D424" s="1">
        <v>20220.46</v>
      </c>
      <c r="E424" s="1" t="s">
        <v>150</v>
      </c>
      <c r="F424" s="1">
        <v>4</v>
      </c>
    </row>
    <row r="425" spans="1:6" x14ac:dyDescent="0.35">
      <c r="A425" s="1">
        <v>2049</v>
      </c>
      <c r="B425" s="1">
        <v>2493.494013038659</v>
      </c>
      <c r="C425" s="1">
        <v>6965.9456251813372</v>
      </c>
      <c r="D425" s="1">
        <v>16057.925614808801</v>
      </c>
      <c r="E425" s="1" t="s">
        <v>150</v>
      </c>
      <c r="F425" s="1">
        <v>4</v>
      </c>
    </row>
    <row r="426" spans="1:6" x14ac:dyDescent="0.35">
      <c r="A426" s="1">
        <v>2050</v>
      </c>
      <c r="B426" s="1">
        <v>2556.6171145056751</v>
      </c>
      <c r="C426" s="1">
        <v>6793.9558148897586</v>
      </c>
      <c r="D426" s="1">
        <v>16464.43393712</v>
      </c>
      <c r="E426" s="1" t="s">
        <v>150</v>
      </c>
      <c r="F426" s="1">
        <v>4</v>
      </c>
    </row>
    <row r="427" spans="1:6" x14ac:dyDescent="0.35">
      <c r="A427" s="1">
        <v>2026</v>
      </c>
      <c r="B427" s="1">
        <v>1972.121506377242</v>
      </c>
      <c r="C427" s="1">
        <v>2073.234338195939</v>
      </c>
      <c r="D427" s="1">
        <v>2073.234338195939</v>
      </c>
      <c r="E427" s="1" t="s">
        <v>151</v>
      </c>
      <c r="F427" s="1">
        <v>4</v>
      </c>
    </row>
    <row r="428" spans="1:6" x14ac:dyDescent="0.35">
      <c r="A428" s="1">
        <v>2027</v>
      </c>
      <c r="B428" s="1">
        <v>2022.046</v>
      </c>
      <c r="C428" s="1">
        <v>2022.046</v>
      </c>
      <c r="D428" s="1">
        <v>2022.046</v>
      </c>
      <c r="E428" s="1" t="s">
        <v>151</v>
      </c>
      <c r="F428" s="1">
        <v>4</v>
      </c>
    </row>
    <row r="429" spans="1:6" x14ac:dyDescent="0.35">
      <c r="A429" s="1">
        <v>2028</v>
      </c>
      <c r="B429" s="1">
        <v>1972.121506377242</v>
      </c>
      <c r="C429" s="1">
        <v>1972.121506377242</v>
      </c>
      <c r="D429" s="1">
        <v>2073.234338195939</v>
      </c>
      <c r="E429" s="1" t="s">
        <v>151</v>
      </c>
      <c r="F429" s="1">
        <v>4</v>
      </c>
    </row>
    <row r="430" spans="1:6" x14ac:dyDescent="0.35">
      <c r="A430" s="1">
        <v>2029</v>
      </c>
      <c r="B430" s="1">
        <v>2022.046</v>
      </c>
      <c r="C430" s="1">
        <v>1923.429652893971</v>
      </c>
      <c r="D430" s="1">
        <v>2125.718515342754</v>
      </c>
      <c r="E430" s="1" t="s">
        <v>151</v>
      </c>
      <c r="F430" s="1">
        <v>4</v>
      </c>
    </row>
    <row r="431" spans="1:6" x14ac:dyDescent="0.35">
      <c r="A431" s="1">
        <v>2030</v>
      </c>
      <c r="B431" s="1">
        <v>2073.234338195939</v>
      </c>
      <c r="C431" s="1">
        <v>1972.121506377242</v>
      </c>
      <c r="D431" s="1">
        <v>2073.234338195939</v>
      </c>
      <c r="E431" s="1" t="s">
        <v>151</v>
      </c>
      <c r="F431" s="1">
        <v>4</v>
      </c>
    </row>
    <row r="432" spans="1:6" x14ac:dyDescent="0.35">
      <c r="A432" s="1">
        <v>2031</v>
      </c>
      <c r="B432" s="1">
        <v>2179.531335759666</v>
      </c>
      <c r="C432" s="1">
        <v>3007.2687890243119</v>
      </c>
      <c r="D432" s="1">
        <v>4825.4075572469046</v>
      </c>
      <c r="E432" s="1" t="s">
        <v>151</v>
      </c>
      <c r="F432" s="1">
        <v>4</v>
      </c>
    </row>
    <row r="433" spans="1:6" x14ac:dyDescent="0.35">
      <c r="A433" s="1">
        <v>2032</v>
      </c>
      <c r="B433" s="1">
        <v>1753.8340659459211</v>
      </c>
      <c r="C433" s="1">
        <v>2538.6159901374149</v>
      </c>
      <c r="D433" s="1">
        <v>4069.8365261418671</v>
      </c>
      <c r="E433" s="1" t="s">
        <v>151</v>
      </c>
      <c r="F433" s="1">
        <v>4</v>
      </c>
    </row>
    <row r="434" spans="1:6" x14ac:dyDescent="0.35">
      <c r="A434" s="1">
        <v>2033</v>
      </c>
      <c r="B434" s="1">
        <v>1798.2325867051909</v>
      </c>
      <c r="C434" s="1">
        <v>2602.881359892986</v>
      </c>
      <c r="D434" s="1">
        <v>3969.351904281119</v>
      </c>
      <c r="E434" s="1" t="s">
        <v>151</v>
      </c>
      <c r="F434" s="1">
        <v>4</v>
      </c>
    </row>
    <row r="435" spans="1:6" x14ac:dyDescent="0.35">
      <c r="A435" s="1">
        <v>2034</v>
      </c>
      <c r="B435" s="1">
        <v>1753.8340659459211</v>
      </c>
      <c r="C435" s="1">
        <v>2668.773615229466</v>
      </c>
      <c r="D435" s="1">
        <v>4069.8365261418671</v>
      </c>
      <c r="E435" s="1" t="s">
        <v>151</v>
      </c>
      <c r="F435" s="1">
        <v>4</v>
      </c>
    </row>
    <row r="436" spans="1:6" x14ac:dyDescent="0.35">
      <c r="A436" s="1">
        <v>2035</v>
      </c>
      <c r="B436" s="1">
        <v>1798.2325867051909</v>
      </c>
      <c r="C436" s="1">
        <v>2602.881359892986</v>
      </c>
      <c r="D436" s="1">
        <v>3969.351904281119</v>
      </c>
      <c r="E436" s="1" t="s">
        <v>151</v>
      </c>
      <c r="F436" s="1">
        <v>4</v>
      </c>
    </row>
    <row r="437" spans="1:6" x14ac:dyDescent="0.35">
      <c r="A437" s="1">
        <v>2036</v>
      </c>
      <c r="B437" s="1">
        <v>1753.83406594592</v>
      </c>
      <c r="C437" s="1">
        <v>2538.615990137414</v>
      </c>
      <c r="D437" s="1">
        <v>3871.3482565739132</v>
      </c>
      <c r="E437" s="1" t="s">
        <v>151</v>
      </c>
      <c r="F437" s="1">
        <v>4</v>
      </c>
    </row>
    <row r="438" spans="1:6" x14ac:dyDescent="0.35">
      <c r="A438" s="1">
        <v>2037</v>
      </c>
      <c r="B438" s="1">
        <v>1798.23258670519</v>
      </c>
      <c r="C438" s="1">
        <v>2602.881359892986</v>
      </c>
      <c r="D438" s="1">
        <v>3775.7643275501418</v>
      </c>
      <c r="E438" s="1" t="s">
        <v>151</v>
      </c>
      <c r="F438" s="1">
        <v>4</v>
      </c>
    </row>
    <row r="439" spans="1:6" x14ac:dyDescent="0.35">
      <c r="A439" s="1">
        <v>2038</v>
      </c>
      <c r="B439" s="1">
        <v>1753.83406594592</v>
      </c>
      <c r="C439" s="1">
        <v>2538.615990137414</v>
      </c>
      <c r="D439" s="1">
        <v>3682.5403741426462</v>
      </c>
      <c r="E439" s="1" t="s">
        <v>151</v>
      </c>
      <c r="F439" s="1">
        <v>4</v>
      </c>
    </row>
    <row r="440" spans="1:6" x14ac:dyDescent="0.35">
      <c r="A440" s="1">
        <v>2039</v>
      </c>
      <c r="B440" s="1">
        <v>1798.23258670519</v>
      </c>
      <c r="C440" s="1">
        <v>2475.9373380146399</v>
      </c>
      <c r="D440" s="1">
        <v>3775.7643275501418</v>
      </c>
      <c r="E440" s="1" t="s">
        <v>151</v>
      </c>
      <c r="F440" s="1">
        <v>4</v>
      </c>
    </row>
    <row r="441" spans="1:6" x14ac:dyDescent="0.35">
      <c r="A441" s="1">
        <v>2040</v>
      </c>
      <c r="B441" s="1">
        <v>1753.83406594592</v>
      </c>
      <c r="C441" s="1">
        <v>2538.615990137414</v>
      </c>
      <c r="D441" s="1">
        <v>3871.3482565739132</v>
      </c>
      <c r="E441" s="1" t="s">
        <v>151</v>
      </c>
      <c r="F441" s="1">
        <v>4</v>
      </c>
    </row>
    <row r="442" spans="1:6" x14ac:dyDescent="0.35">
      <c r="A442" s="1">
        <v>2041</v>
      </c>
      <c r="B442" s="1">
        <v>2404.4757751740499</v>
      </c>
      <c r="C442" s="1">
        <v>4330.9996446219666</v>
      </c>
      <c r="D442" s="1">
        <v>9263.7666101248815</v>
      </c>
      <c r="E442" s="1" t="s">
        <v>151</v>
      </c>
      <c r="F442" s="1">
        <v>4</v>
      </c>
    </row>
    <row r="443" spans="1:6" x14ac:dyDescent="0.35">
      <c r="A443" s="1">
        <v>2042</v>
      </c>
      <c r="B443" s="1">
        <v>1911.8200198513621</v>
      </c>
      <c r="C443" s="1">
        <v>4245.2401057504803</v>
      </c>
      <c r="D443" s="1">
        <v>8682.7525872228598</v>
      </c>
      <c r="E443" s="1" t="s">
        <v>151</v>
      </c>
      <c r="F443" s="1">
        <v>4</v>
      </c>
    </row>
    <row r="444" spans="1:6" x14ac:dyDescent="0.35">
      <c r="A444" s="1">
        <v>2043</v>
      </c>
      <c r="B444" s="1">
        <v>1960.217974074915</v>
      </c>
      <c r="C444" s="1">
        <v>4140.42475407865</v>
      </c>
      <c r="D444" s="1">
        <v>8468.3746620081056</v>
      </c>
      <c r="E444" s="1" t="s">
        <v>151</v>
      </c>
      <c r="F444" s="1">
        <v>4</v>
      </c>
    </row>
    <row r="445" spans="1:6" x14ac:dyDescent="0.35">
      <c r="A445" s="1">
        <v>2044</v>
      </c>
      <c r="B445" s="1">
        <v>1911.8200198513621</v>
      </c>
      <c r="C445" s="1">
        <v>4038.1973026603791</v>
      </c>
      <c r="D445" s="1">
        <v>8682.7525872228598</v>
      </c>
      <c r="E445" s="1" t="s">
        <v>151</v>
      </c>
      <c r="F445" s="1">
        <v>4</v>
      </c>
    </row>
    <row r="446" spans="1:6" x14ac:dyDescent="0.35">
      <c r="A446" s="1">
        <v>2045</v>
      </c>
      <c r="B446" s="1">
        <v>1864.6170153752371</v>
      </c>
      <c r="C446" s="1">
        <v>3938.4938560107439</v>
      </c>
      <c r="D446" s="1">
        <v>8468.3746620081056</v>
      </c>
      <c r="E446" s="1" t="s">
        <v>151</v>
      </c>
      <c r="F446" s="1">
        <v>4</v>
      </c>
    </row>
    <row r="447" spans="1:6" x14ac:dyDescent="0.35">
      <c r="A447" s="1">
        <v>2046</v>
      </c>
      <c r="B447" s="1">
        <v>1911.8200198513621</v>
      </c>
      <c r="C447" s="1">
        <v>3841.2520962299668</v>
      </c>
      <c r="D447" s="1">
        <v>8259.2897466260856</v>
      </c>
      <c r="E447" s="1" t="s">
        <v>151</v>
      </c>
      <c r="F447" s="1">
        <v>4</v>
      </c>
    </row>
    <row r="448" spans="1:6" x14ac:dyDescent="0.35">
      <c r="A448" s="1">
        <v>2047</v>
      </c>
      <c r="B448" s="1">
        <v>2321.0420950335169</v>
      </c>
      <c r="C448" s="1">
        <v>6460.9650959488872</v>
      </c>
      <c r="D448" s="1">
        <v>15320.766453465199</v>
      </c>
      <c r="E448" s="1" t="s">
        <v>151</v>
      </c>
      <c r="F448" s="1">
        <v>4</v>
      </c>
    </row>
    <row r="449" spans="1:6" x14ac:dyDescent="0.35">
      <c r="A449" s="1">
        <v>2048</v>
      </c>
      <c r="B449" s="1">
        <v>2106.1099428294901</v>
      </c>
      <c r="C449" s="1">
        <v>6333.0294153303521</v>
      </c>
      <c r="D449" s="1">
        <v>13780.211285576859</v>
      </c>
      <c r="E449" s="1" t="s">
        <v>151</v>
      </c>
      <c r="F449" s="1">
        <v>4</v>
      </c>
    </row>
    <row r="450" spans="1:6" x14ac:dyDescent="0.35">
      <c r="A450" s="1">
        <v>2049</v>
      </c>
      <c r="B450" s="1">
        <v>3672.4130598229508</v>
      </c>
      <c r="C450" s="1">
        <v>9709.4901385388785</v>
      </c>
      <c r="D450" s="1">
        <v>20220.46</v>
      </c>
      <c r="E450" s="1" t="s">
        <v>151</v>
      </c>
      <c r="F450" s="1">
        <v>4</v>
      </c>
    </row>
    <row r="451" spans="1:6" x14ac:dyDescent="0.35">
      <c r="A451" s="1">
        <v>2050</v>
      </c>
      <c r="B451" s="1">
        <v>2835.1726882811358</v>
      </c>
      <c r="C451" s="1">
        <v>7615.0080354274987</v>
      </c>
      <c r="D451" s="1">
        <v>14746.28572384015</v>
      </c>
      <c r="E451" s="1" t="s">
        <v>151</v>
      </c>
      <c r="F451" s="1">
        <v>4</v>
      </c>
    </row>
    <row r="452" spans="1:6" x14ac:dyDescent="0.35">
      <c r="A452" s="1">
        <v>2026</v>
      </c>
      <c r="B452" s="1">
        <v>1972.121506377242</v>
      </c>
      <c r="C452" s="1">
        <v>2073.234338195939</v>
      </c>
      <c r="D452" s="1">
        <v>2073.234338195939</v>
      </c>
      <c r="E452" s="1" t="s">
        <v>152</v>
      </c>
      <c r="F452" s="1">
        <v>4</v>
      </c>
    </row>
    <row r="453" spans="1:6" x14ac:dyDescent="0.35">
      <c r="A453" s="1">
        <v>2027</v>
      </c>
      <c r="B453" s="1">
        <v>1923.429652893971</v>
      </c>
      <c r="C453" s="1">
        <v>2125.718515342754</v>
      </c>
      <c r="D453" s="1">
        <v>2125.718515342754</v>
      </c>
      <c r="E453" s="1" t="s">
        <v>152</v>
      </c>
      <c r="F453" s="1">
        <v>4</v>
      </c>
    </row>
    <row r="454" spans="1:6" x14ac:dyDescent="0.35">
      <c r="A454" s="1">
        <v>2028</v>
      </c>
      <c r="B454" s="1">
        <v>1972.121506377242</v>
      </c>
      <c r="C454" s="1">
        <v>2179.531335759666</v>
      </c>
      <c r="D454" s="1">
        <v>2179.531335759666</v>
      </c>
      <c r="E454" s="1" t="s">
        <v>152</v>
      </c>
      <c r="F454" s="1">
        <v>4</v>
      </c>
    </row>
    <row r="455" spans="1:6" x14ac:dyDescent="0.35">
      <c r="A455" s="1">
        <v>2029</v>
      </c>
      <c r="B455" s="1">
        <v>2117.5472966059979</v>
      </c>
      <c r="C455" s="1">
        <v>3411.854796110696</v>
      </c>
      <c r="D455" s="1">
        <v>4854.0469529925595</v>
      </c>
      <c r="E455" s="1" t="s">
        <v>152</v>
      </c>
      <c r="F455" s="1">
        <v>4</v>
      </c>
    </row>
    <row r="456" spans="1:6" x14ac:dyDescent="0.35">
      <c r="A456" s="1">
        <v>2030</v>
      </c>
      <c r="B456" s="1">
        <v>1501.356395780798</v>
      </c>
      <c r="C456" s="1">
        <v>2543.2086885439462</v>
      </c>
      <c r="D456" s="1">
        <v>4629.2538093772346</v>
      </c>
      <c r="E456" s="1" t="s">
        <v>152</v>
      </c>
      <c r="F456" s="1">
        <v>4</v>
      </c>
    </row>
    <row r="457" spans="1:6" x14ac:dyDescent="0.35">
      <c r="A457" s="1">
        <v>2031</v>
      </c>
      <c r="B457" s="1">
        <v>1539.3634138901109</v>
      </c>
      <c r="C457" s="1">
        <v>2607.5903230132099</v>
      </c>
      <c r="D457" s="1">
        <v>4746.4439274997912</v>
      </c>
      <c r="E457" s="1" t="s">
        <v>152</v>
      </c>
      <c r="F457" s="1">
        <v>4</v>
      </c>
    </row>
    <row r="458" spans="1:6" x14ac:dyDescent="0.35">
      <c r="A458" s="1">
        <v>2032</v>
      </c>
      <c r="B458" s="1">
        <v>1501.356395780798</v>
      </c>
      <c r="C458" s="1">
        <v>2673.6017863186239</v>
      </c>
      <c r="D458" s="1">
        <v>4629.2538093772346</v>
      </c>
      <c r="E458" s="1" t="s">
        <v>152</v>
      </c>
      <c r="F458" s="1">
        <v>4</v>
      </c>
    </row>
    <row r="459" spans="1:6" x14ac:dyDescent="0.35">
      <c r="A459" s="1">
        <v>2033</v>
      </c>
      <c r="B459" s="1">
        <v>1464.2877742921439</v>
      </c>
      <c r="C459" s="1">
        <v>2741.2843377736081</v>
      </c>
      <c r="D459" s="1">
        <v>4746.4439274997903</v>
      </c>
      <c r="E459" s="1" t="s">
        <v>152</v>
      </c>
      <c r="F459" s="1">
        <v>4</v>
      </c>
    </row>
    <row r="460" spans="1:6" x14ac:dyDescent="0.35">
      <c r="A460" s="1">
        <v>2034</v>
      </c>
      <c r="B460" s="1">
        <v>2680.3098164673861</v>
      </c>
      <c r="C460" s="1">
        <v>5098.5896248159352</v>
      </c>
      <c r="D460" s="1">
        <v>9773.1702897496216</v>
      </c>
      <c r="E460" s="1" t="s">
        <v>152</v>
      </c>
      <c r="F460" s="1">
        <v>4</v>
      </c>
    </row>
    <row r="461" spans="1:6" x14ac:dyDescent="0.35">
      <c r="A461" s="1">
        <v>2035</v>
      </c>
      <c r="B461" s="1">
        <v>1855.095495292519</v>
      </c>
      <c r="C461" s="1">
        <v>4363.5631988588584</v>
      </c>
      <c r="D461" s="1">
        <v>7352.2869381644077</v>
      </c>
      <c r="E461" s="1" t="s">
        <v>152</v>
      </c>
      <c r="F461" s="1">
        <v>4</v>
      </c>
    </row>
    <row r="462" spans="1:6" x14ac:dyDescent="0.35">
      <c r="A462" s="1">
        <v>2036</v>
      </c>
      <c r="B462" s="1">
        <v>1889.3972993198611</v>
      </c>
      <c r="C462" s="1">
        <v>4474.0273271539318</v>
      </c>
      <c r="D462" s="1">
        <v>7538.4109681342234</v>
      </c>
      <c r="E462" s="1" t="s">
        <v>152</v>
      </c>
      <c r="F462" s="1">
        <v>4</v>
      </c>
    </row>
    <row r="463" spans="1:6" x14ac:dyDescent="0.35">
      <c r="A463" s="1">
        <v>2037</v>
      </c>
      <c r="B463" s="1">
        <v>1842.7479137862231</v>
      </c>
      <c r="C463" s="1">
        <v>4587.2878681704206</v>
      </c>
      <c r="D463" s="1">
        <v>7352.2869381644068</v>
      </c>
      <c r="E463" s="1" t="s">
        <v>152</v>
      </c>
      <c r="F463" s="1">
        <v>4</v>
      </c>
    </row>
    <row r="464" spans="1:6" x14ac:dyDescent="0.35">
      <c r="A464" s="1">
        <v>2038</v>
      </c>
      <c r="B464" s="1">
        <v>1797.250305685234</v>
      </c>
      <c r="C464" s="1">
        <v>4703.4156134334062</v>
      </c>
      <c r="D464" s="1">
        <v>7170.7583268681856</v>
      </c>
      <c r="E464" s="1" t="s">
        <v>152</v>
      </c>
      <c r="F464" s="1">
        <v>4</v>
      </c>
    </row>
    <row r="465" spans="1:6" x14ac:dyDescent="0.35">
      <c r="A465" s="1">
        <v>2039</v>
      </c>
      <c r="B465" s="1">
        <v>2675.17793330211</v>
      </c>
      <c r="C465" s="1">
        <v>8210.3997535354283</v>
      </c>
      <c r="D465" s="1">
        <v>15833.61389819442</v>
      </c>
      <c r="E465" s="1" t="s">
        <v>152</v>
      </c>
      <c r="F465" s="1">
        <v>4</v>
      </c>
    </row>
    <row r="466" spans="1:6" x14ac:dyDescent="0.35">
      <c r="A466" s="1">
        <v>2040</v>
      </c>
      <c r="B466" s="1">
        <v>2194.2951625687729</v>
      </c>
      <c r="C466" s="1">
        <v>5602.7424811661094</v>
      </c>
      <c r="D466" s="1">
        <v>12751.644891048471</v>
      </c>
      <c r="E466" s="1" t="s">
        <v>152</v>
      </c>
      <c r="F466" s="1">
        <v>4</v>
      </c>
    </row>
    <row r="467" spans="1:6" x14ac:dyDescent="0.35">
      <c r="A467" s="1">
        <v>2041</v>
      </c>
      <c r="B467" s="1">
        <v>2249.8440090753729</v>
      </c>
      <c r="C467" s="1">
        <v>5744.5765823441661</v>
      </c>
      <c r="D467" s="1">
        <v>12436.80565690501</v>
      </c>
      <c r="E467" s="1" t="s">
        <v>152</v>
      </c>
      <c r="F467" s="1">
        <v>4</v>
      </c>
    </row>
    <row r="468" spans="1:6" x14ac:dyDescent="0.35">
      <c r="A468" s="1">
        <v>2042</v>
      </c>
      <c r="B468" s="1">
        <v>2306.79908132628</v>
      </c>
      <c r="C468" s="1">
        <v>5890.0012308880196</v>
      </c>
      <c r="D468" s="1">
        <v>12129.7398311495</v>
      </c>
      <c r="E468" s="1" t="s">
        <v>152</v>
      </c>
      <c r="F468" s="1">
        <v>4</v>
      </c>
    </row>
    <row r="469" spans="1:6" x14ac:dyDescent="0.35">
      <c r="A469" s="1">
        <v>2043</v>
      </c>
      <c r="B469" s="1">
        <v>2249.8440090753729</v>
      </c>
      <c r="C469" s="1">
        <v>5744.5765823441661</v>
      </c>
      <c r="D469" s="1">
        <v>11830.255487644979</v>
      </c>
      <c r="E469" s="1" t="s">
        <v>152</v>
      </c>
      <c r="F469" s="1">
        <v>4</v>
      </c>
    </row>
    <row r="470" spans="1:6" x14ac:dyDescent="0.35">
      <c r="A470" s="1">
        <v>2044</v>
      </c>
      <c r="B470" s="1">
        <v>2306.79908132628</v>
      </c>
      <c r="C470" s="1">
        <v>5890.0012308880196</v>
      </c>
      <c r="D470" s="1">
        <v>12085.78760799203</v>
      </c>
      <c r="E470" s="1" t="s">
        <v>152</v>
      </c>
      <c r="F470" s="1">
        <v>4</v>
      </c>
    </row>
    <row r="471" spans="1:6" x14ac:dyDescent="0.35">
      <c r="A471" s="1">
        <v>2045</v>
      </c>
      <c r="B471" s="1">
        <v>2249.8440090753729</v>
      </c>
      <c r="C471" s="1">
        <v>6039.1073219369846</v>
      </c>
      <c r="D471" s="1">
        <v>12391.74077792099</v>
      </c>
      <c r="E471" s="1" t="s">
        <v>152</v>
      </c>
      <c r="F471" s="1">
        <v>4</v>
      </c>
    </row>
    <row r="472" spans="1:6" x14ac:dyDescent="0.35">
      <c r="A472" s="1">
        <v>2046</v>
      </c>
      <c r="B472" s="1">
        <v>2971.563492528056</v>
      </c>
      <c r="C472" s="1">
        <v>10225.548277956599</v>
      </c>
      <c r="D472" s="1">
        <v>20220.46</v>
      </c>
      <c r="E472" s="1" t="s">
        <v>152</v>
      </c>
      <c r="F472" s="1">
        <v>4</v>
      </c>
    </row>
    <row r="473" spans="1:6" x14ac:dyDescent="0.35">
      <c r="A473" s="1">
        <v>2047</v>
      </c>
      <c r="B473" s="1">
        <v>2318.6546551849719</v>
      </c>
      <c r="C473" s="1">
        <v>7718.6776513130126</v>
      </c>
      <c r="D473" s="1">
        <v>16638.08383832057</v>
      </c>
      <c r="E473" s="1" t="s">
        <v>152</v>
      </c>
      <c r="F473" s="1">
        <v>4</v>
      </c>
    </row>
    <row r="474" spans="1:6" x14ac:dyDescent="0.35">
      <c r="A474" s="1">
        <v>2048</v>
      </c>
      <c r="B474" s="1">
        <v>2261.406867772539</v>
      </c>
      <c r="C474" s="1">
        <v>7528.102821077151</v>
      </c>
      <c r="D474" s="1">
        <v>17059.27893598321</v>
      </c>
      <c r="E474" s="1" t="s">
        <v>152</v>
      </c>
      <c r="F474" s="1">
        <v>4</v>
      </c>
    </row>
    <row r="475" spans="1:6" x14ac:dyDescent="0.35">
      <c r="A475" s="1">
        <v>2049</v>
      </c>
      <c r="B475" s="1">
        <v>2318.6546551849719</v>
      </c>
      <c r="C475" s="1">
        <v>7342.2333001649986</v>
      </c>
      <c r="D475" s="1">
        <v>17491.136638307471</v>
      </c>
      <c r="E475" s="1" t="s">
        <v>152</v>
      </c>
      <c r="F475" s="1">
        <v>4</v>
      </c>
    </row>
    <row r="476" spans="1:6" x14ac:dyDescent="0.35">
      <c r="A476" s="1">
        <v>2050</v>
      </c>
      <c r="B476" s="1">
        <v>2261.406867772539</v>
      </c>
      <c r="C476" s="1">
        <v>7160.9529140754194</v>
      </c>
      <c r="D476" s="1">
        <v>17059.27893598321</v>
      </c>
      <c r="E476" s="1" t="s">
        <v>152</v>
      </c>
      <c r="F476" s="1">
        <v>4</v>
      </c>
    </row>
    <row r="477" spans="1:6" x14ac:dyDescent="0.35">
      <c r="A477" s="1">
        <v>2026</v>
      </c>
      <c r="B477" s="1">
        <v>2073.234338195939</v>
      </c>
      <c r="C477" s="1">
        <v>1972.121506377242</v>
      </c>
      <c r="D477" s="1">
        <v>2073.234338195939</v>
      </c>
      <c r="E477" s="1" t="s">
        <v>153</v>
      </c>
      <c r="F477" s="1">
        <v>4</v>
      </c>
    </row>
    <row r="478" spans="1:6" x14ac:dyDescent="0.35">
      <c r="A478" s="1">
        <v>2027</v>
      </c>
      <c r="B478" s="1">
        <v>2225.403015119447</v>
      </c>
      <c r="C478" s="1">
        <v>2651.1231752386152</v>
      </c>
      <c r="D478" s="1">
        <v>4748.9725215632907</v>
      </c>
      <c r="E478" s="1" t="s">
        <v>153</v>
      </c>
      <c r="F478" s="1">
        <v>4</v>
      </c>
    </row>
    <row r="479" spans="1:6" x14ac:dyDescent="0.35">
      <c r="A479" s="1">
        <v>2028</v>
      </c>
      <c r="B479" s="1">
        <v>1905.360073688925</v>
      </c>
      <c r="C479" s="1">
        <v>2327.0243094939929</v>
      </c>
      <c r="D479" s="1">
        <v>4451.5834412978966</v>
      </c>
      <c r="E479" s="1" t="s">
        <v>153</v>
      </c>
      <c r="F479" s="1">
        <v>4</v>
      </c>
    </row>
    <row r="480" spans="1:6" x14ac:dyDescent="0.35">
      <c r="A480" s="1">
        <v>2029</v>
      </c>
      <c r="B480" s="1">
        <v>1953.594493596795</v>
      </c>
      <c r="C480" s="1">
        <v>2385.9332103521092</v>
      </c>
      <c r="D480" s="1">
        <v>4564.2758126389044</v>
      </c>
      <c r="E480" s="1" t="s">
        <v>153</v>
      </c>
      <c r="F480" s="1">
        <v>4</v>
      </c>
    </row>
    <row r="481" spans="1:6" x14ac:dyDescent="0.35">
      <c r="A481" s="1">
        <v>2030</v>
      </c>
      <c r="B481" s="1">
        <v>2003.0499736580589</v>
      </c>
      <c r="C481" s="1">
        <v>2446.33339713541</v>
      </c>
      <c r="D481" s="1">
        <v>4451.5834412978966</v>
      </c>
      <c r="E481" s="1" t="s">
        <v>153</v>
      </c>
      <c r="F481" s="1">
        <v>4</v>
      </c>
    </row>
    <row r="482" spans="1:6" x14ac:dyDescent="0.35">
      <c r="A482" s="1">
        <v>2031</v>
      </c>
      <c r="B482" s="1">
        <v>2053.7574251576671</v>
      </c>
      <c r="C482" s="1">
        <v>2508.2626219268291</v>
      </c>
      <c r="D482" s="1">
        <v>4564.2758126389044</v>
      </c>
      <c r="E482" s="1" t="s">
        <v>153</v>
      </c>
      <c r="F482" s="1">
        <v>4</v>
      </c>
    </row>
    <row r="483" spans="1:6" x14ac:dyDescent="0.35">
      <c r="A483" s="1">
        <v>2032</v>
      </c>
      <c r="B483" s="1">
        <v>2801.7035004410391</v>
      </c>
      <c r="C483" s="1">
        <v>4945.7354959550576</v>
      </c>
      <c r="D483" s="1">
        <v>8921.5218616189977</v>
      </c>
      <c r="E483" s="1" t="s">
        <v>153</v>
      </c>
      <c r="F483" s="1">
        <v>4</v>
      </c>
    </row>
    <row r="484" spans="1:6" x14ac:dyDescent="0.35">
      <c r="A484" s="1">
        <v>2033</v>
      </c>
      <c r="B484" s="1">
        <v>2082.1762226277779</v>
      </c>
      <c r="C484" s="1">
        <v>4035.6885670478241</v>
      </c>
      <c r="D484" s="1">
        <v>8618.2625361583086</v>
      </c>
      <c r="E484" s="1" t="s">
        <v>153</v>
      </c>
      <c r="F484" s="1">
        <v>4</v>
      </c>
    </row>
    <row r="485" spans="1:6" x14ac:dyDescent="0.35">
      <c r="A485" s="1">
        <v>2034</v>
      </c>
      <c r="B485" s="1">
        <v>2030.7671085185841</v>
      </c>
      <c r="C485" s="1">
        <v>4137.8525095216992</v>
      </c>
      <c r="D485" s="1">
        <v>8836.4348909723267</v>
      </c>
      <c r="E485" s="1" t="s">
        <v>153</v>
      </c>
      <c r="F485" s="1">
        <v>4</v>
      </c>
    </row>
    <row r="486" spans="1:6" x14ac:dyDescent="0.35">
      <c r="A486" s="1">
        <v>2035</v>
      </c>
      <c r="B486" s="1">
        <v>2082.1762226277779</v>
      </c>
      <c r="C486" s="1">
        <v>4035.6885670478241</v>
      </c>
      <c r="D486" s="1">
        <v>9060.1303052435596</v>
      </c>
      <c r="E486" s="1" t="s">
        <v>153</v>
      </c>
      <c r="F486" s="1">
        <v>4</v>
      </c>
    </row>
    <row r="487" spans="1:6" x14ac:dyDescent="0.35">
      <c r="A487" s="1">
        <v>2036</v>
      </c>
      <c r="B487" s="1">
        <v>2134.886764656701</v>
      </c>
      <c r="C487" s="1">
        <v>3936.0470613011612</v>
      </c>
      <c r="D487" s="1">
        <v>9289.4885958878313</v>
      </c>
      <c r="E487" s="1" t="s">
        <v>153</v>
      </c>
      <c r="F487" s="1">
        <v>4</v>
      </c>
    </row>
    <row r="488" spans="1:6" x14ac:dyDescent="0.35">
      <c r="A488" s="1">
        <v>2037</v>
      </c>
      <c r="B488" s="1">
        <v>3094.6915411118098</v>
      </c>
      <c r="C488" s="1">
        <v>6913.099799722122</v>
      </c>
      <c r="D488" s="1">
        <v>17535.095361540221</v>
      </c>
      <c r="E488" s="1" t="s">
        <v>153</v>
      </c>
      <c r="F488" s="1">
        <v>4</v>
      </c>
    </row>
    <row r="489" spans="1:6" x14ac:dyDescent="0.35">
      <c r="A489" s="1">
        <v>2038</v>
      </c>
      <c r="B489" s="1">
        <v>2443.3815143665911</v>
      </c>
      <c r="C489" s="1">
        <v>5111.1339440766369</v>
      </c>
      <c r="D489" s="1">
        <v>12653.11886821338</v>
      </c>
      <c r="E489" s="1" t="s">
        <v>153</v>
      </c>
      <c r="F489" s="1">
        <v>4</v>
      </c>
    </row>
    <row r="490" spans="1:6" x14ac:dyDescent="0.35">
      <c r="A490" s="1">
        <v>2039</v>
      </c>
      <c r="B490" s="1">
        <v>2383.0542098285341</v>
      </c>
      <c r="C490" s="1">
        <v>5240.5229158874363</v>
      </c>
      <c r="D490" s="1">
        <v>12973.434097372119</v>
      </c>
      <c r="E490" s="1" t="s">
        <v>153</v>
      </c>
      <c r="F490" s="1">
        <v>4</v>
      </c>
    </row>
    <row r="491" spans="1:6" x14ac:dyDescent="0.35">
      <c r="A491" s="1">
        <v>2040</v>
      </c>
      <c r="B491" s="1">
        <v>2324.216391746615</v>
      </c>
      <c r="C491" s="1">
        <v>5373.1873851141581</v>
      </c>
      <c r="D491" s="1">
        <v>12653.11886821338</v>
      </c>
      <c r="E491" s="1" t="s">
        <v>153</v>
      </c>
      <c r="F491" s="1">
        <v>4</v>
      </c>
    </row>
    <row r="492" spans="1:6" x14ac:dyDescent="0.35">
      <c r="A492" s="1">
        <v>2041</v>
      </c>
      <c r="B492" s="1">
        <v>2266.8312845691999</v>
      </c>
      <c r="C492" s="1">
        <v>5240.5229158874363</v>
      </c>
      <c r="D492" s="1">
        <v>12340.71225024122</v>
      </c>
      <c r="E492" s="1" t="s">
        <v>153</v>
      </c>
      <c r="F492" s="1">
        <v>4</v>
      </c>
    </row>
    <row r="493" spans="1:6" x14ac:dyDescent="0.35">
      <c r="A493" s="1">
        <v>2042</v>
      </c>
      <c r="B493" s="1">
        <v>3872.336271884235</v>
      </c>
      <c r="C493" s="1">
        <v>9652.934873017899</v>
      </c>
      <c r="D493" s="1">
        <v>20220.46</v>
      </c>
      <c r="E493" s="1" t="s">
        <v>153</v>
      </c>
      <c r="F493" s="1">
        <v>4</v>
      </c>
    </row>
    <row r="494" spans="1:6" x14ac:dyDescent="0.35">
      <c r="A494" s="1">
        <v>2043</v>
      </c>
      <c r="B494" s="1">
        <v>2850.418520023341</v>
      </c>
      <c r="C494" s="1">
        <v>7485.3247589825614</v>
      </c>
      <c r="D494" s="1">
        <v>16279.89226188981</v>
      </c>
      <c r="E494" s="1" t="s">
        <v>153</v>
      </c>
      <c r="F494" s="1">
        <v>4</v>
      </c>
    </row>
    <row r="495" spans="1:6" x14ac:dyDescent="0.35">
      <c r="A495" s="1">
        <v>2044</v>
      </c>
      <c r="B495" s="1">
        <v>2922.5772084027949</v>
      </c>
      <c r="C495" s="1">
        <v>7674.8166574206953</v>
      </c>
      <c r="D495" s="1">
        <v>15877.94028977448</v>
      </c>
      <c r="E495" s="1" t="s">
        <v>153</v>
      </c>
      <c r="F495" s="1">
        <v>4</v>
      </c>
    </row>
    <row r="496" spans="1:6" x14ac:dyDescent="0.35">
      <c r="A496" s="1">
        <v>2045</v>
      </c>
      <c r="B496" s="1">
        <v>2996.5626026754612</v>
      </c>
      <c r="C496" s="1">
        <v>7869.1055661061946</v>
      </c>
      <c r="D496" s="1">
        <v>16279.89226188981</v>
      </c>
      <c r="E496" s="1" t="s">
        <v>153</v>
      </c>
      <c r="F496" s="1">
        <v>4</v>
      </c>
    </row>
    <row r="497" spans="1:6" x14ac:dyDescent="0.35">
      <c r="A497" s="1">
        <v>2046</v>
      </c>
      <c r="B497" s="1">
        <v>2922.5772084027949</v>
      </c>
      <c r="C497" s="1">
        <v>7674.8166574206953</v>
      </c>
      <c r="D497" s="1">
        <v>15877.94028977448</v>
      </c>
      <c r="E497" s="1" t="s">
        <v>153</v>
      </c>
      <c r="F497" s="1">
        <v>4</v>
      </c>
    </row>
    <row r="498" spans="1:6" x14ac:dyDescent="0.35">
      <c r="A498" s="1">
        <v>2047</v>
      </c>
      <c r="B498" s="1">
        <v>2996.5626026754599</v>
      </c>
      <c r="C498" s="1">
        <v>7778.1908438104219</v>
      </c>
      <c r="D498" s="1">
        <v>15485.91254721107</v>
      </c>
      <c r="E498" s="1" t="s">
        <v>153</v>
      </c>
      <c r="F498" s="1">
        <v>4</v>
      </c>
    </row>
    <row r="499" spans="1:6" x14ac:dyDescent="0.35">
      <c r="A499" s="1">
        <v>2048</v>
      </c>
      <c r="B499" s="1">
        <v>2922.577208402794</v>
      </c>
      <c r="C499" s="1">
        <v>7586.1466276163246</v>
      </c>
      <c r="D499" s="1">
        <v>15103.56400409888</v>
      </c>
      <c r="E499" s="1" t="s">
        <v>153</v>
      </c>
      <c r="F499" s="1">
        <v>4</v>
      </c>
    </row>
    <row r="500" spans="1:6" x14ac:dyDescent="0.35">
      <c r="A500" s="1">
        <v>2049</v>
      </c>
      <c r="B500" s="1">
        <v>2920.6087312910281</v>
      </c>
      <c r="C500" s="1">
        <v>7778.190843810421</v>
      </c>
      <c r="D500" s="1">
        <v>15485.912547211061</v>
      </c>
      <c r="E500" s="1" t="s">
        <v>153</v>
      </c>
      <c r="F500" s="1">
        <v>4</v>
      </c>
    </row>
    <row r="501" spans="1:6" x14ac:dyDescent="0.35">
      <c r="A501" s="1">
        <v>2050</v>
      </c>
      <c r="B501" s="1">
        <v>2994.5442933283589</v>
      </c>
      <c r="C501" s="1">
        <v>7586.1466276163237</v>
      </c>
      <c r="D501" s="1">
        <v>15103.56400409888</v>
      </c>
      <c r="E501" s="1" t="s">
        <v>153</v>
      </c>
      <c r="F501" s="1">
        <v>4</v>
      </c>
    </row>
    <row r="502" spans="1:6" x14ac:dyDescent="0.35">
      <c r="A502" s="1">
        <v>2026</v>
      </c>
      <c r="B502" s="1">
        <v>2618.1413628248802</v>
      </c>
      <c r="C502" s="1">
        <v>3893.4385424314628</v>
      </c>
      <c r="D502" s="1">
        <v>3999.3209471655609</v>
      </c>
      <c r="E502" s="1" t="s">
        <v>154</v>
      </c>
      <c r="F502" s="1">
        <v>5</v>
      </c>
    </row>
    <row r="503" spans="1:6" x14ac:dyDescent="0.35">
      <c r="A503" s="1">
        <v>2027</v>
      </c>
      <c r="B503" s="1">
        <v>1859.998676962836</v>
      </c>
      <c r="C503" s="1">
        <v>3043.4838888999252</v>
      </c>
      <c r="D503" s="1">
        <v>3608.018507298937</v>
      </c>
      <c r="E503" s="1" t="s">
        <v>154</v>
      </c>
      <c r="F503" s="1">
        <v>5</v>
      </c>
    </row>
    <row r="504" spans="1:6" x14ac:dyDescent="0.35">
      <c r="A504" s="1">
        <v>2028</v>
      </c>
      <c r="B504" s="1">
        <v>2383.6262582786189</v>
      </c>
      <c r="C504" s="1">
        <v>4692.2500064718524</v>
      </c>
      <c r="D504" s="1">
        <v>10429.054057027401</v>
      </c>
      <c r="E504" s="1" t="s">
        <v>154</v>
      </c>
      <c r="F504" s="1">
        <v>5</v>
      </c>
    </row>
    <row r="505" spans="1:6" x14ac:dyDescent="0.35">
      <c r="A505" s="1">
        <v>2029</v>
      </c>
      <c r="B505" s="1">
        <v>1704.7518582184539</v>
      </c>
      <c r="C505" s="1">
        <v>3939.0067730642209</v>
      </c>
      <c r="D505" s="1">
        <v>7788.0450348794766</v>
      </c>
      <c r="E505" s="1" t="s">
        <v>154</v>
      </c>
      <c r="F505" s="1">
        <v>5</v>
      </c>
    </row>
    <row r="506" spans="1:6" x14ac:dyDescent="0.35">
      <c r="A506" s="1">
        <v>2030</v>
      </c>
      <c r="B506" s="1">
        <v>1747.9078569734991</v>
      </c>
      <c r="C506" s="1">
        <v>4038.7232042708829</v>
      </c>
      <c r="D506" s="1">
        <v>7595.7575178409952</v>
      </c>
      <c r="E506" s="1" t="s">
        <v>154</v>
      </c>
      <c r="F506" s="1">
        <v>5</v>
      </c>
    </row>
    <row r="507" spans="1:6" x14ac:dyDescent="0.35">
      <c r="A507" s="1">
        <v>2031</v>
      </c>
      <c r="B507" s="1">
        <v>1792.1563550383789</v>
      </c>
      <c r="C507" s="1">
        <v>3939.0067730642209</v>
      </c>
      <c r="D507" s="1">
        <v>7408.2175965140468</v>
      </c>
      <c r="E507" s="1" t="s">
        <v>154</v>
      </c>
      <c r="F507" s="1">
        <v>5</v>
      </c>
    </row>
    <row r="508" spans="1:6" x14ac:dyDescent="0.35">
      <c r="A508" s="1">
        <v>2032</v>
      </c>
      <c r="B508" s="1">
        <v>1747.9078569734991</v>
      </c>
      <c r="C508" s="1">
        <v>3841.7523493162721</v>
      </c>
      <c r="D508" s="1">
        <v>7225.3080523428607</v>
      </c>
      <c r="E508" s="1" t="s">
        <v>154</v>
      </c>
      <c r="F508" s="1">
        <v>5</v>
      </c>
    </row>
    <row r="509" spans="1:6" x14ac:dyDescent="0.35">
      <c r="A509" s="1">
        <v>2033</v>
      </c>
      <c r="B509" s="1">
        <v>1731.8036779480119</v>
      </c>
      <c r="C509" s="1">
        <v>3939.0067730642209</v>
      </c>
      <c r="D509" s="1">
        <v>7046.9145609081188</v>
      </c>
      <c r="E509" s="1" t="s">
        <v>154</v>
      </c>
      <c r="F509" s="1">
        <v>5</v>
      </c>
    </row>
    <row r="510" spans="1:6" x14ac:dyDescent="0.35">
      <c r="A510" s="1">
        <v>2034</v>
      </c>
      <c r="B510" s="1">
        <v>3141.1872809237279</v>
      </c>
      <c r="C510" s="1">
        <v>6459.4174703817807</v>
      </c>
      <c r="D510" s="1">
        <v>17214.015417376471</v>
      </c>
      <c r="E510" s="1" t="s">
        <v>154</v>
      </c>
      <c r="F510" s="1">
        <v>5</v>
      </c>
    </row>
    <row r="511" spans="1:6" x14ac:dyDescent="0.35">
      <c r="A511" s="1">
        <v>2035</v>
      </c>
      <c r="B511" s="1">
        <v>1882.0846231791879</v>
      </c>
      <c r="C511" s="1">
        <v>4960.0611581504372</v>
      </c>
      <c r="D511" s="1">
        <v>13807.539827829691</v>
      </c>
      <c r="E511" s="1" t="s">
        <v>154</v>
      </c>
      <c r="F511" s="1">
        <v>5</v>
      </c>
    </row>
    <row r="512" spans="1:6" x14ac:dyDescent="0.35">
      <c r="A512" s="1">
        <v>2036</v>
      </c>
      <c r="B512" s="1">
        <v>1929.7298222521431</v>
      </c>
      <c r="C512" s="1">
        <v>4837.5968118108522</v>
      </c>
      <c r="D512" s="1">
        <v>14157.07936271705</v>
      </c>
      <c r="E512" s="1" t="s">
        <v>154</v>
      </c>
      <c r="F512" s="1">
        <v>5</v>
      </c>
    </row>
    <row r="513" spans="1:6" x14ac:dyDescent="0.35">
      <c r="A513" s="1">
        <v>2037</v>
      </c>
      <c r="B513" s="1">
        <v>1882.0846231791879</v>
      </c>
      <c r="C513" s="1">
        <v>4960.0611581504363</v>
      </c>
      <c r="D513" s="1">
        <v>14515.467533058139</v>
      </c>
      <c r="E513" s="1" t="s">
        <v>154</v>
      </c>
      <c r="F513" s="1">
        <v>5</v>
      </c>
    </row>
    <row r="514" spans="1:6" x14ac:dyDescent="0.35">
      <c r="A514" s="1">
        <v>2038</v>
      </c>
      <c r="B514" s="1">
        <v>1929.7298222521431</v>
      </c>
      <c r="C514" s="1">
        <v>5085.6257041775534</v>
      </c>
      <c r="D514" s="1">
        <v>14157.07936271705</v>
      </c>
      <c r="E514" s="1" t="s">
        <v>154</v>
      </c>
      <c r="F514" s="1">
        <v>5</v>
      </c>
    </row>
    <row r="515" spans="1:6" x14ac:dyDescent="0.35">
      <c r="A515" s="1">
        <v>2039</v>
      </c>
      <c r="B515" s="1">
        <v>1882.0846231791879</v>
      </c>
      <c r="C515" s="1">
        <v>4960.0611581504354</v>
      </c>
      <c r="D515" s="1">
        <v>13807.539827829691</v>
      </c>
      <c r="E515" s="1" t="s">
        <v>154</v>
      </c>
      <c r="F515" s="1">
        <v>5</v>
      </c>
    </row>
    <row r="516" spans="1:6" x14ac:dyDescent="0.35">
      <c r="A516" s="1">
        <v>2040</v>
      </c>
      <c r="B516" s="1">
        <v>1835.615788262771</v>
      </c>
      <c r="C516" s="1">
        <v>5085.6257041775516</v>
      </c>
      <c r="D516" s="1">
        <v>14157.07936271705</v>
      </c>
      <c r="E516" s="1" t="s">
        <v>154</v>
      </c>
      <c r="F516" s="1">
        <v>5</v>
      </c>
    </row>
    <row r="517" spans="1:6" x14ac:dyDescent="0.35">
      <c r="A517" s="1">
        <v>2041</v>
      </c>
      <c r="B517" s="1">
        <v>4012.717103617565</v>
      </c>
      <c r="C517" s="1">
        <v>8957.9423882870469</v>
      </c>
      <c r="D517" s="1">
        <v>20220.46</v>
      </c>
      <c r="E517" s="1" t="s">
        <v>154</v>
      </c>
      <c r="F517" s="1">
        <v>5</v>
      </c>
    </row>
    <row r="518" spans="1:6" x14ac:dyDescent="0.35">
      <c r="A518" s="1">
        <v>2042</v>
      </c>
      <c r="B518" s="1">
        <v>2989.1830308822418</v>
      </c>
      <c r="C518" s="1">
        <v>6612.0708448844498</v>
      </c>
      <c r="D518" s="1">
        <v>14115.282159808559</v>
      </c>
      <c r="E518" s="1" t="s">
        <v>154</v>
      </c>
      <c r="F518" s="1">
        <v>5</v>
      </c>
    </row>
    <row r="519" spans="1:6" x14ac:dyDescent="0.35">
      <c r="A519" s="1">
        <v>2043</v>
      </c>
      <c r="B519" s="1">
        <v>4992.0261489956774</v>
      </c>
      <c r="C519" s="1">
        <v>12104.672940306191</v>
      </c>
      <c r="D519" s="1">
        <v>20220.46</v>
      </c>
      <c r="E519" s="1" t="s">
        <v>154</v>
      </c>
      <c r="F519" s="1">
        <v>5</v>
      </c>
    </row>
    <row r="520" spans="1:6" x14ac:dyDescent="0.35">
      <c r="A520" s="1">
        <v>2044</v>
      </c>
      <c r="B520" s="1">
        <v>3735.430673451955</v>
      </c>
      <c r="C520" s="1">
        <v>9931.3378202517306</v>
      </c>
      <c r="D520" s="1">
        <v>16074.356420470391</v>
      </c>
      <c r="E520" s="1" t="s">
        <v>154</v>
      </c>
      <c r="F520" s="1">
        <v>5</v>
      </c>
    </row>
    <row r="521" spans="1:6" x14ac:dyDescent="0.35">
      <c r="A521" s="1">
        <v>2045</v>
      </c>
      <c r="B521" s="1">
        <v>3822.7211681312729</v>
      </c>
      <c r="C521" s="1">
        <v>9686.1322157933682</v>
      </c>
      <c r="D521" s="1">
        <v>15677.47914636104</v>
      </c>
      <c r="E521" s="1" t="s">
        <v>154</v>
      </c>
      <c r="F521" s="1">
        <v>5</v>
      </c>
    </row>
    <row r="522" spans="1:6" x14ac:dyDescent="0.35">
      <c r="A522" s="1">
        <v>2046</v>
      </c>
      <c r="B522" s="1">
        <v>3728.337846198956</v>
      </c>
      <c r="C522" s="1">
        <v>9931.3378202517306</v>
      </c>
      <c r="D522" s="1">
        <v>16074.356420470391</v>
      </c>
      <c r="E522" s="1" t="s">
        <v>154</v>
      </c>
      <c r="F522" s="1">
        <v>5</v>
      </c>
    </row>
    <row r="523" spans="1:6" x14ac:dyDescent="0.35">
      <c r="A523" s="1">
        <v>2047</v>
      </c>
      <c r="B523" s="1">
        <v>3636.284856788207</v>
      </c>
      <c r="C523" s="1">
        <v>10182.750834140221</v>
      </c>
      <c r="D523" s="1">
        <v>15677.479146361031</v>
      </c>
      <c r="E523" s="1" t="s">
        <v>154</v>
      </c>
      <c r="F523" s="1">
        <v>5</v>
      </c>
    </row>
    <row r="524" spans="1:6" x14ac:dyDescent="0.35">
      <c r="A524" s="1">
        <v>2048</v>
      </c>
      <c r="B524" s="1">
        <v>3546.5046637840651</v>
      </c>
      <c r="C524" s="1">
        <v>10440.528398776711</v>
      </c>
      <c r="D524" s="1">
        <v>16074.35642047038</v>
      </c>
      <c r="E524" s="1" t="s">
        <v>154</v>
      </c>
      <c r="F524" s="1">
        <v>5</v>
      </c>
    </row>
    <row r="525" spans="1:6" x14ac:dyDescent="0.35">
      <c r="A525" s="1">
        <v>2049</v>
      </c>
      <c r="B525" s="1">
        <v>3636.284856788207</v>
      </c>
      <c r="C525" s="1">
        <v>10704.831633530461</v>
      </c>
      <c r="D525" s="1">
        <v>15677.479146361031</v>
      </c>
      <c r="E525" s="1" t="s">
        <v>154</v>
      </c>
      <c r="F525" s="1">
        <v>5</v>
      </c>
    </row>
    <row r="526" spans="1:6" x14ac:dyDescent="0.35">
      <c r="A526" s="1">
        <v>2050</v>
      </c>
      <c r="B526" s="1">
        <v>3728.337846198956</v>
      </c>
      <c r="C526" s="1">
        <v>10440.528398776711</v>
      </c>
      <c r="D526" s="1">
        <v>16074.35642047038</v>
      </c>
      <c r="E526" s="1" t="s">
        <v>154</v>
      </c>
      <c r="F526" s="1">
        <v>5</v>
      </c>
    </row>
    <row r="527" spans="1:6" x14ac:dyDescent="0.35">
      <c r="A527" s="1">
        <v>2026</v>
      </c>
      <c r="B527" s="1">
        <v>2073.234338195939</v>
      </c>
      <c r="C527" s="1">
        <v>2073.234338195939</v>
      </c>
      <c r="D527" s="1">
        <v>2073.234338195939</v>
      </c>
      <c r="E527" s="1" t="s">
        <v>155</v>
      </c>
      <c r="F527" s="1">
        <v>5</v>
      </c>
    </row>
    <row r="528" spans="1:6" x14ac:dyDescent="0.35">
      <c r="A528" s="1">
        <v>2027</v>
      </c>
      <c r="B528" s="1">
        <v>2022.046</v>
      </c>
      <c r="C528" s="1">
        <v>2022.046</v>
      </c>
      <c r="D528" s="1">
        <v>2022.046</v>
      </c>
      <c r="E528" s="1" t="s">
        <v>155</v>
      </c>
      <c r="F528" s="1">
        <v>5</v>
      </c>
    </row>
    <row r="529" spans="1:6" x14ac:dyDescent="0.35">
      <c r="A529" s="1">
        <v>2028</v>
      </c>
      <c r="B529" s="1">
        <v>1972.121506377242</v>
      </c>
      <c r="C529" s="1">
        <v>2073.234338195939</v>
      </c>
      <c r="D529" s="1">
        <v>2073.234338195939</v>
      </c>
      <c r="E529" s="1" t="s">
        <v>155</v>
      </c>
      <c r="F529" s="1">
        <v>5</v>
      </c>
    </row>
    <row r="530" spans="1:6" x14ac:dyDescent="0.35">
      <c r="A530" s="1">
        <v>2029</v>
      </c>
      <c r="B530" s="1">
        <v>2073.234338195939</v>
      </c>
      <c r="C530" s="1">
        <v>2179.531335759666</v>
      </c>
      <c r="D530" s="1">
        <v>6950.4219673905654</v>
      </c>
      <c r="E530" s="1" t="s">
        <v>155</v>
      </c>
      <c r="F530" s="1">
        <v>5</v>
      </c>
    </row>
    <row r="531" spans="1:6" x14ac:dyDescent="0.35">
      <c r="A531" s="1">
        <v>2030</v>
      </c>
      <c r="B531" s="1">
        <v>1450.7041851024001</v>
      </c>
      <c r="C531" s="1">
        <v>1728.848074945593</v>
      </c>
      <c r="D531" s="1">
        <v>5318.1237677410136</v>
      </c>
      <c r="E531" s="1" t="s">
        <v>155</v>
      </c>
      <c r="F531" s="1">
        <v>5</v>
      </c>
    </row>
    <row r="532" spans="1:6" x14ac:dyDescent="0.35">
      <c r="A532" s="1">
        <v>2031</v>
      </c>
      <c r="B532" s="1">
        <v>2094.953402352091</v>
      </c>
      <c r="C532" s="1">
        <v>7334.8161976545207</v>
      </c>
      <c r="D532" s="1">
        <v>12300.676985527971</v>
      </c>
      <c r="E532" s="1" t="s">
        <v>155</v>
      </c>
      <c r="F532" s="1">
        <v>5</v>
      </c>
    </row>
    <row r="533" spans="1:6" x14ac:dyDescent="0.35">
      <c r="A533" s="1">
        <v>2032</v>
      </c>
      <c r="B533" s="1">
        <v>1567.4055603189761</v>
      </c>
      <c r="C533" s="1">
        <v>4453.8104343280856</v>
      </c>
      <c r="D533" s="1">
        <v>8580.3872348067725</v>
      </c>
      <c r="E533" s="1" t="s">
        <v>155</v>
      </c>
      <c r="F533" s="1">
        <v>5</v>
      </c>
    </row>
    <row r="534" spans="1:6" x14ac:dyDescent="0.35">
      <c r="A534" s="1">
        <v>2033</v>
      </c>
      <c r="B534" s="1">
        <v>1528.70617914742</v>
      </c>
      <c r="C534" s="1">
        <v>4343.845462895395</v>
      </c>
      <c r="D534" s="1">
        <v>8368.536719148422</v>
      </c>
      <c r="E534" s="1" t="s">
        <v>155</v>
      </c>
      <c r="F534" s="1">
        <v>5</v>
      </c>
    </row>
    <row r="535" spans="1:6" x14ac:dyDescent="0.35">
      <c r="A535" s="1">
        <v>2034</v>
      </c>
      <c r="B535" s="1">
        <v>1490.962289101439</v>
      </c>
      <c r="C535" s="1">
        <v>4236.5955362811792</v>
      </c>
      <c r="D535" s="1">
        <v>8318.3117366793431</v>
      </c>
      <c r="E535" s="1" t="s">
        <v>155</v>
      </c>
      <c r="F535" s="1">
        <v>5</v>
      </c>
    </row>
    <row r="536" spans="1:6" x14ac:dyDescent="0.35">
      <c r="A536" s="1">
        <v>2035</v>
      </c>
      <c r="B536" s="1">
        <v>1457.775996410784</v>
      </c>
      <c r="C536" s="1">
        <v>4343.8454628953941</v>
      </c>
      <c r="D536" s="1">
        <v>8112.9318881249756</v>
      </c>
      <c r="E536" s="1" t="s">
        <v>155</v>
      </c>
      <c r="F536" s="1">
        <v>5</v>
      </c>
    </row>
    <row r="537" spans="1:6" x14ac:dyDescent="0.35">
      <c r="A537" s="1">
        <v>2036</v>
      </c>
      <c r="B537" s="1">
        <v>2931.163709666635</v>
      </c>
      <c r="C537" s="1">
        <v>6448.1605807541837</v>
      </c>
      <c r="D537" s="1">
        <v>15409.739263207741</v>
      </c>
      <c r="E537" s="1" t="s">
        <v>155</v>
      </c>
      <c r="F537" s="1">
        <v>5</v>
      </c>
    </row>
    <row r="538" spans="1:6" x14ac:dyDescent="0.35">
      <c r="A538" s="1">
        <v>2037</v>
      </c>
      <c r="B538" s="1">
        <v>2343.8657272576438</v>
      </c>
      <c r="C538" s="1">
        <v>6167.4949130056993</v>
      </c>
      <c r="D538" s="1">
        <v>12659.37910896605</v>
      </c>
      <c r="E538" s="1" t="s">
        <v>155</v>
      </c>
      <c r="F538" s="1">
        <v>5</v>
      </c>
    </row>
    <row r="539" spans="1:6" x14ac:dyDescent="0.35">
      <c r="A539" s="1">
        <v>2038</v>
      </c>
      <c r="B539" s="1">
        <v>2285.9954762578759</v>
      </c>
      <c r="C539" s="1">
        <v>6015.2189210387778</v>
      </c>
      <c r="D539" s="1">
        <v>12346.817925098991</v>
      </c>
      <c r="E539" s="1" t="s">
        <v>155</v>
      </c>
      <c r="F539" s="1">
        <v>5</v>
      </c>
    </row>
    <row r="540" spans="1:6" x14ac:dyDescent="0.35">
      <c r="A540" s="1">
        <v>2039</v>
      </c>
      <c r="B540" s="1">
        <v>2343.8657272576438</v>
      </c>
      <c r="C540" s="1">
        <v>6167.4949130056993</v>
      </c>
      <c r="D540" s="1">
        <v>12659.37910896605</v>
      </c>
      <c r="E540" s="1" t="s">
        <v>155</v>
      </c>
      <c r="F540" s="1">
        <v>5</v>
      </c>
    </row>
    <row r="541" spans="1:6" x14ac:dyDescent="0.35">
      <c r="A541" s="1">
        <v>2040</v>
      </c>
      <c r="B541" s="1">
        <v>2285.9954762578759</v>
      </c>
      <c r="C541" s="1">
        <v>6015.2189210387778</v>
      </c>
      <c r="D541" s="1">
        <v>12979.852816873959</v>
      </c>
      <c r="E541" s="1" t="s">
        <v>155</v>
      </c>
      <c r="F541" s="1">
        <v>5</v>
      </c>
    </row>
    <row r="542" spans="1:6" x14ac:dyDescent="0.35">
      <c r="A542" s="1">
        <v>2041</v>
      </c>
      <c r="B542" s="1">
        <v>2229.5540468462359</v>
      </c>
      <c r="C542" s="1">
        <v>5866.7026367094923</v>
      </c>
      <c r="D542" s="1">
        <v>12659.37910896605</v>
      </c>
      <c r="E542" s="1" t="s">
        <v>155</v>
      </c>
      <c r="F542" s="1">
        <v>5</v>
      </c>
    </row>
    <row r="543" spans="1:6" x14ac:dyDescent="0.35">
      <c r="A543" s="1">
        <v>2042</v>
      </c>
      <c r="B543" s="1">
        <v>2174.5061612920149</v>
      </c>
      <c r="C543" s="1">
        <v>6015.2189210387778</v>
      </c>
      <c r="D543" s="1">
        <v>12346.817925098991</v>
      </c>
      <c r="E543" s="1" t="s">
        <v>155</v>
      </c>
      <c r="F543" s="1">
        <v>5</v>
      </c>
    </row>
    <row r="544" spans="1:6" x14ac:dyDescent="0.35">
      <c r="A544" s="1">
        <v>2043</v>
      </c>
      <c r="B544" s="1">
        <v>2229.5540468462359</v>
      </c>
      <c r="C544" s="1">
        <v>5866.7026367094923</v>
      </c>
      <c r="D544" s="1">
        <v>12659.37910896605</v>
      </c>
      <c r="E544" s="1" t="s">
        <v>155</v>
      </c>
      <c r="F544" s="1">
        <v>5</v>
      </c>
    </row>
    <row r="545" spans="1:6" x14ac:dyDescent="0.35">
      <c r="A545" s="1">
        <v>2044</v>
      </c>
      <c r="B545" s="1">
        <v>2285.9954762578759</v>
      </c>
      <c r="C545" s="1">
        <v>5721.8532325055221</v>
      </c>
      <c r="D545" s="1">
        <v>12346.817925098991</v>
      </c>
      <c r="E545" s="1" t="s">
        <v>155</v>
      </c>
      <c r="F545" s="1">
        <v>5</v>
      </c>
    </row>
    <row r="546" spans="1:6" x14ac:dyDescent="0.35">
      <c r="A546" s="1">
        <v>2045</v>
      </c>
      <c r="B546" s="1">
        <v>2229.5540468462359</v>
      </c>
      <c r="C546" s="1">
        <v>5866.7026367094923</v>
      </c>
      <c r="D546" s="1">
        <v>12659.37910896605</v>
      </c>
      <c r="E546" s="1" t="s">
        <v>155</v>
      </c>
      <c r="F546" s="1">
        <v>5</v>
      </c>
    </row>
    <row r="547" spans="1:6" x14ac:dyDescent="0.35">
      <c r="A547" s="1">
        <v>2046</v>
      </c>
      <c r="B547" s="1">
        <v>3694.8050660821668</v>
      </c>
      <c r="C547" s="1">
        <v>10521.026492882431</v>
      </c>
      <c r="D547" s="1">
        <v>19113.52140897818</v>
      </c>
      <c r="E547" s="1" t="s">
        <v>155</v>
      </c>
      <c r="F547" s="1">
        <v>5</v>
      </c>
    </row>
    <row r="548" spans="1:6" x14ac:dyDescent="0.35">
      <c r="A548" s="1">
        <v>2047</v>
      </c>
      <c r="B548" s="1">
        <v>2307.762723503341</v>
      </c>
      <c r="C548" s="1">
        <v>6711.6463089354693</v>
      </c>
      <c r="D548" s="1">
        <v>16258.4369889185</v>
      </c>
      <c r="E548" s="1" t="s">
        <v>155</v>
      </c>
      <c r="F548" s="1">
        <v>5</v>
      </c>
    </row>
    <row r="549" spans="1:6" x14ac:dyDescent="0.35">
      <c r="A549" s="1">
        <v>2048</v>
      </c>
      <c r="B549" s="1">
        <v>4249.9570603056227</v>
      </c>
      <c r="C549" s="1">
        <v>13656.51405899153</v>
      </c>
      <c r="D549" s="1">
        <v>20220.46</v>
      </c>
      <c r="E549" s="1" t="s">
        <v>155</v>
      </c>
      <c r="F549" s="1">
        <v>5</v>
      </c>
    </row>
    <row r="550" spans="1:6" x14ac:dyDescent="0.35">
      <c r="A550" s="1">
        <v>2049</v>
      </c>
      <c r="B550" s="1">
        <v>3802.083415989167</v>
      </c>
      <c r="C550" s="1">
        <v>11463.299752295959</v>
      </c>
      <c r="D550" s="1">
        <v>16719.927323281088</v>
      </c>
      <c r="E550" s="1" t="s">
        <v>155</v>
      </c>
      <c r="F550" s="1">
        <v>5</v>
      </c>
    </row>
    <row r="551" spans="1:6" x14ac:dyDescent="0.35">
      <c r="A551" s="1">
        <v>2050</v>
      </c>
      <c r="B551" s="1">
        <v>3708.2096419727768</v>
      </c>
      <c r="C551" s="1">
        <v>11180.269872966181</v>
      </c>
      <c r="D551" s="1">
        <v>16307.110846789399</v>
      </c>
      <c r="E551" s="1" t="s">
        <v>155</v>
      </c>
      <c r="F551" s="1">
        <v>5</v>
      </c>
    </row>
    <row r="552" spans="1:6" x14ac:dyDescent="0.35">
      <c r="A552" s="1">
        <v>2026</v>
      </c>
      <c r="B552" s="1">
        <v>1972.121506377242</v>
      </c>
      <c r="C552" s="1">
        <v>1972.121506377242</v>
      </c>
      <c r="D552" s="1">
        <v>2073.234338195939</v>
      </c>
      <c r="E552" s="1" t="s">
        <v>156</v>
      </c>
      <c r="F552" s="1">
        <v>5</v>
      </c>
    </row>
    <row r="553" spans="1:6" x14ac:dyDescent="0.35">
      <c r="A553" s="1">
        <v>2027</v>
      </c>
      <c r="B553" s="1">
        <v>1923.429652893971</v>
      </c>
      <c r="C553" s="1">
        <v>2022.046</v>
      </c>
      <c r="D553" s="1">
        <v>2022.046</v>
      </c>
      <c r="E553" s="1" t="s">
        <v>156</v>
      </c>
      <c r="F553" s="1">
        <v>5</v>
      </c>
    </row>
    <row r="554" spans="1:6" x14ac:dyDescent="0.35">
      <c r="A554" s="1">
        <v>2028</v>
      </c>
      <c r="B554" s="1">
        <v>1972.121506377242</v>
      </c>
      <c r="C554" s="1">
        <v>1972.121506377242</v>
      </c>
      <c r="D554" s="1">
        <v>2073.234338195939</v>
      </c>
      <c r="E554" s="1" t="s">
        <v>156</v>
      </c>
      <c r="F554" s="1">
        <v>5</v>
      </c>
    </row>
    <row r="555" spans="1:6" x14ac:dyDescent="0.35">
      <c r="A555" s="1">
        <v>2029</v>
      </c>
      <c r="B555" s="1">
        <v>1923.429652893971</v>
      </c>
      <c r="C555" s="1">
        <v>1923.429652893971</v>
      </c>
      <c r="D555" s="1">
        <v>2022.046</v>
      </c>
      <c r="E555" s="1" t="s">
        <v>156</v>
      </c>
      <c r="F555" s="1">
        <v>5</v>
      </c>
    </row>
    <row r="556" spans="1:6" x14ac:dyDescent="0.35">
      <c r="A556" s="1">
        <v>2030</v>
      </c>
      <c r="B556" s="1">
        <v>2271.1136831656222</v>
      </c>
      <c r="C556" s="1">
        <v>3113.042796899148</v>
      </c>
      <c r="D556" s="1">
        <v>6295.8627964495799</v>
      </c>
      <c r="E556" s="1" t="s">
        <v>156</v>
      </c>
      <c r="F556" s="1">
        <v>5</v>
      </c>
    </row>
    <row r="557" spans="1:6" x14ac:dyDescent="0.35">
      <c r="A557" s="1">
        <v>2031</v>
      </c>
      <c r="B557" s="1">
        <v>1900.858689712443</v>
      </c>
      <c r="C557" s="1">
        <v>2498.4238543987908</v>
      </c>
      <c r="D557" s="1">
        <v>5050.7601414518012</v>
      </c>
      <c r="E557" s="1" t="s">
        <v>156</v>
      </c>
      <c r="F557" s="1">
        <v>5</v>
      </c>
    </row>
    <row r="558" spans="1:6" x14ac:dyDescent="0.35">
      <c r="A558" s="1">
        <v>2032</v>
      </c>
      <c r="B558" s="1">
        <v>1948.9791565424209</v>
      </c>
      <c r="C558" s="1">
        <v>2561.6717553940048</v>
      </c>
      <c r="D558" s="1">
        <v>4926.0564292355648</v>
      </c>
      <c r="E558" s="1" t="s">
        <v>156</v>
      </c>
      <c r="F558" s="1">
        <v>5</v>
      </c>
    </row>
    <row r="559" spans="1:6" x14ac:dyDescent="0.35">
      <c r="A559" s="1">
        <v>2033</v>
      </c>
      <c r="B559" s="1">
        <v>1900.858689712443</v>
      </c>
      <c r="C559" s="1">
        <v>2498.4238543987908</v>
      </c>
      <c r="D559" s="1">
        <v>4804.4316626443406</v>
      </c>
      <c r="E559" s="1" t="s">
        <v>156</v>
      </c>
      <c r="F559" s="1">
        <v>5</v>
      </c>
    </row>
    <row r="560" spans="1:6" x14ac:dyDescent="0.35">
      <c r="A560" s="1">
        <v>2034</v>
      </c>
      <c r="B560" s="1">
        <v>1948.9791565424209</v>
      </c>
      <c r="C560" s="1">
        <v>2436.7375496431732</v>
      </c>
      <c r="D560" s="1">
        <v>4926.0564292355639</v>
      </c>
      <c r="E560" s="1" t="s">
        <v>156</v>
      </c>
      <c r="F560" s="1">
        <v>5</v>
      </c>
    </row>
    <row r="561" spans="1:6" x14ac:dyDescent="0.35">
      <c r="A561" s="1">
        <v>2035</v>
      </c>
      <c r="B561" s="1">
        <v>1900.858689712443</v>
      </c>
      <c r="C561" s="1">
        <v>2376.5742851786181</v>
      </c>
      <c r="D561" s="1">
        <v>4813.4975387967961</v>
      </c>
      <c r="E561" s="1" t="s">
        <v>156</v>
      </c>
      <c r="F561" s="1">
        <v>5</v>
      </c>
    </row>
    <row r="562" spans="1:6" x14ac:dyDescent="0.35">
      <c r="A562" s="1">
        <v>2036</v>
      </c>
      <c r="B562" s="1">
        <v>1853.926321441734</v>
      </c>
      <c r="C562" s="1">
        <v>2436.7375496431732</v>
      </c>
      <c r="D562" s="1">
        <v>4694.6518611124984</v>
      </c>
      <c r="E562" s="1" t="s">
        <v>156</v>
      </c>
      <c r="F562" s="1">
        <v>5</v>
      </c>
    </row>
    <row r="563" spans="1:6" x14ac:dyDescent="0.35">
      <c r="A563" s="1">
        <v>2037</v>
      </c>
      <c r="B563" s="1">
        <v>2458.641800955741</v>
      </c>
      <c r="C563" s="1">
        <v>4105.4859761928383</v>
      </c>
      <c r="D563" s="1">
        <v>8706.4902863202788</v>
      </c>
      <c r="E563" s="1" t="s">
        <v>156</v>
      </c>
      <c r="F563" s="1">
        <v>5</v>
      </c>
    </row>
    <row r="564" spans="1:6" x14ac:dyDescent="0.35">
      <c r="A564" s="1">
        <v>2038</v>
      </c>
      <c r="B564" s="1">
        <v>2037.707099311124</v>
      </c>
      <c r="C564" s="1">
        <v>4024.1919071437092</v>
      </c>
      <c r="D564" s="1">
        <v>8534.090227809289</v>
      </c>
      <c r="E564" s="1" t="s">
        <v>156</v>
      </c>
      <c r="F564" s="1">
        <v>5</v>
      </c>
    </row>
    <row r="565" spans="1:6" x14ac:dyDescent="0.35">
      <c r="A565" s="1">
        <v>2039</v>
      </c>
      <c r="B565" s="1">
        <v>2089.2919001236701</v>
      </c>
      <c r="C565" s="1">
        <v>4126.0648102864834</v>
      </c>
      <c r="D565" s="1">
        <v>8750.1317504926319</v>
      </c>
      <c r="E565" s="1" t="s">
        <v>156</v>
      </c>
      <c r="F565" s="1">
        <v>5</v>
      </c>
    </row>
    <row r="566" spans="1:6" x14ac:dyDescent="0.35">
      <c r="A566" s="1">
        <v>2040</v>
      </c>
      <c r="B566" s="1">
        <v>2037.707099311124</v>
      </c>
      <c r="C566" s="1">
        <v>4024.1919071437092</v>
      </c>
      <c r="D566" s="1">
        <v>8534.090227809289</v>
      </c>
      <c r="E566" s="1" t="s">
        <v>156</v>
      </c>
      <c r="F566" s="1">
        <v>5</v>
      </c>
    </row>
    <row r="567" spans="1:6" x14ac:dyDescent="0.35">
      <c r="A567" s="1">
        <v>2041</v>
      </c>
      <c r="B567" s="1">
        <v>1987.395931768642</v>
      </c>
      <c r="C567" s="1">
        <v>4126.0648102864834</v>
      </c>
      <c r="D567" s="1">
        <v>8323.3827893265316</v>
      </c>
      <c r="E567" s="1" t="s">
        <v>156</v>
      </c>
      <c r="F567" s="1">
        <v>5</v>
      </c>
    </row>
    <row r="568" spans="1:6" x14ac:dyDescent="0.35">
      <c r="A568" s="1">
        <v>2042</v>
      </c>
      <c r="B568" s="1">
        <v>2037.707099311124</v>
      </c>
      <c r="C568" s="1">
        <v>4230.5166382504904</v>
      </c>
      <c r="D568" s="1">
        <v>8534.090227809289</v>
      </c>
      <c r="E568" s="1" t="s">
        <v>156</v>
      </c>
      <c r="F568" s="1">
        <v>5</v>
      </c>
    </row>
    <row r="569" spans="1:6" x14ac:dyDescent="0.35">
      <c r="A569" s="1">
        <v>2043</v>
      </c>
      <c r="B569" s="1">
        <v>2089.2919001236701</v>
      </c>
      <c r="C569" s="1">
        <v>4337.612676828403</v>
      </c>
      <c r="D569" s="1">
        <v>8323.3827893265316</v>
      </c>
      <c r="E569" s="1" t="s">
        <v>156</v>
      </c>
      <c r="F569" s="1">
        <v>5</v>
      </c>
    </row>
    <row r="570" spans="1:6" x14ac:dyDescent="0.35">
      <c r="A570" s="1">
        <v>2044</v>
      </c>
      <c r="B570" s="1">
        <v>2037.707099311124</v>
      </c>
      <c r="C570" s="1">
        <v>4362.4539132412247</v>
      </c>
      <c r="D570" s="1">
        <v>8117.8777360361973</v>
      </c>
      <c r="E570" s="1" t="s">
        <v>156</v>
      </c>
      <c r="F570" s="1">
        <v>5</v>
      </c>
    </row>
    <row r="571" spans="1:6" x14ac:dyDescent="0.35">
      <c r="A571" s="1">
        <v>2045</v>
      </c>
      <c r="B571" s="1">
        <v>2962.8924130982909</v>
      </c>
      <c r="C571" s="1">
        <v>9801.6182662956289</v>
      </c>
      <c r="D571" s="1">
        <v>18438.595672334039</v>
      </c>
      <c r="E571" s="1" t="s">
        <v>156</v>
      </c>
      <c r="F571" s="1">
        <v>5</v>
      </c>
    </row>
    <row r="572" spans="1:6" x14ac:dyDescent="0.35">
      <c r="A572" s="1">
        <v>2046</v>
      </c>
      <c r="B572" s="1">
        <v>2296.0760626942101</v>
      </c>
      <c r="C572" s="1">
        <v>5697.7376168063493</v>
      </c>
      <c r="D572" s="1">
        <v>11637.67657265643</v>
      </c>
      <c r="E572" s="1" t="s">
        <v>156</v>
      </c>
      <c r="F572" s="1">
        <v>5</v>
      </c>
    </row>
    <row r="573" spans="1:6" x14ac:dyDescent="0.35">
      <c r="A573" s="1">
        <v>2047</v>
      </c>
      <c r="B573" s="1">
        <v>4114.3418386435897</v>
      </c>
      <c r="C573" s="1">
        <v>10376.58865458012</v>
      </c>
      <c r="D573" s="1">
        <v>20220.46</v>
      </c>
      <c r="E573" s="1" t="s">
        <v>156</v>
      </c>
      <c r="F573" s="1">
        <v>5</v>
      </c>
    </row>
    <row r="574" spans="1:6" x14ac:dyDescent="0.35">
      <c r="A574" s="1">
        <v>2048</v>
      </c>
      <c r="B574" s="1">
        <v>2310.2453492792101</v>
      </c>
      <c r="C574" s="1">
        <v>7775.6091455628994</v>
      </c>
      <c r="D574" s="1">
        <v>15257.278276751749</v>
      </c>
      <c r="E574" s="1" t="s">
        <v>156</v>
      </c>
      <c r="F574" s="1">
        <v>5</v>
      </c>
    </row>
    <row r="575" spans="1:6" x14ac:dyDescent="0.35">
      <c r="A575" s="1">
        <v>2049</v>
      </c>
      <c r="B575" s="1">
        <v>2368.729488737215</v>
      </c>
      <c r="C575" s="1">
        <v>7972.4496282336759</v>
      </c>
      <c r="D575" s="1">
        <v>14880.57473389054</v>
      </c>
      <c r="E575" s="1" t="s">
        <v>156</v>
      </c>
      <c r="F575" s="1">
        <v>5</v>
      </c>
    </row>
    <row r="576" spans="1:6" x14ac:dyDescent="0.35">
      <c r="A576" s="1">
        <v>2050</v>
      </c>
      <c r="B576" s="1">
        <v>4382.3968323541931</v>
      </c>
      <c r="C576" s="1">
        <v>14000.48006798924</v>
      </c>
      <c r="D576" s="1">
        <v>18032.15684987307</v>
      </c>
      <c r="E576" s="1" t="s">
        <v>156</v>
      </c>
      <c r="F576" s="1">
        <v>5</v>
      </c>
    </row>
    <row r="577" spans="1:6" x14ac:dyDescent="0.35">
      <c r="A577" s="1">
        <v>2026</v>
      </c>
      <c r="B577" s="1">
        <v>2073.234338195939</v>
      </c>
      <c r="C577" s="1">
        <v>2073.234338195939</v>
      </c>
      <c r="D577" s="1">
        <v>2073.234338195939</v>
      </c>
      <c r="E577" s="1" t="s">
        <v>157</v>
      </c>
      <c r="F577" s="1">
        <v>5</v>
      </c>
    </row>
    <row r="578" spans="1:6" x14ac:dyDescent="0.35">
      <c r="A578" s="1">
        <v>2027</v>
      </c>
      <c r="B578" s="1">
        <v>2022.046</v>
      </c>
      <c r="C578" s="1">
        <v>2022.046</v>
      </c>
      <c r="D578" s="1">
        <v>2022.046</v>
      </c>
      <c r="E578" s="1" t="s">
        <v>157</v>
      </c>
      <c r="F578" s="1">
        <v>5</v>
      </c>
    </row>
    <row r="579" spans="1:6" x14ac:dyDescent="0.35">
      <c r="A579" s="1">
        <v>2028</v>
      </c>
      <c r="B579" s="1">
        <v>2073.234338195939</v>
      </c>
      <c r="C579" s="1">
        <v>1972.121506377242</v>
      </c>
      <c r="D579" s="1">
        <v>1972.121506377242</v>
      </c>
      <c r="E579" s="1" t="s">
        <v>157</v>
      </c>
      <c r="F579" s="1">
        <v>5</v>
      </c>
    </row>
    <row r="580" spans="1:6" x14ac:dyDescent="0.35">
      <c r="A580" s="1">
        <v>2029</v>
      </c>
      <c r="B580" s="1">
        <v>2125.718515342754</v>
      </c>
      <c r="C580" s="1">
        <v>2022.046</v>
      </c>
      <c r="D580" s="1">
        <v>2022.046</v>
      </c>
      <c r="E580" s="1" t="s">
        <v>157</v>
      </c>
      <c r="F580" s="1">
        <v>5</v>
      </c>
    </row>
    <row r="581" spans="1:6" x14ac:dyDescent="0.35">
      <c r="A581" s="1">
        <v>2030</v>
      </c>
      <c r="B581" s="1">
        <v>2073.234338195939</v>
      </c>
      <c r="C581" s="1">
        <v>2006.131165289223</v>
      </c>
      <c r="D581" s="1">
        <v>2073.234338195939</v>
      </c>
      <c r="E581" s="1" t="s">
        <v>157</v>
      </c>
      <c r="F581" s="1">
        <v>5</v>
      </c>
    </row>
    <row r="582" spans="1:6" x14ac:dyDescent="0.35">
      <c r="A582" s="1">
        <v>2031</v>
      </c>
      <c r="B582" s="1">
        <v>2125.718515342754</v>
      </c>
      <c r="C582" s="1">
        <v>2056.9166175263331</v>
      </c>
      <c r="D582" s="1">
        <v>2022.046</v>
      </c>
      <c r="E582" s="1" t="s">
        <v>157</v>
      </c>
      <c r="F582" s="1">
        <v>5</v>
      </c>
    </row>
    <row r="583" spans="1:6" x14ac:dyDescent="0.35">
      <c r="A583" s="1">
        <v>2032</v>
      </c>
      <c r="B583" s="1">
        <v>2234.7064342111912</v>
      </c>
      <c r="C583" s="1">
        <v>2452.1008990712648</v>
      </c>
      <c r="D583" s="1">
        <v>5245.8955836092773</v>
      </c>
      <c r="E583" s="1" t="s">
        <v>157</v>
      </c>
      <c r="F583" s="1">
        <v>5</v>
      </c>
    </row>
    <row r="584" spans="1:6" x14ac:dyDescent="0.35">
      <c r="A584" s="1">
        <v>2033</v>
      </c>
      <c r="B584" s="1">
        <v>1881.3242221331429</v>
      </c>
      <c r="C584" s="1">
        <v>1844.6315835060209</v>
      </c>
      <c r="D584" s="1">
        <v>5025.9360745603362</v>
      </c>
      <c r="E584" s="1" t="s">
        <v>157</v>
      </c>
      <c r="F584" s="1">
        <v>5</v>
      </c>
    </row>
    <row r="585" spans="1:6" x14ac:dyDescent="0.35">
      <c r="A585" s="1">
        <v>2034</v>
      </c>
      <c r="B585" s="1">
        <v>1834.8741615854469</v>
      </c>
      <c r="C585" s="1">
        <v>1891.3286543656441</v>
      </c>
      <c r="D585" s="1">
        <v>4901.8452707394636</v>
      </c>
      <c r="E585" s="1" t="s">
        <v>157</v>
      </c>
      <c r="F585" s="1">
        <v>5</v>
      </c>
    </row>
    <row r="586" spans="1:6" x14ac:dyDescent="0.35">
      <c r="A586" s="1">
        <v>2035</v>
      </c>
      <c r="B586" s="1">
        <v>3070.027251113057</v>
      </c>
      <c r="C586" s="1">
        <v>4493.5730134982077</v>
      </c>
      <c r="D586" s="1">
        <v>10016.302898232119</v>
      </c>
      <c r="E586" s="1" t="s">
        <v>157</v>
      </c>
      <c r="F586" s="1">
        <v>5</v>
      </c>
    </row>
    <row r="587" spans="1:6" x14ac:dyDescent="0.35">
      <c r="A587" s="1">
        <v>2036</v>
      </c>
      <c r="B587" s="1">
        <v>1965.2693674337179</v>
      </c>
      <c r="C587" s="1">
        <v>3640.762826267905</v>
      </c>
      <c r="D587" s="1">
        <v>7695.7873429079964</v>
      </c>
      <c r="E587" s="1" t="s">
        <v>157</v>
      </c>
      <c r="F587" s="1">
        <v>5</v>
      </c>
    </row>
    <row r="588" spans="1:6" x14ac:dyDescent="0.35">
      <c r="A588" s="1">
        <v>2037</v>
      </c>
      <c r="B588" s="1">
        <v>2015.0203983332699</v>
      </c>
      <c r="C588" s="1">
        <v>3732.9291760157371</v>
      </c>
      <c r="D588" s="1">
        <v>7890.6071270240864</v>
      </c>
      <c r="E588" s="1" t="s">
        <v>157</v>
      </c>
      <c r="F588" s="1">
        <v>5</v>
      </c>
    </row>
    <row r="589" spans="1:6" x14ac:dyDescent="0.35">
      <c r="A589" s="1">
        <v>2038</v>
      </c>
      <c r="B589" s="1">
        <v>1965.2693674337179</v>
      </c>
      <c r="C589" s="1">
        <v>3640.7628262679041</v>
      </c>
      <c r="D589" s="1">
        <v>7695.7873429079964</v>
      </c>
      <c r="E589" s="1" t="s">
        <v>157</v>
      </c>
      <c r="F589" s="1">
        <v>5</v>
      </c>
    </row>
    <row r="590" spans="1:6" x14ac:dyDescent="0.35">
      <c r="A590" s="1">
        <v>2039</v>
      </c>
      <c r="B590" s="1">
        <v>3421.8884340633172</v>
      </c>
      <c r="C590" s="1">
        <v>5913.2235415746181</v>
      </c>
      <c r="D590" s="1">
        <v>14609.5682481528</v>
      </c>
      <c r="E590" s="1" t="s">
        <v>157</v>
      </c>
      <c r="F590" s="1">
        <v>5</v>
      </c>
    </row>
    <row r="591" spans="1:6" x14ac:dyDescent="0.35">
      <c r="A591" s="1">
        <v>2040</v>
      </c>
      <c r="B591" s="1">
        <v>2757.1635765654191</v>
      </c>
      <c r="C591" s="1">
        <v>4398.3014583048034</v>
      </c>
      <c r="D591" s="1">
        <v>14138.53189228625</v>
      </c>
      <c r="E591" s="1" t="s">
        <v>157</v>
      </c>
      <c r="F591" s="1">
        <v>5</v>
      </c>
    </row>
    <row r="592" spans="1:6" x14ac:dyDescent="0.35">
      <c r="A592" s="1">
        <v>2041</v>
      </c>
      <c r="B592" s="1">
        <v>2826.961504811738</v>
      </c>
      <c r="C592" s="1">
        <v>4289.7070083733452</v>
      </c>
      <c r="D592" s="1">
        <v>13789.450296075471</v>
      </c>
      <c r="E592" s="1" t="s">
        <v>157</v>
      </c>
      <c r="F592" s="1">
        <v>5</v>
      </c>
    </row>
    <row r="593" spans="1:6" x14ac:dyDescent="0.35">
      <c r="A593" s="1">
        <v>2042</v>
      </c>
      <c r="B593" s="1">
        <v>3855.0976395318462</v>
      </c>
      <c r="C593" s="1">
        <v>9591.5310850136229</v>
      </c>
      <c r="D593" s="1">
        <v>20220.46</v>
      </c>
      <c r="E593" s="1" t="s">
        <v>157</v>
      </c>
      <c r="F593" s="1">
        <v>5</v>
      </c>
    </row>
    <row r="594" spans="1:6" x14ac:dyDescent="0.35">
      <c r="A594" s="1">
        <v>2043</v>
      </c>
      <c r="B594" s="1">
        <v>2727.3351747878992</v>
      </c>
      <c r="C594" s="1">
        <v>8399.8086841089098</v>
      </c>
      <c r="D594" s="1">
        <v>14498.65531712755</v>
      </c>
      <c r="E594" s="1" t="s">
        <v>157</v>
      </c>
      <c r="F594" s="1">
        <v>5</v>
      </c>
    </row>
    <row r="595" spans="1:6" x14ac:dyDescent="0.35">
      <c r="A595" s="1">
        <v>2044</v>
      </c>
      <c r="B595" s="1">
        <v>3992.12375238718</v>
      </c>
      <c r="C595" s="1">
        <v>13450.21622260673</v>
      </c>
      <c r="D595" s="1">
        <v>20220.46</v>
      </c>
      <c r="E595" s="1" t="s">
        <v>157</v>
      </c>
      <c r="F595" s="1">
        <v>5</v>
      </c>
    </row>
    <row r="596" spans="1:6" x14ac:dyDescent="0.35">
      <c r="A596" s="1">
        <v>2045</v>
      </c>
      <c r="B596" s="1">
        <v>3677.360507325086</v>
      </c>
      <c r="C596" s="1">
        <v>10564.04203073721</v>
      </c>
      <c r="D596" s="1">
        <v>17216.604497830311</v>
      </c>
      <c r="E596" s="1" t="s">
        <v>157</v>
      </c>
      <c r="F596" s="1">
        <v>5</v>
      </c>
    </row>
    <row r="597" spans="1:6" x14ac:dyDescent="0.35">
      <c r="A597" s="1">
        <v>2046</v>
      </c>
      <c r="B597" s="1">
        <v>3586.5661528956939</v>
      </c>
      <c r="C597" s="1">
        <v>10303.21490366191</v>
      </c>
      <c r="D597" s="1">
        <v>16791.525018205481</v>
      </c>
      <c r="E597" s="1" t="s">
        <v>157</v>
      </c>
      <c r="F597" s="1">
        <v>5</v>
      </c>
    </row>
    <row r="598" spans="1:6" x14ac:dyDescent="0.35">
      <c r="A598" s="1">
        <v>2047</v>
      </c>
      <c r="B598" s="1">
        <v>3498.0135190644951</v>
      </c>
      <c r="C598" s="1">
        <v>10048.827621299501</v>
      </c>
      <c r="D598" s="1">
        <v>16376.940788327531</v>
      </c>
      <c r="E598" s="1" t="s">
        <v>157</v>
      </c>
      <c r="F598" s="1">
        <v>5</v>
      </c>
    </row>
    <row r="599" spans="1:6" x14ac:dyDescent="0.35">
      <c r="A599" s="1">
        <v>2048</v>
      </c>
      <c r="B599" s="1">
        <v>3411.6472575527109</v>
      </c>
      <c r="C599" s="1">
        <v>9800.7211833174988</v>
      </c>
      <c r="D599" s="1">
        <v>15972.592679556939</v>
      </c>
      <c r="E599" s="1" t="s">
        <v>157</v>
      </c>
      <c r="F599" s="1">
        <v>5</v>
      </c>
    </row>
    <row r="600" spans="1:6" x14ac:dyDescent="0.35">
      <c r="A600" s="1">
        <v>2049</v>
      </c>
      <c r="B600" s="1">
        <v>3327.4133866354368</v>
      </c>
      <c r="C600" s="1">
        <v>9558.7405151156054</v>
      </c>
      <c r="D600" s="1">
        <v>15578.22796116306</v>
      </c>
      <c r="E600" s="1" t="s">
        <v>157</v>
      </c>
      <c r="F600" s="1">
        <v>5</v>
      </c>
    </row>
    <row r="601" spans="1:6" x14ac:dyDescent="0.35">
      <c r="A601" s="1">
        <v>2050</v>
      </c>
      <c r="B601" s="1">
        <v>3245.2592574013038</v>
      </c>
      <c r="C601" s="1">
        <v>9800.7211833174988</v>
      </c>
      <c r="D601" s="1">
        <v>15193.600142359261</v>
      </c>
      <c r="E601" s="1" t="s">
        <v>157</v>
      </c>
      <c r="F601" s="1">
        <v>5</v>
      </c>
    </row>
    <row r="602" spans="1:6" x14ac:dyDescent="0.35">
      <c r="A602" s="1">
        <v>2026</v>
      </c>
      <c r="B602" s="1">
        <v>1972.121506377242</v>
      </c>
      <c r="C602" s="1">
        <v>2073.234338195939</v>
      </c>
      <c r="D602" s="1">
        <v>2066.852311324873</v>
      </c>
      <c r="E602" s="1" t="s">
        <v>158</v>
      </c>
      <c r="F602" s="1">
        <v>5</v>
      </c>
    </row>
    <row r="603" spans="1:6" x14ac:dyDescent="0.35">
      <c r="A603" s="1">
        <v>2027</v>
      </c>
      <c r="B603" s="1">
        <v>2813.3751943339539</v>
      </c>
      <c r="C603" s="1">
        <v>3210.7043434473831</v>
      </c>
      <c r="D603" s="1">
        <v>4536.2661442048602</v>
      </c>
      <c r="E603" s="1" t="s">
        <v>158</v>
      </c>
      <c r="F603" s="1">
        <v>5</v>
      </c>
    </row>
    <row r="604" spans="1:6" x14ac:dyDescent="0.35">
      <c r="A604" s="1">
        <v>2028</v>
      </c>
      <c r="B604" s="1">
        <v>2045.7318256171279</v>
      </c>
      <c r="C604" s="1">
        <v>2380.205940197849</v>
      </c>
      <c r="D604" s="1">
        <v>4037.4360194294782</v>
      </c>
      <c r="E604" s="1" t="s">
        <v>158</v>
      </c>
      <c r="F604" s="1">
        <v>5</v>
      </c>
    </row>
    <row r="605" spans="1:6" x14ac:dyDescent="0.35">
      <c r="A605" s="1">
        <v>2029</v>
      </c>
      <c r="B605" s="1">
        <v>2097.5197733432851</v>
      </c>
      <c r="C605" s="1">
        <v>2321.4384461436789</v>
      </c>
      <c r="D605" s="1">
        <v>4139.6441988710058</v>
      </c>
      <c r="E605" s="1" t="s">
        <v>158</v>
      </c>
      <c r="F605" s="1">
        <v>5</v>
      </c>
    </row>
    <row r="606" spans="1:6" x14ac:dyDescent="0.35">
      <c r="A606" s="1">
        <v>2030</v>
      </c>
      <c r="B606" s="1">
        <v>2045.731825617127</v>
      </c>
      <c r="C606" s="1">
        <v>2264.121926687581</v>
      </c>
      <c r="D606" s="1">
        <v>4037.4360194294782</v>
      </c>
      <c r="E606" s="1" t="s">
        <v>158</v>
      </c>
      <c r="F606" s="1">
        <v>5</v>
      </c>
    </row>
    <row r="607" spans="1:6" x14ac:dyDescent="0.35">
      <c r="A607" s="1">
        <v>2031</v>
      </c>
      <c r="B607" s="1">
        <v>1995.2225268762011</v>
      </c>
      <c r="C607" s="1">
        <v>2208.2205571390841</v>
      </c>
      <c r="D607" s="1">
        <v>4139.6441988710058</v>
      </c>
      <c r="E607" s="1" t="s">
        <v>158</v>
      </c>
      <c r="F607" s="1">
        <v>5</v>
      </c>
    </row>
    <row r="608" spans="1:6" x14ac:dyDescent="0.35">
      <c r="A608" s="1">
        <v>2032</v>
      </c>
      <c r="B608" s="1">
        <v>1945.9603071645749</v>
      </c>
      <c r="C608" s="1">
        <v>2264.121926687581</v>
      </c>
      <c r="D608" s="1">
        <v>4037.4360194294782</v>
      </c>
      <c r="E608" s="1" t="s">
        <v>158</v>
      </c>
      <c r="F608" s="1">
        <v>5</v>
      </c>
    </row>
    <row r="609" spans="1:6" x14ac:dyDescent="0.35">
      <c r="A609" s="1">
        <v>2033</v>
      </c>
      <c r="B609" s="1">
        <v>2765.5148680972561</v>
      </c>
      <c r="C609" s="1">
        <v>5654.1966952084713</v>
      </c>
      <c r="D609" s="1">
        <v>10829.74513868511</v>
      </c>
      <c r="E609" s="1" t="s">
        <v>158</v>
      </c>
      <c r="F609" s="1">
        <v>5</v>
      </c>
    </row>
    <row r="610" spans="1:6" x14ac:dyDescent="0.35">
      <c r="A610" s="1">
        <v>2034</v>
      </c>
      <c r="B610" s="1">
        <v>2466.7103972775099</v>
      </c>
      <c r="C610" s="1">
        <v>3771.796234388522</v>
      </c>
      <c r="D610" s="1">
        <v>7171.0829238242804</v>
      </c>
      <c r="E610" s="1" t="s">
        <v>158</v>
      </c>
      <c r="F610" s="1">
        <v>5</v>
      </c>
    </row>
    <row r="611" spans="1:6" x14ac:dyDescent="0.35">
      <c r="A611" s="1">
        <v>2035</v>
      </c>
      <c r="B611" s="1">
        <v>2405.8071005681022</v>
      </c>
      <c r="C611" s="1">
        <v>3678.6702535502659</v>
      </c>
      <c r="D611" s="1">
        <v>6994.0282555829372</v>
      </c>
      <c r="E611" s="1" t="s">
        <v>158</v>
      </c>
      <c r="F611" s="1">
        <v>5</v>
      </c>
    </row>
    <row r="612" spans="1:6" x14ac:dyDescent="0.35">
      <c r="A612" s="1">
        <v>2036</v>
      </c>
      <c r="B612" s="1">
        <v>2346.4075116122131</v>
      </c>
      <c r="C612" s="1">
        <v>3587.8435613713541</v>
      </c>
      <c r="D612" s="1">
        <v>7171.0829238242804</v>
      </c>
      <c r="E612" s="1" t="s">
        <v>158</v>
      </c>
      <c r="F612" s="1">
        <v>5</v>
      </c>
    </row>
    <row r="613" spans="1:6" x14ac:dyDescent="0.35">
      <c r="A613" s="1">
        <v>2037</v>
      </c>
      <c r="B613" s="1">
        <v>2405.8071005681009</v>
      </c>
      <c r="C613" s="1">
        <v>3499.2593882125138</v>
      </c>
      <c r="D613" s="1">
        <v>6994.0282555829372</v>
      </c>
      <c r="E613" s="1" t="s">
        <v>158</v>
      </c>
      <c r="F613" s="1">
        <v>5</v>
      </c>
    </row>
    <row r="614" spans="1:6" x14ac:dyDescent="0.35">
      <c r="A614" s="1">
        <v>2038</v>
      </c>
      <c r="B614" s="1">
        <v>2725.4155425286699</v>
      </c>
      <c r="C614" s="1">
        <v>6211.782012060874</v>
      </c>
      <c r="D614" s="1">
        <v>16049.11872346802</v>
      </c>
      <c r="E614" s="1" t="s">
        <v>158</v>
      </c>
      <c r="F614" s="1">
        <v>5</v>
      </c>
    </row>
    <row r="615" spans="1:6" x14ac:dyDescent="0.35">
      <c r="A615" s="1">
        <v>2039</v>
      </c>
      <c r="B615" s="1">
        <v>1983.3900255347501</v>
      </c>
      <c r="C615" s="1">
        <v>3692.139440225943</v>
      </c>
      <c r="D615" s="1">
        <v>11781.176198005</v>
      </c>
      <c r="E615" s="1" t="s">
        <v>158</v>
      </c>
      <c r="F615" s="1">
        <v>5</v>
      </c>
    </row>
    <row r="616" spans="1:6" x14ac:dyDescent="0.35">
      <c r="A616" s="1">
        <v>2040</v>
      </c>
      <c r="B616" s="1">
        <v>3973.5574803268491</v>
      </c>
      <c r="C616" s="1">
        <v>9396.3957969842468</v>
      </c>
      <c r="D616" s="1">
        <v>20220.46</v>
      </c>
      <c r="E616" s="1" t="s">
        <v>158</v>
      </c>
      <c r="F616" s="1">
        <v>5</v>
      </c>
    </row>
    <row r="617" spans="1:6" x14ac:dyDescent="0.35">
      <c r="A617" s="1">
        <v>2041</v>
      </c>
      <c r="B617" s="1">
        <v>2672.7005891762092</v>
      </c>
      <c r="C617" s="1">
        <v>8176.3434826243056</v>
      </c>
      <c r="D617" s="1">
        <v>16134.187246172</v>
      </c>
      <c r="E617" s="1" t="s">
        <v>158</v>
      </c>
      <c r="F617" s="1">
        <v>5</v>
      </c>
    </row>
    <row r="618" spans="1:6" x14ac:dyDescent="0.35">
      <c r="A618" s="1">
        <v>2042</v>
      </c>
      <c r="B618" s="1">
        <v>2740.3603267169169</v>
      </c>
      <c r="C618" s="1">
        <v>8383.3286033360691</v>
      </c>
      <c r="D618" s="1">
        <v>15735.832743712661</v>
      </c>
      <c r="E618" s="1" t="s">
        <v>158</v>
      </c>
      <c r="F618" s="1">
        <v>5</v>
      </c>
    </row>
    <row r="619" spans="1:6" x14ac:dyDescent="0.35">
      <c r="A619" s="1">
        <v>2043</v>
      </c>
      <c r="B619" s="1">
        <v>2672.7005891762092</v>
      </c>
      <c r="C619" s="1">
        <v>8176.3434826243056</v>
      </c>
      <c r="D619" s="1">
        <v>15347.313648962951</v>
      </c>
      <c r="E619" s="1" t="s">
        <v>158</v>
      </c>
      <c r="F619" s="1">
        <v>5</v>
      </c>
    </row>
    <row r="620" spans="1:6" x14ac:dyDescent="0.35">
      <c r="A620" s="1">
        <v>2044</v>
      </c>
      <c r="B620" s="1">
        <v>2740.3603267169169</v>
      </c>
      <c r="C620" s="1">
        <v>7974.4688427517431</v>
      </c>
      <c r="D620" s="1">
        <v>15735.832743712661</v>
      </c>
      <c r="E620" s="1" t="s">
        <v>158</v>
      </c>
      <c r="F620" s="1">
        <v>5</v>
      </c>
    </row>
    <row r="621" spans="1:6" x14ac:dyDescent="0.35">
      <c r="A621" s="1">
        <v>2045</v>
      </c>
      <c r="B621" s="1">
        <v>2672.7005891762092</v>
      </c>
      <c r="C621" s="1">
        <v>8176.3434826243056</v>
      </c>
      <c r="D621" s="1">
        <v>16134.187246172</v>
      </c>
      <c r="E621" s="1" t="s">
        <v>158</v>
      </c>
      <c r="F621" s="1">
        <v>5</v>
      </c>
    </row>
    <row r="622" spans="1:6" x14ac:dyDescent="0.35">
      <c r="A622" s="1">
        <v>2046</v>
      </c>
      <c r="B622" s="1">
        <v>2606.711376507521</v>
      </c>
      <c r="C622" s="1">
        <v>7974.4688427517431</v>
      </c>
      <c r="D622" s="1">
        <v>15735.832743712661</v>
      </c>
      <c r="E622" s="1" t="s">
        <v>158</v>
      </c>
      <c r="F622" s="1">
        <v>5</v>
      </c>
    </row>
    <row r="623" spans="1:6" x14ac:dyDescent="0.35">
      <c r="A623" s="1">
        <v>2047</v>
      </c>
      <c r="B623" s="1">
        <v>2542.351443304804</v>
      </c>
      <c r="C623" s="1">
        <v>7777.5785054968819</v>
      </c>
      <c r="D623" s="1">
        <v>16134.187246172</v>
      </c>
      <c r="E623" s="1" t="s">
        <v>158</v>
      </c>
      <c r="F623" s="1">
        <v>5</v>
      </c>
    </row>
    <row r="624" spans="1:6" x14ac:dyDescent="0.35">
      <c r="A624" s="1">
        <v>2048</v>
      </c>
      <c r="B624" s="1">
        <v>2479.5805625147132</v>
      </c>
      <c r="C624" s="1">
        <v>7974.4688427517431</v>
      </c>
      <c r="D624" s="1">
        <v>15735.832743712661</v>
      </c>
      <c r="E624" s="1" t="s">
        <v>158</v>
      </c>
      <c r="F624" s="1">
        <v>5</v>
      </c>
    </row>
    <row r="625" spans="1:6" x14ac:dyDescent="0.35">
      <c r="A625" s="1">
        <v>2049</v>
      </c>
      <c r="B625" s="1">
        <v>4220.1638636733487</v>
      </c>
      <c r="C625" s="1">
        <v>12229.656187564069</v>
      </c>
      <c r="D625" s="1">
        <v>20220.46</v>
      </c>
      <c r="E625" s="1" t="s">
        <v>158</v>
      </c>
      <c r="F625" s="1">
        <v>5</v>
      </c>
    </row>
    <row r="626" spans="1:6" x14ac:dyDescent="0.35">
      <c r="A626" s="1">
        <v>2050</v>
      </c>
      <c r="B626" s="1">
        <v>3627.001740594852</v>
      </c>
      <c r="C626" s="1">
        <v>9332.0493994659118</v>
      </c>
      <c r="D626" s="1">
        <v>15268.89314809477</v>
      </c>
      <c r="E626" s="1" t="s">
        <v>158</v>
      </c>
      <c r="F626" s="1">
        <v>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08A6-E85E-4BAF-B4A8-EF74C6F9413F}">
  <sheetPr>
    <tabColor rgb="FF0077B6"/>
  </sheetPr>
  <dimension ref="A1:AK20"/>
  <sheetViews>
    <sheetView workbookViewId="0">
      <selection activeCell="J29" sqref="J29"/>
    </sheetView>
  </sheetViews>
  <sheetFormatPr defaultColWidth="9.36328125" defaultRowHeight="14.5" x14ac:dyDescent="0.35"/>
  <cols>
    <col min="1" max="1" width="44.26953125" style="22" customWidth="1"/>
    <col min="2" max="2" width="11.54296875" style="22" customWidth="1"/>
    <col min="3" max="3" width="7.1796875" style="22" customWidth="1"/>
    <col min="4" max="8" width="11.54296875" style="22" customWidth="1"/>
    <col min="9" max="10" width="9.36328125" style="22"/>
    <col min="11" max="11" width="9.36328125" style="23"/>
    <col min="12" max="16" width="9.36328125" style="22"/>
    <col min="17" max="17" width="9.36328125" style="23"/>
    <col min="18" max="21" width="9.36328125" style="22"/>
    <col min="22" max="22" width="9.36328125" style="23"/>
    <col min="23" max="26" width="9.36328125" style="22"/>
    <col min="27" max="27" width="9.36328125" style="23"/>
    <col min="28" max="31" width="9.36328125" style="22"/>
    <col min="32" max="32" width="9.36328125" style="23"/>
    <col min="33" max="36" width="9.36328125" style="22"/>
    <col min="37" max="37" width="9.36328125" style="23"/>
    <col min="38" max="16384" width="9.36328125" style="22"/>
  </cols>
  <sheetData>
    <row r="1" spans="1:37" ht="26.5" customHeight="1" x14ac:dyDescent="0.35">
      <c r="A1" s="21" t="s">
        <v>167</v>
      </c>
    </row>
    <row r="2" spans="1:37" ht="23.5" x14ac:dyDescent="0.55000000000000004">
      <c r="A2" s="24" t="s">
        <v>168</v>
      </c>
    </row>
    <row r="3" spans="1:37" ht="23.5" x14ac:dyDescent="0.55000000000000004">
      <c r="A3" s="24"/>
    </row>
    <row r="4" spans="1:37" ht="19.5" x14ac:dyDescent="0.45">
      <c r="D4" s="25" t="s">
        <v>169</v>
      </c>
      <c r="E4" s="26"/>
      <c r="F4" s="26"/>
      <c r="G4" s="26"/>
      <c r="H4" s="26"/>
    </row>
    <row r="5" spans="1:37" ht="20" thickBot="1" x14ac:dyDescent="0.5">
      <c r="B5" s="27">
        <v>2024</v>
      </c>
      <c r="C5" s="28"/>
      <c r="D5" s="27">
        <v>2030</v>
      </c>
      <c r="E5" s="27">
        <v>2035</v>
      </c>
      <c r="F5" s="27">
        <v>2040</v>
      </c>
      <c r="G5" s="27">
        <v>2045</v>
      </c>
      <c r="H5" s="27">
        <v>2050</v>
      </c>
    </row>
    <row r="6" spans="1:37" ht="15" thickTop="1" x14ac:dyDescent="0.35"/>
    <row r="7" spans="1:37" ht="17.5" thickBot="1" x14ac:dyDescent="0.45">
      <c r="A7" s="29" t="s">
        <v>170</v>
      </c>
      <c r="B7" s="29"/>
      <c r="C7" s="30"/>
      <c r="D7" s="29"/>
      <c r="E7" s="29"/>
      <c r="F7" s="29"/>
      <c r="G7" s="29"/>
      <c r="H7" s="29"/>
      <c r="K7" s="23">
        <v>2024</v>
      </c>
      <c r="L7" s="22">
        <f>K7+1</f>
        <v>2025</v>
      </c>
      <c r="M7" s="22">
        <f t="shared" ref="M7:AK7" si="0">L7+1</f>
        <v>2026</v>
      </c>
      <c r="N7" s="22">
        <f t="shared" si="0"/>
        <v>2027</v>
      </c>
      <c r="O7" s="22">
        <f t="shared" si="0"/>
        <v>2028</v>
      </c>
      <c r="P7" s="22">
        <f t="shared" si="0"/>
        <v>2029</v>
      </c>
      <c r="Q7" s="23">
        <f t="shared" si="0"/>
        <v>2030</v>
      </c>
      <c r="R7" s="22">
        <f t="shared" si="0"/>
        <v>2031</v>
      </c>
      <c r="S7" s="22">
        <f t="shared" si="0"/>
        <v>2032</v>
      </c>
      <c r="T7" s="22">
        <f t="shared" si="0"/>
        <v>2033</v>
      </c>
      <c r="U7" s="22">
        <f t="shared" si="0"/>
        <v>2034</v>
      </c>
      <c r="V7" s="23">
        <f t="shared" si="0"/>
        <v>2035</v>
      </c>
      <c r="W7" s="22">
        <f t="shared" si="0"/>
        <v>2036</v>
      </c>
      <c r="X7" s="22">
        <f t="shared" si="0"/>
        <v>2037</v>
      </c>
      <c r="Y7" s="22">
        <f t="shared" si="0"/>
        <v>2038</v>
      </c>
      <c r="Z7" s="22">
        <f t="shared" si="0"/>
        <v>2039</v>
      </c>
      <c r="AA7" s="23">
        <f t="shared" si="0"/>
        <v>2040</v>
      </c>
      <c r="AB7" s="22">
        <f t="shared" si="0"/>
        <v>2041</v>
      </c>
      <c r="AC7" s="22">
        <f t="shared" si="0"/>
        <v>2042</v>
      </c>
      <c r="AD7" s="22">
        <f t="shared" si="0"/>
        <v>2043</v>
      </c>
      <c r="AE7" s="22">
        <f t="shared" si="0"/>
        <v>2044</v>
      </c>
      <c r="AF7" s="23">
        <f t="shared" si="0"/>
        <v>2045</v>
      </c>
      <c r="AG7" s="22">
        <f t="shared" si="0"/>
        <v>2046</v>
      </c>
      <c r="AH7" s="22">
        <f t="shared" si="0"/>
        <v>2047</v>
      </c>
      <c r="AI7" s="22">
        <f t="shared" si="0"/>
        <v>2048</v>
      </c>
      <c r="AJ7" s="22">
        <f t="shared" si="0"/>
        <v>2049</v>
      </c>
      <c r="AK7" s="23">
        <f t="shared" si="0"/>
        <v>2050</v>
      </c>
    </row>
    <row r="8" spans="1:37" ht="15" thickTop="1" x14ac:dyDescent="0.35">
      <c r="A8" s="22" t="s">
        <v>171</v>
      </c>
      <c r="B8" s="31">
        <v>496.68900000000002</v>
      </c>
      <c r="C8" s="31"/>
      <c r="D8" s="31">
        <v>2664.8</v>
      </c>
      <c r="E8" s="31">
        <v>4588.8100000000004</v>
      </c>
      <c r="F8" s="31">
        <v>5219.1400000000003</v>
      </c>
      <c r="G8" s="31">
        <v>5520.63</v>
      </c>
      <c r="H8" s="31">
        <v>5676.45</v>
      </c>
      <c r="J8" s="22" t="s">
        <v>171</v>
      </c>
      <c r="K8" s="32">
        <f>B8</f>
        <v>496.68900000000002</v>
      </c>
      <c r="L8" s="22">
        <f>K8+($Q8-$K8)/6</f>
        <v>858.04083333333347</v>
      </c>
      <c r="M8" s="22">
        <f t="shared" ref="M8:P8" si="1">L8+($Q8-$K8)/6</f>
        <v>1219.3926666666669</v>
      </c>
      <c r="N8" s="22">
        <f t="shared" si="1"/>
        <v>1580.7445000000002</v>
      </c>
      <c r="O8" s="22">
        <f t="shared" si="1"/>
        <v>1942.0963333333336</v>
      </c>
      <c r="P8" s="22">
        <f t="shared" si="1"/>
        <v>2303.448166666667</v>
      </c>
      <c r="Q8" s="32">
        <f>D8</f>
        <v>2664.8</v>
      </c>
      <c r="R8" s="22">
        <f>Q8+($V8-$Q8)/5</f>
        <v>3049.6020000000003</v>
      </c>
      <c r="S8" s="22">
        <f t="shared" ref="S8:U8" si="2">R8+($V8-$Q8)/5</f>
        <v>3434.4040000000005</v>
      </c>
      <c r="T8" s="22">
        <f t="shared" si="2"/>
        <v>3819.2060000000006</v>
      </c>
      <c r="U8" s="22">
        <f t="shared" si="2"/>
        <v>4204.0080000000007</v>
      </c>
      <c r="V8" s="32">
        <f>E8</f>
        <v>4588.8100000000004</v>
      </c>
      <c r="W8" s="22">
        <f>V8+($AA8-$V8)/5</f>
        <v>4714.8760000000002</v>
      </c>
      <c r="X8" s="22">
        <f t="shared" ref="X8:Z8" si="3">W8+($AA8-$V8)/5</f>
        <v>4840.942</v>
      </c>
      <c r="Y8" s="22">
        <f t="shared" si="3"/>
        <v>4967.0079999999998</v>
      </c>
      <c r="Z8" s="22">
        <f t="shared" si="3"/>
        <v>5093.0739999999996</v>
      </c>
      <c r="AA8" s="32">
        <f>F8</f>
        <v>5219.1400000000003</v>
      </c>
      <c r="AB8" s="22">
        <f>AA8+($AF8-$AA8)/5</f>
        <v>5279.4380000000001</v>
      </c>
      <c r="AC8" s="22">
        <f t="shared" ref="AC8:AE8" si="4">AB8+($AF8-$AA8)/5</f>
        <v>5339.7359999999999</v>
      </c>
      <c r="AD8" s="22">
        <f t="shared" si="4"/>
        <v>5400.0339999999997</v>
      </c>
      <c r="AE8" s="22">
        <f t="shared" si="4"/>
        <v>5460.3319999999994</v>
      </c>
      <c r="AF8" s="32">
        <f>G8</f>
        <v>5520.63</v>
      </c>
      <c r="AG8" s="22">
        <f>AF8+($AK8-$AF8)/5</f>
        <v>5551.7939999999999</v>
      </c>
      <c r="AH8" s="22">
        <f t="shared" ref="AH8:AJ8" si="5">AG8+($AK8-$AF8)/5</f>
        <v>5582.9579999999996</v>
      </c>
      <c r="AI8" s="22">
        <f t="shared" si="5"/>
        <v>5614.1219999999994</v>
      </c>
      <c r="AJ8" s="22">
        <f t="shared" si="5"/>
        <v>5645.2859999999991</v>
      </c>
      <c r="AK8" s="32">
        <f>H8</f>
        <v>5676.45</v>
      </c>
    </row>
    <row r="9" spans="1:37" x14ac:dyDescent="0.35">
      <c r="A9" s="22" t="s">
        <v>172</v>
      </c>
      <c r="B9" s="31">
        <v>66.507099999999994</v>
      </c>
      <c r="C9" s="31"/>
      <c r="D9" s="31">
        <v>236.358</v>
      </c>
      <c r="E9" s="31">
        <v>267.53399999999999</v>
      </c>
      <c r="F9" s="31">
        <v>247.614</v>
      </c>
      <c r="G9" s="31">
        <v>282.66000000000003</v>
      </c>
      <c r="H9" s="31">
        <v>291.66800000000001</v>
      </c>
      <c r="J9" s="22" t="s">
        <v>172</v>
      </c>
      <c r="K9" s="32">
        <f t="shared" ref="K9:K19" si="6">B9</f>
        <v>66.507099999999994</v>
      </c>
      <c r="L9" s="22">
        <f t="shared" ref="L9:P19" si="7">K9+($Q9-$K9)/6</f>
        <v>94.815583333333336</v>
      </c>
      <c r="M9" s="22">
        <f t="shared" si="7"/>
        <v>123.12406666666668</v>
      </c>
      <c r="N9" s="22">
        <f t="shared" si="7"/>
        <v>151.43255000000002</v>
      </c>
      <c r="O9" s="22">
        <f t="shared" si="7"/>
        <v>179.74103333333335</v>
      </c>
      <c r="P9" s="22">
        <f t="shared" si="7"/>
        <v>208.04951666666668</v>
      </c>
      <c r="Q9" s="32">
        <f t="shared" ref="Q9:Q19" si="8">D9</f>
        <v>236.358</v>
      </c>
      <c r="R9" s="22">
        <f t="shared" ref="R9:U19" si="9">Q9+($V9-$Q9)/5</f>
        <v>242.5932</v>
      </c>
      <c r="S9" s="22">
        <f t="shared" si="9"/>
        <v>248.82839999999999</v>
      </c>
      <c r="T9" s="22">
        <f t="shared" si="9"/>
        <v>255.06359999999998</v>
      </c>
      <c r="U9" s="22">
        <f t="shared" si="9"/>
        <v>261.29879999999997</v>
      </c>
      <c r="V9" s="32">
        <f t="shared" ref="V9:V19" si="10">E9</f>
        <v>267.53399999999999</v>
      </c>
      <c r="W9" s="22">
        <f t="shared" ref="W9:Z19" si="11">V9+($AA9-$V9)/5</f>
        <v>263.55</v>
      </c>
      <c r="X9" s="22">
        <f t="shared" si="11"/>
        <v>259.56600000000003</v>
      </c>
      <c r="Y9" s="22">
        <f t="shared" si="11"/>
        <v>255.58200000000002</v>
      </c>
      <c r="Z9" s="22">
        <f t="shared" si="11"/>
        <v>251.59800000000001</v>
      </c>
      <c r="AA9" s="32">
        <f t="shared" ref="AA9:AA19" si="12">F9</f>
        <v>247.614</v>
      </c>
      <c r="AB9" s="22">
        <f t="shared" ref="AB9:AE19" si="13">AA9+($AF9-$AA9)/5</f>
        <v>254.6232</v>
      </c>
      <c r="AC9" s="22">
        <f t="shared" si="13"/>
        <v>261.63240000000002</v>
      </c>
      <c r="AD9" s="22">
        <f t="shared" si="13"/>
        <v>268.64160000000004</v>
      </c>
      <c r="AE9" s="22">
        <f t="shared" si="13"/>
        <v>275.65080000000006</v>
      </c>
      <c r="AF9" s="32">
        <f t="shared" ref="AF9:AF19" si="14">G9</f>
        <v>282.66000000000003</v>
      </c>
      <c r="AG9" s="22">
        <f t="shared" ref="AG9:AJ19" si="15">AF9+($AK9-$AF9)/5</f>
        <v>284.46160000000003</v>
      </c>
      <c r="AH9" s="22">
        <f t="shared" si="15"/>
        <v>286.26320000000004</v>
      </c>
      <c r="AI9" s="22">
        <f t="shared" si="15"/>
        <v>288.06480000000005</v>
      </c>
      <c r="AJ9" s="22">
        <f t="shared" si="15"/>
        <v>289.86640000000006</v>
      </c>
      <c r="AK9" s="32">
        <f t="shared" ref="AK9:AK19" si="16">H9</f>
        <v>291.66800000000001</v>
      </c>
    </row>
    <row r="10" spans="1:37" x14ac:dyDescent="0.35">
      <c r="A10" s="22" t="s">
        <v>173</v>
      </c>
      <c r="B10" s="31">
        <v>838.94899999999996</v>
      </c>
      <c r="C10" s="31"/>
      <c r="D10" s="31">
        <v>4457.9399999999996</v>
      </c>
      <c r="E10" s="31">
        <v>6738.2</v>
      </c>
      <c r="F10" s="31">
        <v>6200.13</v>
      </c>
      <c r="G10" s="31">
        <v>4894.37</v>
      </c>
      <c r="H10" s="31">
        <v>3833.09</v>
      </c>
      <c r="J10" s="22" t="s">
        <v>173</v>
      </c>
      <c r="K10" s="32">
        <f t="shared" si="6"/>
        <v>838.94899999999996</v>
      </c>
      <c r="L10" s="22">
        <f t="shared" si="7"/>
        <v>1442.1141666666665</v>
      </c>
      <c r="M10" s="22">
        <f t="shared" si="7"/>
        <v>2045.2793333333329</v>
      </c>
      <c r="N10" s="22">
        <f t="shared" si="7"/>
        <v>2648.4444999999996</v>
      </c>
      <c r="O10" s="22">
        <f t="shared" si="7"/>
        <v>3251.6096666666663</v>
      </c>
      <c r="P10" s="22">
        <f t="shared" si="7"/>
        <v>3854.7748333333329</v>
      </c>
      <c r="Q10" s="32">
        <f t="shared" si="8"/>
        <v>4457.9399999999996</v>
      </c>
      <c r="R10" s="22">
        <f t="shared" si="9"/>
        <v>4913.9919999999993</v>
      </c>
      <c r="S10" s="22">
        <f t="shared" si="9"/>
        <v>5370.043999999999</v>
      </c>
      <c r="T10" s="22">
        <f t="shared" si="9"/>
        <v>5826.0959999999986</v>
      </c>
      <c r="U10" s="22">
        <f t="shared" si="9"/>
        <v>6282.1479999999983</v>
      </c>
      <c r="V10" s="32">
        <f t="shared" si="10"/>
        <v>6738.2</v>
      </c>
      <c r="W10" s="22">
        <f t="shared" si="11"/>
        <v>6630.5860000000002</v>
      </c>
      <c r="X10" s="22">
        <f t="shared" si="11"/>
        <v>6522.9720000000007</v>
      </c>
      <c r="Y10" s="22">
        <f t="shared" si="11"/>
        <v>6415.3580000000011</v>
      </c>
      <c r="Z10" s="22">
        <f t="shared" si="11"/>
        <v>6307.7440000000015</v>
      </c>
      <c r="AA10" s="32">
        <f t="shared" si="12"/>
        <v>6200.13</v>
      </c>
      <c r="AB10" s="22">
        <f t="shared" si="13"/>
        <v>5938.9780000000001</v>
      </c>
      <c r="AC10" s="22">
        <f t="shared" si="13"/>
        <v>5677.826</v>
      </c>
      <c r="AD10" s="22">
        <f t="shared" si="13"/>
        <v>5416.674</v>
      </c>
      <c r="AE10" s="22">
        <f t="shared" si="13"/>
        <v>5155.5219999999999</v>
      </c>
      <c r="AF10" s="32">
        <f t="shared" si="14"/>
        <v>4894.37</v>
      </c>
      <c r="AG10" s="22">
        <f t="shared" si="15"/>
        <v>4682.1139999999996</v>
      </c>
      <c r="AH10" s="22">
        <f t="shared" si="15"/>
        <v>4469.8579999999993</v>
      </c>
      <c r="AI10" s="22">
        <f t="shared" si="15"/>
        <v>4257.601999999999</v>
      </c>
      <c r="AJ10" s="22">
        <f t="shared" si="15"/>
        <v>4045.3459999999991</v>
      </c>
      <c r="AK10" s="32">
        <f t="shared" si="16"/>
        <v>3833.09</v>
      </c>
    </row>
    <row r="11" spans="1:37" x14ac:dyDescent="0.35">
      <c r="A11" s="22" t="s">
        <v>163</v>
      </c>
      <c r="B11" s="31">
        <v>109.026</v>
      </c>
      <c r="C11" s="31"/>
      <c r="D11" s="31">
        <v>556.303</v>
      </c>
      <c r="E11" s="31">
        <v>1023.66</v>
      </c>
      <c r="F11" s="31">
        <v>1317.96</v>
      </c>
      <c r="G11" s="31">
        <v>1496.95</v>
      </c>
      <c r="H11" s="31">
        <v>1546.5</v>
      </c>
      <c r="J11" s="22" t="s">
        <v>163</v>
      </c>
      <c r="K11" s="32">
        <f t="shared" si="6"/>
        <v>109.026</v>
      </c>
      <c r="L11" s="22">
        <f t="shared" si="7"/>
        <v>183.57216666666665</v>
      </c>
      <c r="M11" s="22">
        <f t="shared" si="7"/>
        <v>258.11833333333334</v>
      </c>
      <c r="N11" s="22">
        <f t="shared" si="7"/>
        <v>332.66449999999998</v>
      </c>
      <c r="O11" s="22">
        <f t="shared" si="7"/>
        <v>407.21066666666661</v>
      </c>
      <c r="P11" s="22">
        <f t="shared" si="7"/>
        <v>481.75683333333325</v>
      </c>
      <c r="Q11" s="32">
        <f t="shared" si="8"/>
        <v>556.303</v>
      </c>
      <c r="R11" s="22">
        <f t="shared" si="9"/>
        <v>649.77440000000001</v>
      </c>
      <c r="S11" s="22">
        <f t="shared" si="9"/>
        <v>743.24580000000003</v>
      </c>
      <c r="T11" s="22">
        <f t="shared" si="9"/>
        <v>836.71720000000005</v>
      </c>
      <c r="U11" s="22">
        <f t="shared" si="9"/>
        <v>930.18860000000006</v>
      </c>
      <c r="V11" s="32">
        <f t="shared" si="10"/>
        <v>1023.66</v>
      </c>
      <c r="W11" s="22">
        <f t="shared" si="11"/>
        <v>1082.52</v>
      </c>
      <c r="X11" s="22">
        <f t="shared" si="11"/>
        <v>1141.3800000000001</v>
      </c>
      <c r="Y11" s="22">
        <f t="shared" si="11"/>
        <v>1200.2400000000002</v>
      </c>
      <c r="Z11" s="22">
        <f t="shared" si="11"/>
        <v>1259.1000000000004</v>
      </c>
      <c r="AA11" s="32">
        <f t="shared" si="12"/>
        <v>1317.96</v>
      </c>
      <c r="AB11" s="22">
        <f t="shared" si="13"/>
        <v>1353.758</v>
      </c>
      <c r="AC11" s="22">
        <f t="shared" si="13"/>
        <v>1389.556</v>
      </c>
      <c r="AD11" s="22">
        <f t="shared" si="13"/>
        <v>1425.354</v>
      </c>
      <c r="AE11" s="22">
        <f t="shared" si="13"/>
        <v>1461.152</v>
      </c>
      <c r="AF11" s="32">
        <f t="shared" si="14"/>
        <v>1496.95</v>
      </c>
      <c r="AG11" s="22">
        <f t="shared" si="15"/>
        <v>1506.8600000000001</v>
      </c>
      <c r="AH11" s="22">
        <f t="shared" si="15"/>
        <v>1516.7700000000002</v>
      </c>
      <c r="AI11" s="22">
        <f t="shared" si="15"/>
        <v>1526.6800000000003</v>
      </c>
      <c r="AJ11" s="22">
        <f t="shared" si="15"/>
        <v>1536.5900000000004</v>
      </c>
      <c r="AK11" s="32">
        <f t="shared" si="16"/>
        <v>1546.5</v>
      </c>
    </row>
    <row r="12" spans="1:37" x14ac:dyDescent="0.35">
      <c r="A12" s="22" t="s">
        <v>174</v>
      </c>
      <c r="B12" s="31">
        <v>60.342700000000001</v>
      </c>
      <c r="C12" s="31"/>
      <c r="D12" s="31">
        <v>593.61199999999997</v>
      </c>
      <c r="E12" s="31">
        <v>1713.8</v>
      </c>
      <c r="F12" s="31">
        <v>2917.23</v>
      </c>
      <c r="G12" s="31">
        <v>3780.8</v>
      </c>
      <c r="H12" s="31">
        <v>4300.28</v>
      </c>
      <c r="J12" s="22" t="s">
        <v>174</v>
      </c>
      <c r="K12" s="32">
        <f t="shared" si="6"/>
        <v>60.342700000000001</v>
      </c>
      <c r="L12" s="22">
        <f t="shared" si="7"/>
        <v>149.22091666666665</v>
      </c>
      <c r="M12" s="22">
        <f t="shared" si="7"/>
        <v>238.09913333333333</v>
      </c>
      <c r="N12" s="22">
        <f t="shared" si="7"/>
        <v>326.97735</v>
      </c>
      <c r="O12" s="22">
        <f t="shared" si="7"/>
        <v>415.85556666666668</v>
      </c>
      <c r="P12" s="22">
        <f t="shared" si="7"/>
        <v>504.73378333333335</v>
      </c>
      <c r="Q12" s="32">
        <f t="shared" si="8"/>
        <v>593.61199999999997</v>
      </c>
      <c r="R12" s="22">
        <f t="shared" si="9"/>
        <v>817.64959999999996</v>
      </c>
      <c r="S12" s="22">
        <f t="shared" si="9"/>
        <v>1041.6872000000001</v>
      </c>
      <c r="T12" s="22">
        <f t="shared" si="9"/>
        <v>1265.7248000000002</v>
      </c>
      <c r="U12" s="22">
        <f t="shared" si="9"/>
        <v>1489.7624000000003</v>
      </c>
      <c r="V12" s="32">
        <f t="shared" si="10"/>
        <v>1713.8</v>
      </c>
      <c r="W12" s="22">
        <f t="shared" si="11"/>
        <v>1954.4859999999999</v>
      </c>
      <c r="X12" s="22">
        <f t="shared" si="11"/>
        <v>2195.172</v>
      </c>
      <c r="Y12" s="22">
        <f t="shared" si="11"/>
        <v>2435.8580000000002</v>
      </c>
      <c r="Z12" s="22">
        <f t="shared" si="11"/>
        <v>2676.5440000000003</v>
      </c>
      <c r="AA12" s="32">
        <f t="shared" si="12"/>
        <v>2917.23</v>
      </c>
      <c r="AB12" s="22">
        <f t="shared" si="13"/>
        <v>3089.944</v>
      </c>
      <c r="AC12" s="22">
        <f t="shared" si="13"/>
        <v>3262.6579999999999</v>
      </c>
      <c r="AD12" s="22">
        <f t="shared" si="13"/>
        <v>3435.3719999999998</v>
      </c>
      <c r="AE12" s="22">
        <f t="shared" si="13"/>
        <v>3608.0859999999998</v>
      </c>
      <c r="AF12" s="32">
        <f t="shared" si="14"/>
        <v>3780.8</v>
      </c>
      <c r="AG12" s="22">
        <f t="shared" si="15"/>
        <v>3884.6959999999999</v>
      </c>
      <c r="AH12" s="22">
        <f t="shared" si="15"/>
        <v>3988.5919999999996</v>
      </c>
      <c r="AI12" s="22">
        <f t="shared" si="15"/>
        <v>4092.4879999999994</v>
      </c>
      <c r="AJ12" s="22">
        <f t="shared" si="15"/>
        <v>4196.3839999999991</v>
      </c>
      <c r="AK12" s="32">
        <f t="shared" si="16"/>
        <v>4300.28</v>
      </c>
    </row>
    <row r="13" spans="1:37" x14ac:dyDescent="0.35">
      <c r="A13" s="22" t="s">
        <v>165</v>
      </c>
      <c r="B13" s="31">
        <v>321.14100000000002</v>
      </c>
      <c r="C13" s="31"/>
      <c r="D13" s="31">
        <v>1560.25</v>
      </c>
      <c r="E13" s="31">
        <v>2825.82</v>
      </c>
      <c r="F13" s="31">
        <v>3153.33</v>
      </c>
      <c r="G13" s="31">
        <v>3436.27</v>
      </c>
      <c r="H13" s="31">
        <v>3427.53</v>
      </c>
      <c r="J13" s="22" t="s">
        <v>165</v>
      </c>
      <c r="K13" s="32">
        <f t="shared" si="6"/>
        <v>321.14100000000002</v>
      </c>
      <c r="L13" s="22">
        <f t="shared" si="7"/>
        <v>527.65916666666669</v>
      </c>
      <c r="M13" s="22">
        <f t="shared" si="7"/>
        <v>734.17733333333331</v>
      </c>
      <c r="N13" s="22">
        <f t="shared" si="7"/>
        <v>940.69549999999992</v>
      </c>
      <c r="O13" s="22">
        <f t="shared" si="7"/>
        <v>1147.2136666666665</v>
      </c>
      <c r="P13" s="22">
        <f t="shared" si="7"/>
        <v>1353.7318333333333</v>
      </c>
      <c r="Q13" s="32">
        <f t="shared" si="8"/>
        <v>1560.25</v>
      </c>
      <c r="R13" s="22">
        <f t="shared" si="9"/>
        <v>1813.364</v>
      </c>
      <c r="S13" s="22">
        <f t="shared" si="9"/>
        <v>2066.4780000000001</v>
      </c>
      <c r="T13" s="22">
        <f t="shared" si="9"/>
        <v>2319.5920000000001</v>
      </c>
      <c r="U13" s="22">
        <f t="shared" si="9"/>
        <v>2572.7060000000001</v>
      </c>
      <c r="V13" s="32">
        <f t="shared" si="10"/>
        <v>2825.82</v>
      </c>
      <c r="W13" s="22">
        <f t="shared" si="11"/>
        <v>2891.3220000000001</v>
      </c>
      <c r="X13" s="22">
        <f t="shared" si="11"/>
        <v>2956.8240000000001</v>
      </c>
      <c r="Y13" s="22">
        <f t="shared" si="11"/>
        <v>3022.326</v>
      </c>
      <c r="Z13" s="22">
        <f t="shared" si="11"/>
        <v>3087.828</v>
      </c>
      <c r="AA13" s="32">
        <f t="shared" si="12"/>
        <v>3153.33</v>
      </c>
      <c r="AB13" s="22">
        <f t="shared" si="13"/>
        <v>3209.9180000000001</v>
      </c>
      <c r="AC13" s="22">
        <f t="shared" si="13"/>
        <v>3266.5060000000003</v>
      </c>
      <c r="AD13" s="22">
        <f t="shared" si="13"/>
        <v>3323.0940000000005</v>
      </c>
      <c r="AE13" s="22">
        <f t="shared" si="13"/>
        <v>3379.6820000000007</v>
      </c>
      <c r="AF13" s="32">
        <f t="shared" si="14"/>
        <v>3436.27</v>
      </c>
      <c r="AG13" s="22">
        <f t="shared" si="15"/>
        <v>3434.5219999999999</v>
      </c>
      <c r="AH13" s="22">
        <f t="shared" si="15"/>
        <v>3432.7739999999999</v>
      </c>
      <c r="AI13" s="22">
        <f t="shared" si="15"/>
        <v>3431.0259999999998</v>
      </c>
      <c r="AJ13" s="22">
        <f t="shared" si="15"/>
        <v>3429.2779999999998</v>
      </c>
      <c r="AK13" s="32">
        <f t="shared" si="16"/>
        <v>3427.53</v>
      </c>
    </row>
    <row r="14" spans="1:37" x14ac:dyDescent="0.35">
      <c r="A14" s="22" t="s">
        <v>175</v>
      </c>
      <c r="B14" s="31">
        <v>18.554200000000002</v>
      </c>
      <c r="C14" s="31"/>
      <c r="D14" s="31">
        <v>173.02699999999999</v>
      </c>
      <c r="E14" s="31">
        <v>509.66699999999997</v>
      </c>
      <c r="F14" s="31">
        <v>704.09299999999996</v>
      </c>
      <c r="G14" s="31">
        <v>983.36599999999999</v>
      </c>
      <c r="H14" s="31">
        <v>1203.0999999999999</v>
      </c>
      <c r="J14" s="22" t="s">
        <v>175</v>
      </c>
      <c r="K14" s="32">
        <f t="shared" si="6"/>
        <v>18.554200000000002</v>
      </c>
      <c r="L14" s="22">
        <f t="shared" si="7"/>
        <v>44.299666666666667</v>
      </c>
      <c r="M14" s="22">
        <f t="shared" si="7"/>
        <v>70.045133333333325</v>
      </c>
      <c r="N14" s="22">
        <f t="shared" si="7"/>
        <v>95.790599999999984</v>
      </c>
      <c r="O14" s="22">
        <f t="shared" si="7"/>
        <v>121.53606666666664</v>
      </c>
      <c r="P14" s="22">
        <f t="shared" si="7"/>
        <v>147.2815333333333</v>
      </c>
      <c r="Q14" s="32">
        <f t="shared" si="8"/>
        <v>173.02699999999999</v>
      </c>
      <c r="R14" s="22">
        <f t="shared" si="9"/>
        <v>240.35499999999999</v>
      </c>
      <c r="S14" s="22">
        <f t="shared" si="9"/>
        <v>307.68299999999999</v>
      </c>
      <c r="T14" s="22">
        <f t="shared" si="9"/>
        <v>375.01099999999997</v>
      </c>
      <c r="U14" s="22">
        <f t="shared" si="9"/>
        <v>442.33899999999994</v>
      </c>
      <c r="V14" s="32">
        <f t="shared" si="10"/>
        <v>509.66699999999997</v>
      </c>
      <c r="W14" s="22">
        <f t="shared" si="11"/>
        <v>548.55219999999997</v>
      </c>
      <c r="X14" s="22">
        <f t="shared" si="11"/>
        <v>587.43740000000003</v>
      </c>
      <c r="Y14" s="22">
        <f t="shared" si="11"/>
        <v>626.32259999999997</v>
      </c>
      <c r="Z14" s="22">
        <f t="shared" si="11"/>
        <v>665.20779999999991</v>
      </c>
      <c r="AA14" s="32">
        <f t="shared" si="12"/>
        <v>704.09299999999996</v>
      </c>
      <c r="AB14" s="22">
        <f t="shared" si="13"/>
        <v>759.94759999999997</v>
      </c>
      <c r="AC14" s="22">
        <f t="shared" si="13"/>
        <v>815.80219999999997</v>
      </c>
      <c r="AD14" s="22">
        <f t="shared" si="13"/>
        <v>871.65679999999998</v>
      </c>
      <c r="AE14" s="22">
        <f t="shared" si="13"/>
        <v>927.51139999999998</v>
      </c>
      <c r="AF14" s="32">
        <f t="shared" si="14"/>
        <v>983.36599999999999</v>
      </c>
      <c r="AG14" s="22">
        <f t="shared" si="15"/>
        <v>1027.3127999999999</v>
      </c>
      <c r="AH14" s="22">
        <f t="shared" si="15"/>
        <v>1071.2595999999999</v>
      </c>
      <c r="AI14" s="22">
        <f t="shared" si="15"/>
        <v>1115.2063999999998</v>
      </c>
      <c r="AJ14" s="22">
        <f t="shared" si="15"/>
        <v>1159.1531999999997</v>
      </c>
      <c r="AK14" s="32">
        <f t="shared" si="16"/>
        <v>1203.0999999999999</v>
      </c>
    </row>
    <row r="15" spans="1:37" x14ac:dyDescent="0.35">
      <c r="A15" s="22" t="s">
        <v>176</v>
      </c>
      <c r="B15" s="31">
        <v>6.5659400000000003</v>
      </c>
      <c r="C15" s="31"/>
      <c r="D15" s="31">
        <v>25.122599999999998</v>
      </c>
      <c r="E15" s="31">
        <v>38.085599999999999</v>
      </c>
      <c r="F15" s="31">
        <v>38.912999999999997</v>
      </c>
      <c r="G15" s="31">
        <v>40.696599999999997</v>
      </c>
      <c r="H15" s="31">
        <v>42.552199999999999</v>
      </c>
      <c r="J15" s="22" t="s">
        <v>176</v>
      </c>
      <c r="K15" s="32">
        <f t="shared" si="6"/>
        <v>6.5659400000000003</v>
      </c>
      <c r="L15" s="22">
        <f t="shared" si="7"/>
        <v>9.6587166666666668</v>
      </c>
      <c r="M15" s="22">
        <f t="shared" si="7"/>
        <v>12.751493333333332</v>
      </c>
      <c r="N15" s="22">
        <f t="shared" si="7"/>
        <v>15.844269999999998</v>
      </c>
      <c r="O15" s="22">
        <f t="shared" si="7"/>
        <v>18.937046666666664</v>
      </c>
      <c r="P15" s="22">
        <f t="shared" si="7"/>
        <v>22.029823333333329</v>
      </c>
      <c r="Q15" s="32">
        <f t="shared" si="8"/>
        <v>25.122599999999998</v>
      </c>
      <c r="R15" s="22">
        <f t="shared" si="9"/>
        <v>27.715199999999999</v>
      </c>
      <c r="S15" s="22">
        <f t="shared" si="9"/>
        <v>30.3078</v>
      </c>
      <c r="T15" s="22">
        <f t="shared" si="9"/>
        <v>32.900399999999998</v>
      </c>
      <c r="U15" s="22">
        <f t="shared" si="9"/>
        <v>35.492999999999995</v>
      </c>
      <c r="V15" s="32">
        <f t="shared" si="10"/>
        <v>38.085599999999999</v>
      </c>
      <c r="W15" s="22">
        <f t="shared" si="11"/>
        <v>38.251080000000002</v>
      </c>
      <c r="X15" s="22">
        <f t="shared" si="11"/>
        <v>38.416560000000004</v>
      </c>
      <c r="Y15" s="22">
        <f t="shared" si="11"/>
        <v>38.582040000000006</v>
      </c>
      <c r="Z15" s="22">
        <f t="shared" si="11"/>
        <v>38.747520000000009</v>
      </c>
      <c r="AA15" s="32">
        <f t="shared" si="12"/>
        <v>38.912999999999997</v>
      </c>
      <c r="AB15" s="22">
        <f t="shared" si="13"/>
        <v>39.26972</v>
      </c>
      <c r="AC15" s="22">
        <f t="shared" si="13"/>
        <v>39.626440000000002</v>
      </c>
      <c r="AD15" s="22">
        <f t="shared" si="13"/>
        <v>39.983160000000005</v>
      </c>
      <c r="AE15" s="22">
        <f t="shared" si="13"/>
        <v>40.339880000000008</v>
      </c>
      <c r="AF15" s="32">
        <f t="shared" si="14"/>
        <v>40.696599999999997</v>
      </c>
      <c r="AG15" s="22">
        <f t="shared" si="15"/>
        <v>41.067719999999994</v>
      </c>
      <c r="AH15" s="22">
        <f t="shared" si="15"/>
        <v>41.438839999999992</v>
      </c>
      <c r="AI15" s="22">
        <f t="shared" si="15"/>
        <v>41.80995999999999</v>
      </c>
      <c r="AJ15" s="22">
        <f t="shared" si="15"/>
        <v>42.181079999999987</v>
      </c>
      <c r="AK15" s="32">
        <f t="shared" si="16"/>
        <v>42.552199999999999</v>
      </c>
    </row>
    <row r="16" spans="1:37" x14ac:dyDescent="0.35">
      <c r="A16" s="22" t="s">
        <v>177</v>
      </c>
      <c r="B16" s="31">
        <v>0.67430999999999996</v>
      </c>
      <c r="C16" s="31"/>
      <c r="D16" s="31">
        <v>2.4891399999999999</v>
      </c>
      <c r="E16" s="31">
        <v>3.74444</v>
      </c>
      <c r="F16" s="31">
        <v>3.8400799999999999</v>
      </c>
      <c r="G16" s="31">
        <v>4.0235799999999999</v>
      </c>
      <c r="H16" s="31">
        <v>4.21068</v>
      </c>
      <c r="J16" s="22" t="s">
        <v>177</v>
      </c>
      <c r="K16" s="32">
        <f t="shared" si="6"/>
        <v>0.67430999999999996</v>
      </c>
      <c r="L16" s="22">
        <f t="shared" si="7"/>
        <v>0.97678166666666666</v>
      </c>
      <c r="M16" s="22">
        <f t="shared" si="7"/>
        <v>1.2792533333333334</v>
      </c>
      <c r="N16" s="22">
        <f t="shared" si="7"/>
        <v>1.581725</v>
      </c>
      <c r="O16" s="22">
        <f t="shared" si="7"/>
        <v>1.8841966666666667</v>
      </c>
      <c r="P16" s="22">
        <f t="shared" si="7"/>
        <v>2.1866683333333334</v>
      </c>
      <c r="Q16" s="32">
        <f t="shared" si="8"/>
        <v>2.4891399999999999</v>
      </c>
      <c r="R16" s="22">
        <f t="shared" si="9"/>
        <v>2.7401999999999997</v>
      </c>
      <c r="S16" s="22">
        <f t="shared" si="9"/>
        <v>2.9912599999999996</v>
      </c>
      <c r="T16" s="22">
        <f t="shared" si="9"/>
        <v>3.2423199999999994</v>
      </c>
      <c r="U16" s="22">
        <f t="shared" si="9"/>
        <v>3.4933799999999993</v>
      </c>
      <c r="V16" s="32">
        <f t="shared" si="10"/>
        <v>3.74444</v>
      </c>
      <c r="W16" s="22">
        <f t="shared" si="11"/>
        <v>3.7635679999999998</v>
      </c>
      <c r="X16" s="22">
        <f t="shared" si="11"/>
        <v>3.7826959999999996</v>
      </c>
      <c r="Y16" s="22">
        <f t="shared" si="11"/>
        <v>3.8018239999999994</v>
      </c>
      <c r="Z16" s="22">
        <f t="shared" si="11"/>
        <v>3.8209519999999992</v>
      </c>
      <c r="AA16" s="32">
        <f t="shared" si="12"/>
        <v>3.8400799999999999</v>
      </c>
      <c r="AB16" s="22">
        <f t="shared" si="13"/>
        <v>3.8767800000000001</v>
      </c>
      <c r="AC16" s="22">
        <f t="shared" si="13"/>
        <v>3.9134800000000003</v>
      </c>
      <c r="AD16" s="22">
        <f t="shared" si="13"/>
        <v>3.9501800000000005</v>
      </c>
      <c r="AE16" s="22">
        <f t="shared" si="13"/>
        <v>3.9868800000000006</v>
      </c>
      <c r="AF16" s="32">
        <f t="shared" si="14"/>
        <v>4.0235799999999999</v>
      </c>
      <c r="AG16" s="22">
        <f t="shared" si="15"/>
        <v>4.0609999999999999</v>
      </c>
      <c r="AH16" s="22">
        <f t="shared" si="15"/>
        <v>4.09842</v>
      </c>
      <c r="AI16" s="22">
        <f t="shared" si="15"/>
        <v>4.13584</v>
      </c>
      <c r="AJ16" s="22">
        <f t="shared" si="15"/>
        <v>4.17326</v>
      </c>
      <c r="AK16" s="32">
        <f t="shared" si="16"/>
        <v>4.21068</v>
      </c>
    </row>
    <row r="17" spans="1:37" x14ac:dyDescent="0.35">
      <c r="A17" s="22" t="s">
        <v>178</v>
      </c>
      <c r="B17" s="31">
        <v>0.98489099999999996</v>
      </c>
      <c r="C17" s="31"/>
      <c r="D17" s="31">
        <v>3.7683800000000001</v>
      </c>
      <c r="E17" s="31">
        <v>5.7128399999999999</v>
      </c>
      <c r="F17" s="31">
        <v>5.8369499999999999</v>
      </c>
      <c r="G17" s="31">
        <v>6.1044900000000002</v>
      </c>
      <c r="H17" s="31">
        <v>6.3828300000000002</v>
      </c>
      <c r="J17" s="22" t="s">
        <v>178</v>
      </c>
      <c r="K17" s="32">
        <f t="shared" si="6"/>
        <v>0.98489099999999996</v>
      </c>
      <c r="L17" s="22">
        <f t="shared" si="7"/>
        <v>1.4488058333333333</v>
      </c>
      <c r="M17" s="22">
        <f t="shared" si="7"/>
        <v>1.9127206666666667</v>
      </c>
      <c r="N17" s="22">
        <f t="shared" si="7"/>
        <v>2.3766354999999999</v>
      </c>
      <c r="O17" s="22">
        <f t="shared" si="7"/>
        <v>2.8405503333333333</v>
      </c>
      <c r="P17" s="22">
        <f t="shared" si="7"/>
        <v>3.3044651666666667</v>
      </c>
      <c r="Q17" s="32">
        <f t="shared" si="8"/>
        <v>3.7683800000000001</v>
      </c>
      <c r="R17" s="22">
        <f t="shared" si="9"/>
        <v>4.1572719999999999</v>
      </c>
      <c r="S17" s="22">
        <f t="shared" si="9"/>
        <v>4.5461640000000001</v>
      </c>
      <c r="T17" s="22">
        <f t="shared" si="9"/>
        <v>4.9350560000000003</v>
      </c>
      <c r="U17" s="22">
        <f t="shared" si="9"/>
        <v>5.3239480000000006</v>
      </c>
      <c r="V17" s="32">
        <f t="shared" si="10"/>
        <v>5.7128399999999999</v>
      </c>
      <c r="W17" s="22">
        <f t="shared" si="11"/>
        <v>5.7376620000000003</v>
      </c>
      <c r="X17" s="22">
        <f t="shared" si="11"/>
        <v>5.7624840000000006</v>
      </c>
      <c r="Y17" s="22">
        <f t="shared" si="11"/>
        <v>5.7873060000000009</v>
      </c>
      <c r="Z17" s="22">
        <f t="shared" si="11"/>
        <v>5.8121280000000013</v>
      </c>
      <c r="AA17" s="32">
        <f t="shared" si="12"/>
        <v>5.8369499999999999</v>
      </c>
      <c r="AB17" s="22">
        <f t="shared" si="13"/>
        <v>5.8904579999999997</v>
      </c>
      <c r="AC17" s="22">
        <f t="shared" si="13"/>
        <v>5.9439659999999996</v>
      </c>
      <c r="AD17" s="22">
        <f t="shared" si="13"/>
        <v>5.9974739999999995</v>
      </c>
      <c r="AE17" s="22">
        <f t="shared" si="13"/>
        <v>6.0509819999999994</v>
      </c>
      <c r="AF17" s="32">
        <f t="shared" si="14"/>
        <v>6.1044900000000002</v>
      </c>
      <c r="AG17" s="22">
        <f t="shared" si="15"/>
        <v>6.160158</v>
      </c>
      <c r="AH17" s="22">
        <f t="shared" si="15"/>
        <v>6.2158259999999999</v>
      </c>
      <c r="AI17" s="22">
        <f t="shared" si="15"/>
        <v>6.2714939999999997</v>
      </c>
      <c r="AJ17" s="22">
        <f t="shared" si="15"/>
        <v>6.3271619999999995</v>
      </c>
      <c r="AK17" s="32">
        <f t="shared" si="16"/>
        <v>6.3828300000000002</v>
      </c>
    </row>
    <row r="18" spans="1:37" x14ac:dyDescent="0.35">
      <c r="A18" s="22" t="s">
        <v>179</v>
      </c>
      <c r="B18" s="31">
        <v>0.13413900000000001</v>
      </c>
      <c r="C18" s="31"/>
      <c r="D18" s="31">
        <v>0.51858899999999997</v>
      </c>
      <c r="E18" s="31">
        <v>0.78788800000000003</v>
      </c>
      <c r="F18" s="31">
        <v>0.80416200000000004</v>
      </c>
      <c r="G18" s="31">
        <v>0.84058200000000005</v>
      </c>
      <c r="H18" s="31">
        <v>0.878695</v>
      </c>
      <c r="J18" s="22" t="s">
        <v>179</v>
      </c>
      <c r="K18" s="32">
        <f t="shared" si="6"/>
        <v>0.13413900000000001</v>
      </c>
      <c r="L18" s="22">
        <f t="shared" si="7"/>
        <v>0.198214</v>
      </c>
      <c r="M18" s="22">
        <f t="shared" si="7"/>
        <v>0.26228899999999999</v>
      </c>
      <c r="N18" s="22">
        <f t="shared" si="7"/>
        <v>0.32636399999999999</v>
      </c>
      <c r="O18" s="22">
        <f t="shared" si="7"/>
        <v>0.39043899999999998</v>
      </c>
      <c r="P18" s="22">
        <f t="shared" si="7"/>
        <v>0.45451399999999997</v>
      </c>
      <c r="Q18" s="32">
        <f t="shared" si="8"/>
        <v>0.51858899999999997</v>
      </c>
      <c r="R18" s="22">
        <f t="shared" si="9"/>
        <v>0.57244879999999998</v>
      </c>
      <c r="S18" s="22">
        <f t="shared" si="9"/>
        <v>0.62630859999999999</v>
      </c>
      <c r="T18" s="22">
        <f t="shared" si="9"/>
        <v>0.68016840000000001</v>
      </c>
      <c r="U18" s="22">
        <f t="shared" si="9"/>
        <v>0.73402820000000002</v>
      </c>
      <c r="V18" s="32">
        <f t="shared" si="10"/>
        <v>0.78788800000000003</v>
      </c>
      <c r="W18" s="22">
        <f t="shared" si="11"/>
        <v>0.79114280000000003</v>
      </c>
      <c r="X18" s="22">
        <f t="shared" si="11"/>
        <v>0.79439760000000004</v>
      </c>
      <c r="Y18" s="22">
        <f t="shared" si="11"/>
        <v>0.79765240000000004</v>
      </c>
      <c r="Z18" s="22">
        <f t="shared" si="11"/>
        <v>0.80090720000000004</v>
      </c>
      <c r="AA18" s="32">
        <f t="shared" si="12"/>
        <v>0.80416200000000004</v>
      </c>
      <c r="AB18" s="22">
        <f t="shared" si="13"/>
        <v>0.811446</v>
      </c>
      <c r="AC18" s="22">
        <f t="shared" si="13"/>
        <v>0.81872999999999996</v>
      </c>
      <c r="AD18" s="22">
        <f t="shared" si="13"/>
        <v>0.82601399999999991</v>
      </c>
      <c r="AE18" s="22">
        <f t="shared" si="13"/>
        <v>0.83329799999999987</v>
      </c>
      <c r="AF18" s="32">
        <f t="shared" si="14"/>
        <v>0.84058200000000005</v>
      </c>
      <c r="AG18" s="22">
        <f t="shared" si="15"/>
        <v>0.84820460000000009</v>
      </c>
      <c r="AH18" s="22">
        <f t="shared" si="15"/>
        <v>0.85582720000000012</v>
      </c>
      <c r="AI18" s="22">
        <f t="shared" si="15"/>
        <v>0.86344980000000016</v>
      </c>
      <c r="AJ18" s="22">
        <f t="shared" si="15"/>
        <v>0.87107240000000019</v>
      </c>
      <c r="AK18" s="32">
        <f t="shared" si="16"/>
        <v>0.878695</v>
      </c>
    </row>
    <row r="19" spans="1:37" ht="15" thickBot="1" x14ac:dyDescent="0.4">
      <c r="A19" s="33" t="s">
        <v>180</v>
      </c>
      <c r="B19" s="34">
        <v>1919.5682800000002</v>
      </c>
      <c r="C19" s="35"/>
      <c r="D19" s="34">
        <v>10274.188708999998</v>
      </c>
      <c r="E19" s="34">
        <v>17715.821767999998</v>
      </c>
      <c r="F19" s="34">
        <v>19808.891192000006</v>
      </c>
      <c r="G19" s="34">
        <v>20446.711252000005</v>
      </c>
      <c r="H19" s="34">
        <v>20332.642404999991</v>
      </c>
      <c r="J19" s="36" t="s">
        <v>181</v>
      </c>
      <c r="K19" s="32">
        <f t="shared" si="6"/>
        <v>1919.5682800000002</v>
      </c>
      <c r="L19" s="22">
        <f t="shared" si="7"/>
        <v>3312.0050181666666</v>
      </c>
      <c r="M19" s="22">
        <f t="shared" si="7"/>
        <v>4704.4417563333327</v>
      </c>
      <c r="N19" s="22">
        <f t="shared" si="7"/>
        <v>6096.8784944999989</v>
      </c>
      <c r="O19" s="22">
        <f t="shared" si="7"/>
        <v>7489.315232666665</v>
      </c>
      <c r="P19" s="22">
        <f>O19+($Q19-$K19)/6</f>
        <v>8881.7519708333311</v>
      </c>
      <c r="Q19" s="32">
        <f t="shared" si="8"/>
        <v>10274.188708999998</v>
      </c>
      <c r="R19" s="22">
        <f t="shared" si="9"/>
        <v>11762.515320799997</v>
      </c>
      <c r="S19" s="22">
        <f t="shared" si="9"/>
        <v>13250.841932599997</v>
      </c>
      <c r="T19" s="22">
        <f t="shared" si="9"/>
        <v>14739.168544399996</v>
      </c>
      <c r="U19" s="22">
        <f t="shared" si="9"/>
        <v>16227.495156199995</v>
      </c>
      <c r="V19" s="32">
        <f t="shared" si="10"/>
        <v>17715.821767999998</v>
      </c>
      <c r="W19" s="22">
        <f t="shared" si="11"/>
        <v>18134.435652799999</v>
      </c>
      <c r="X19" s="22">
        <f t="shared" si="11"/>
        <v>18553.0495376</v>
      </c>
      <c r="Y19" s="22">
        <f t="shared" si="11"/>
        <v>18971.663422400001</v>
      </c>
      <c r="Z19" s="22">
        <f t="shared" si="11"/>
        <v>19390.277307200002</v>
      </c>
      <c r="AA19" s="32">
        <f t="shared" si="12"/>
        <v>19808.891192000006</v>
      </c>
      <c r="AB19" s="22">
        <f t="shared" si="13"/>
        <v>19936.455204000005</v>
      </c>
      <c r="AC19" s="22">
        <f t="shared" si="13"/>
        <v>20064.019216000004</v>
      </c>
      <c r="AD19" s="22">
        <f t="shared" si="13"/>
        <v>20191.583228000003</v>
      </c>
      <c r="AE19" s="22">
        <f t="shared" si="13"/>
        <v>20319.147240000002</v>
      </c>
      <c r="AF19" s="32">
        <f t="shared" si="14"/>
        <v>20446.711252000005</v>
      </c>
      <c r="AG19" s="22">
        <f t="shared" si="15"/>
        <v>20423.897482600001</v>
      </c>
      <c r="AH19" s="22">
        <f t="shared" si="15"/>
        <v>20401.083713199998</v>
      </c>
      <c r="AI19" s="22">
        <f t="shared" si="15"/>
        <v>20378.269943799995</v>
      </c>
      <c r="AJ19" s="22">
        <f t="shared" si="15"/>
        <v>20355.456174399991</v>
      </c>
      <c r="AK19" s="32">
        <f t="shared" si="16"/>
        <v>20332.642404999991</v>
      </c>
    </row>
    <row r="20" spans="1:37" ht="15" thickTop="1" x14ac:dyDescent="0.3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C1F74-E678-4080-8D44-1C16D6C1E9F9}">
  <sheetPr>
    <tabColor rgb="FF0077B6"/>
  </sheetPr>
  <dimension ref="A1:AK15"/>
  <sheetViews>
    <sheetView workbookViewId="0">
      <selection activeCell="A22" activeCellId="8" sqref="A8:XFD8 A11:XFD11 A12:XFD12 A13:XFD13 A14:XFD14 A16:XFD16 A20:XFD20 A21:XFD21 A22:XFD22"/>
    </sheetView>
  </sheetViews>
  <sheetFormatPr defaultColWidth="9.36328125" defaultRowHeight="14.5" x14ac:dyDescent="0.35"/>
  <cols>
    <col min="1" max="1" width="44.26953125" style="22" customWidth="1"/>
    <col min="2" max="2" width="11.54296875" style="22" customWidth="1"/>
    <col min="3" max="3" width="7.1796875" style="22" customWidth="1"/>
    <col min="4" max="8" width="11.54296875" style="22" customWidth="1"/>
    <col min="9" max="16384" width="9.36328125" style="22"/>
  </cols>
  <sheetData>
    <row r="1" spans="1:37" ht="26.15" customHeight="1" x14ac:dyDescent="0.35">
      <c r="A1" s="21" t="s">
        <v>167</v>
      </c>
    </row>
    <row r="2" spans="1:37" ht="23.5" x14ac:dyDescent="0.55000000000000004">
      <c r="A2" s="24" t="s">
        <v>182</v>
      </c>
    </row>
    <row r="3" spans="1:37" ht="23.5" x14ac:dyDescent="0.55000000000000004">
      <c r="A3" s="24"/>
    </row>
    <row r="4" spans="1:37" ht="19.5" x14ac:dyDescent="0.45">
      <c r="D4" s="25" t="s">
        <v>169</v>
      </c>
      <c r="E4" s="26"/>
      <c r="F4" s="26"/>
      <c r="G4" s="26"/>
      <c r="H4" s="26"/>
    </row>
    <row r="5" spans="1:37" ht="20" thickBot="1" x14ac:dyDescent="0.5">
      <c r="B5" s="27">
        <v>2024</v>
      </c>
      <c r="C5" s="28"/>
      <c r="D5" s="27">
        <v>2030</v>
      </c>
      <c r="E5" s="27">
        <v>2035</v>
      </c>
      <c r="F5" s="27">
        <v>2040</v>
      </c>
      <c r="G5" s="27">
        <v>2045</v>
      </c>
      <c r="H5" s="27">
        <v>2050</v>
      </c>
    </row>
    <row r="6" spans="1:37" ht="15" thickTop="1" x14ac:dyDescent="0.35"/>
    <row r="7" spans="1:37" ht="17.5" thickBot="1" x14ac:dyDescent="0.45">
      <c r="A7" s="29" t="s">
        <v>170</v>
      </c>
      <c r="B7" s="29"/>
      <c r="C7" s="30"/>
      <c r="D7" s="29"/>
      <c r="E7" s="29"/>
      <c r="F7" s="29"/>
      <c r="G7" s="29"/>
      <c r="H7" s="29"/>
      <c r="K7" s="23">
        <v>2024</v>
      </c>
      <c r="L7" s="22">
        <f>K7+1</f>
        <v>2025</v>
      </c>
      <c r="M7" s="22">
        <f t="shared" ref="M7:AK7" si="0">L7+1</f>
        <v>2026</v>
      </c>
      <c r="N7" s="22">
        <f t="shared" si="0"/>
        <v>2027</v>
      </c>
      <c r="O7" s="22">
        <f t="shared" si="0"/>
        <v>2028</v>
      </c>
      <c r="P7" s="22">
        <f t="shared" si="0"/>
        <v>2029</v>
      </c>
      <c r="Q7" s="23">
        <f t="shared" si="0"/>
        <v>2030</v>
      </c>
      <c r="R7" s="22">
        <f t="shared" si="0"/>
        <v>2031</v>
      </c>
      <c r="S7" s="22">
        <f t="shared" si="0"/>
        <v>2032</v>
      </c>
      <c r="T7" s="22">
        <f t="shared" si="0"/>
        <v>2033</v>
      </c>
      <c r="U7" s="22">
        <f t="shared" si="0"/>
        <v>2034</v>
      </c>
      <c r="V7" s="23">
        <f t="shared" si="0"/>
        <v>2035</v>
      </c>
      <c r="W7" s="22">
        <f t="shared" si="0"/>
        <v>2036</v>
      </c>
      <c r="X7" s="22">
        <f t="shared" si="0"/>
        <v>2037</v>
      </c>
      <c r="Y7" s="22">
        <f t="shared" si="0"/>
        <v>2038</v>
      </c>
      <c r="Z7" s="22">
        <f t="shared" si="0"/>
        <v>2039</v>
      </c>
      <c r="AA7" s="23">
        <f t="shared" si="0"/>
        <v>2040</v>
      </c>
      <c r="AB7" s="22">
        <f t="shared" si="0"/>
        <v>2041</v>
      </c>
      <c r="AC7" s="22">
        <f t="shared" si="0"/>
        <v>2042</v>
      </c>
      <c r="AD7" s="22">
        <f t="shared" si="0"/>
        <v>2043</v>
      </c>
      <c r="AE7" s="22">
        <f t="shared" si="0"/>
        <v>2044</v>
      </c>
      <c r="AF7" s="23">
        <f t="shared" si="0"/>
        <v>2045</v>
      </c>
      <c r="AG7" s="22">
        <f t="shared" si="0"/>
        <v>2046</v>
      </c>
      <c r="AH7" s="22">
        <f t="shared" si="0"/>
        <v>2047</v>
      </c>
      <c r="AI7" s="22">
        <f t="shared" si="0"/>
        <v>2048</v>
      </c>
      <c r="AJ7" s="22">
        <f t="shared" si="0"/>
        <v>2049</v>
      </c>
      <c r="AK7" s="23">
        <f t="shared" si="0"/>
        <v>2050</v>
      </c>
    </row>
    <row r="8" spans="1:37" ht="15" thickTop="1" x14ac:dyDescent="0.35">
      <c r="A8" s="22" t="s">
        <v>171</v>
      </c>
      <c r="B8" s="31">
        <v>1657.2</v>
      </c>
      <c r="C8" s="31"/>
      <c r="D8" s="31">
        <v>2848.78</v>
      </c>
      <c r="E8" s="31">
        <v>3238.53</v>
      </c>
      <c r="F8" s="31">
        <v>2569.66</v>
      </c>
      <c r="G8" s="31">
        <v>2176.11</v>
      </c>
      <c r="H8" s="31">
        <v>2733.59</v>
      </c>
      <c r="J8" s="22" t="s">
        <v>171</v>
      </c>
      <c r="K8" s="32">
        <f t="shared" ref="K8:K14" si="1">B8</f>
        <v>1657.2</v>
      </c>
      <c r="L8" s="22">
        <f t="shared" ref="L8:P14" si="2">K8+($Q8-$K8)/6</f>
        <v>1855.7966666666666</v>
      </c>
      <c r="M8" s="22">
        <f t="shared" si="2"/>
        <v>2054.3933333333334</v>
      </c>
      <c r="N8" s="22">
        <f t="shared" si="2"/>
        <v>2252.9900000000002</v>
      </c>
      <c r="O8" s="22">
        <f t="shared" si="2"/>
        <v>2451.586666666667</v>
      </c>
      <c r="P8" s="22">
        <f t="shared" si="2"/>
        <v>2650.1833333333338</v>
      </c>
      <c r="Q8" s="32">
        <f t="shared" ref="Q8:Q14" si="3">D8</f>
        <v>2848.78</v>
      </c>
      <c r="R8" s="22">
        <f t="shared" ref="R8:U14" si="4">Q8+($V8-$Q8)/5</f>
        <v>2926.73</v>
      </c>
      <c r="S8" s="22">
        <f t="shared" si="4"/>
        <v>3004.68</v>
      </c>
      <c r="T8" s="22">
        <f t="shared" si="4"/>
        <v>3082.6299999999997</v>
      </c>
      <c r="U8" s="22">
        <f t="shared" si="4"/>
        <v>3160.5799999999995</v>
      </c>
      <c r="V8" s="32">
        <f t="shared" ref="V8:V14" si="5">E8</f>
        <v>3238.53</v>
      </c>
      <c r="W8" s="22">
        <f t="shared" ref="W8:Z14" si="6">V8+($AA8-$V8)/5</f>
        <v>3104.7560000000003</v>
      </c>
      <c r="X8" s="22">
        <f t="shared" si="6"/>
        <v>2970.9820000000004</v>
      </c>
      <c r="Y8" s="22">
        <f t="shared" si="6"/>
        <v>2837.2080000000005</v>
      </c>
      <c r="Z8" s="22">
        <f t="shared" si="6"/>
        <v>2703.4340000000007</v>
      </c>
      <c r="AA8" s="32">
        <f t="shared" ref="AA8:AA14" si="7">F8</f>
        <v>2569.66</v>
      </c>
      <c r="AB8" s="22">
        <f t="shared" ref="AB8:AE14" si="8">AA8+($AF8-$AA8)/5</f>
        <v>2490.9499999999998</v>
      </c>
      <c r="AC8" s="22">
        <f t="shared" si="8"/>
        <v>2412.2399999999998</v>
      </c>
      <c r="AD8" s="22">
        <f t="shared" si="8"/>
        <v>2333.5299999999997</v>
      </c>
      <c r="AE8" s="22">
        <f t="shared" si="8"/>
        <v>2254.8199999999997</v>
      </c>
      <c r="AF8" s="32">
        <f t="shared" ref="AF8:AF14" si="9">G8</f>
        <v>2176.11</v>
      </c>
      <c r="AG8" s="22">
        <f t="shared" ref="AG8:AJ14" si="10">AF8+($AK8-$AF8)/5</f>
        <v>2287.6060000000002</v>
      </c>
      <c r="AH8" s="22">
        <f t="shared" si="10"/>
        <v>2399.1020000000003</v>
      </c>
      <c r="AI8" s="22">
        <f t="shared" si="10"/>
        <v>2510.5980000000004</v>
      </c>
      <c r="AJ8" s="22">
        <f t="shared" si="10"/>
        <v>2622.0940000000005</v>
      </c>
      <c r="AK8" s="32">
        <f t="shared" ref="AK8:AK14" si="11">H8</f>
        <v>2733.59</v>
      </c>
    </row>
    <row r="9" spans="1:37" x14ac:dyDescent="0.35">
      <c r="A9" s="22" t="s">
        <v>183</v>
      </c>
      <c r="B9" s="31">
        <v>2.17731E-2</v>
      </c>
      <c r="C9" s="31"/>
      <c r="D9" s="31">
        <v>0.27703899999999998</v>
      </c>
      <c r="E9" s="31">
        <v>1.60484</v>
      </c>
      <c r="F9" s="31">
        <v>6.9368600000000002</v>
      </c>
      <c r="G9" s="31">
        <v>5.8161699999999996</v>
      </c>
      <c r="H9" s="31">
        <v>7.2808400000000004</v>
      </c>
      <c r="J9" s="22" t="s">
        <v>183</v>
      </c>
      <c r="K9" s="32">
        <f t="shared" si="1"/>
        <v>2.17731E-2</v>
      </c>
      <c r="L9" s="22">
        <f t="shared" si="2"/>
        <v>6.4317416666666669E-2</v>
      </c>
      <c r="M9" s="22">
        <f t="shared" si="2"/>
        <v>0.10686173333333333</v>
      </c>
      <c r="N9" s="22">
        <f t="shared" si="2"/>
        <v>0.14940605000000001</v>
      </c>
      <c r="O9" s="22">
        <f t="shared" si="2"/>
        <v>0.19195036666666668</v>
      </c>
      <c r="P9" s="22">
        <f t="shared" si="2"/>
        <v>0.23449468333333334</v>
      </c>
      <c r="Q9" s="32">
        <f t="shared" si="3"/>
        <v>0.27703899999999998</v>
      </c>
      <c r="R9" s="22">
        <f t="shared" si="4"/>
        <v>0.54259919999999995</v>
      </c>
      <c r="S9" s="22">
        <f t="shared" si="4"/>
        <v>0.80815939999999997</v>
      </c>
      <c r="T9" s="22">
        <f t="shared" si="4"/>
        <v>1.0737196</v>
      </c>
      <c r="U9" s="22">
        <f t="shared" si="4"/>
        <v>1.3392797999999999</v>
      </c>
      <c r="V9" s="32">
        <f t="shared" si="5"/>
        <v>1.60484</v>
      </c>
      <c r="W9" s="22">
        <f t="shared" si="6"/>
        <v>2.6712439999999997</v>
      </c>
      <c r="X9" s="22">
        <f t="shared" si="6"/>
        <v>3.7376479999999996</v>
      </c>
      <c r="Y9" s="22">
        <f t="shared" si="6"/>
        <v>4.8040519999999995</v>
      </c>
      <c r="Z9" s="22">
        <f t="shared" si="6"/>
        <v>5.870455999999999</v>
      </c>
      <c r="AA9" s="32">
        <f t="shared" si="7"/>
        <v>6.9368600000000002</v>
      </c>
      <c r="AB9" s="22">
        <f t="shared" si="8"/>
        <v>6.7127220000000003</v>
      </c>
      <c r="AC9" s="22">
        <f t="shared" si="8"/>
        <v>6.4885840000000004</v>
      </c>
      <c r="AD9" s="22">
        <f t="shared" si="8"/>
        <v>6.2644460000000004</v>
      </c>
      <c r="AE9" s="22">
        <f t="shared" si="8"/>
        <v>6.0403080000000005</v>
      </c>
      <c r="AF9" s="32">
        <f t="shared" si="9"/>
        <v>5.8161699999999996</v>
      </c>
      <c r="AG9" s="22">
        <f t="shared" si="10"/>
        <v>6.1091039999999994</v>
      </c>
      <c r="AH9" s="22">
        <f t="shared" si="10"/>
        <v>6.4020379999999992</v>
      </c>
      <c r="AI9" s="22">
        <f t="shared" si="10"/>
        <v>6.694971999999999</v>
      </c>
      <c r="AJ9" s="22">
        <f t="shared" si="10"/>
        <v>6.9879059999999988</v>
      </c>
      <c r="AK9" s="32">
        <f t="shared" si="11"/>
        <v>7.2808400000000004</v>
      </c>
    </row>
    <row r="10" spans="1:37" x14ac:dyDescent="0.35">
      <c r="A10" s="22" t="s">
        <v>165</v>
      </c>
      <c r="B10" s="31">
        <v>0.62441500000000005</v>
      </c>
      <c r="C10" s="31"/>
      <c r="D10" s="31">
        <v>1.0927899999999999</v>
      </c>
      <c r="E10" s="31">
        <v>1.25827</v>
      </c>
      <c r="F10" s="31">
        <v>0.98667199999999999</v>
      </c>
      <c r="G10" s="31">
        <v>0.824762</v>
      </c>
      <c r="H10" s="31">
        <v>1.0286599999999999</v>
      </c>
      <c r="J10" s="22" t="s">
        <v>165</v>
      </c>
      <c r="K10" s="32">
        <f t="shared" si="1"/>
        <v>0.62441500000000005</v>
      </c>
      <c r="L10" s="22">
        <f t="shared" si="2"/>
        <v>0.70247750000000009</v>
      </c>
      <c r="M10" s="22">
        <f t="shared" si="2"/>
        <v>0.78054000000000001</v>
      </c>
      <c r="N10" s="22">
        <f t="shared" si="2"/>
        <v>0.85860249999999994</v>
      </c>
      <c r="O10" s="22">
        <f t="shared" si="2"/>
        <v>0.93666499999999986</v>
      </c>
      <c r="P10" s="22">
        <f t="shared" si="2"/>
        <v>1.0147274999999998</v>
      </c>
      <c r="Q10" s="32">
        <f t="shared" si="3"/>
        <v>1.0927899999999999</v>
      </c>
      <c r="R10" s="22">
        <f t="shared" si="4"/>
        <v>1.1258859999999999</v>
      </c>
      <c r="S10" s="22">
        <f t="shared" si="4"/>
        <v>1.158982</v>
      </c>
      <c r="T10" s="22">
        <f t="shared" si="4"/>
        <v>1.192078</v>
      </c>
      <c r="U10" s="22">
        <f t="shared" si="4"/>
        <v>1.225174</v>
      </c>
      <c r="V10" s="32">
        <f t="shared" si="5"/>
        <v>1.25827</v>
      </c>
      <c r="W10" s="22">
        <f t="shared" si="6"/>
        <v>1.2039504000000001</v>
      </c>
      <c r="X10" s="22">
        <f t="shared" si="6"/>
        <v>1.1496308000000002</v>
      </c>
      <c r="Y10" s="22">
        <f t="shared" si="6"/>
        <v>1.0953112000000003</v>
      </c>
      <c r="Z10" s="22">
        <f t="shared" si="6"/>
        <v>1.0409916000000003</v>
      </c>
      <c r="AA10" s="32">
        <f t="shared" si="7"/>
        <v>0.98667199999999999</v>
      </c>
      <c r="AB10" s="22">
        <f t="shared" si="8"/>
        <v>0.95428999999999997</v>
      </c>
      <c r="AC10" s="22">
        <f t="shared" si="8"/>
        <v>0.92190799999999995</v>
      </c>
      <c r="AD10" s="22">
        <f t="shared" si="8"/>
        <v>0.88952599999999993</v>
      </c>
      <c r="AE10" s="22">
        <f t="shared" si="8"/>
        <v>0.85714399999999991</v>
      </c>
      <c r="AF10" s="32">
        <f t="shared" si="9"/>
        <v>0.824762</v>
      </c>
      <c r="AG10" s="22">
        <f t="shared" si="10"/>
        <v>0.86554160000000002</v>
      </c>
      <c r="AH10" s="22">
        <f t="shared" si="10"/>
        <v>0.90632120000000005</v>
      </c>
      <c r="AI10" s="22">
        <f t="shared" si="10"/>
        <v>0.94710080000000008</v>
      </c>
      <c r="AJ10" s="22">
        <f t="shared" si="10"/>
        <v>0.9878804000000001</v>
      </c>
      <c r="AK10" s="32">
        <f t="shared" si="11"/>
        <v>1.0286599999999999</v>
      </c>
    </row>
    <row r="11" spans="1:37" x14ac:dyDescent="0.35">
      <c r="A11" s="22" t="s">
        <v>175</v>
      </c>
      <c r="B11" s="31">
        <v>1480.78</v>
      </c>
      <c r="C11" s="31"/>
      <c r="D11" s="31">
        <v>2062.61</v>
      </c>
      <c r="E11" s="31">
        <v>2192.63</v>
      </c>
      <c r="F11" s="31">
        <v>1663.5</v>
      </c>
      <c r="G11" s="31">
        <v>1314.86</v>
      </c>
      <c r="H11" s="31">
        <v>1522.89</v>
      </c>
      <c r="J11" s="22" t="s">
        <v>175</v>
      </c>
      <c r="K11" s="32">
        <f t="shared" si="1"/>
        <v>1480.78</v>
      </c>
      <c r="L11" s="22">
        <f t="shared" si="2"/>
        <v>1577.7516666666666</v>
      </c>
      <c r="M11" s="22">
        <f t="shared" si="2"/>
        <v>1674.7233333333334</v>
      </c>
      <c r="N11" s="22">
        <f t="shared" si="2"/>
        <v>1771.6950000000002</v>
      </c>
      <c r="O11" s="22">
        <f t="shared" si="2"/>
        <v>1868.666666666667</v>
      </c>
      <c r="P11" s="22">
        <f t="shared" si="2"/>
        <v>1965.6383333333338</v>
      </c>
      <c r="Q11" s="32">
        <f t="shared" si="3"/>
        <v>2062.61</v>
      </c>
      <c r="R11" s="22">
        <f t="shared" si="4"/>
        <v>2088.614</v>
      </c>
      <c r="S11" s="22">
        <f t="shared" si="4"/>
        <v>2114.6179999999999</v>
      </c>
      <c r="T11" s="22">
        <f t="shared" si="4"/>
        <v>2140.6219999999998</v>
      </c>
      <c r="U11" s="22">
        <f t="shared" si="4"/>
        <v>2166.6259999999997</v>
      </c>
      <c r="V11" s="32">
        <f t="shared" si="5"/>
        <v>2192.63</v>
      </c>
      <c r="W11" s="22">
        <f t="shared" si="6"/>
        <v>2086.8040000000001</v>
      </c>
      <c r="X11" s="22">
        <f t="shared" si="6"/>
        <v>1980.9780000000001</v>
      </c>
      <c r="Y11" s="22">
        <f t="shared" si="6"/>
        <v>1875.152</v>
      </c>
      <c r="Z11" s="22">
        <f t="shared" si="6"/>
        <v>1769.326</v>
      </c>
      <c r="AA11" s="32">
        <f t="shared" si="7"/>
        <v>1663.5</v>
      </c>
      <c r="AB11" s="22">
        <f t="shared" si="8"/>
        <v>1593.7719999999999</v>
      </c>
      <c r="AC11" s="22">
        <f t="shared" si="8"/>
        <v>1524.0439999999999</v>
      </c>
      <c r="AD11" s="22">
        <f t="shared" si="8"/>
        <v>1454.3159999999998</v>
      </c>
      <c r="AE11" s="22">
        <f t="shared" si="8"/>
        <v>1384.5879999999997</v>
      </c>
      <c r="AF11" s="32">
        <f t="shared" si="9"/>
        <v>1314.86</v>
      </c>
      <c r="AG11" s="22">
        <f t="shared" si="10"/>
        <v>1356.4659999999999</v>
      </c>
      <c r="AH11" s="22">
        <f t="shared" si="10"/>
        <v>1398.0719999999999</v>
      </c>
      <c r="AI11" s="22">
        <f t="shared" si="10"/>
        <v>1439.6779999999999</v>
      </c>
      <c r="AJ11" s="22">
        <f t="shared" si="10"/>
        <v>1481.2839999999999</v>
      </c>
      <c r="AK11" s="32">
        <f t="shared" si="11"/>
        <v>1522.89</v>
      </c>
    </row>
    <row r="12" spans="1:37" x14ac:dyDescent="0.35">
      <c r="A12" s="22" t="s">
        <v>185</v>
      </c>
      <c r="B12" s="31">
        <v>8.9754199999999997</v>
      </c>
      <c r="C12" s="31"/>
      <c r="D12" s="31">
        <v>12.683400000000001</v>
      </c>
      <c r="E12" s="31">
        <v>11.653700000000001</v>
      </c>
      <c r="F12" s="31">
        <v>6.7324099999999998</v>
      </c>
      <c r="G12" s="31">
        <v>3.5508999999999999</v>
      </c>
      <c r="H12" s="31">
        <v>1.73261</v>
      </c>
      <c r="J12" s="22" t="s">
        <v>185</v>
      </c>
      <c r="K12" s="32">
        <f t="shared" si="1"/>
        <v>8.9754199999999997</v>
      </c>
      <c r="L12" s="22">
        <f t="shared" si="2"/>
        <v>9.5934166666666663</v>
      </c>
      <c r="M12" s="22">
        <f t="shared" si="2"/>
        <v>10.211413333333333</v>
      </c>
      <c r="N12" s="22">
        <f t="shared" si="2"/>
        <v>10.829409999999999</v>
      </c>
      <c r="O12" s="22">
        <f t="shared" si="2"/>
        <v>11.447406666666666</v>
      </c>
      <c r="P12" s="22">
        <f t="shared" si="2"/>
        <v>12.065403333333332</v>
      </c>
      <c r="Q12" s="32">
        <f t="shared" si="3"/>
        <v>12.683400000000001</v>
      </c>
      <c r="R12" s="22">
        <f t="shared" si="4"/>
        <v>12.477460000000001</v>
      </c>
      <c r="S12" s="22">
        <f t="shared" si="4"/>
        <v>12.271520000000001</v>
      </c>
      <c r="T12" s="22">
        <f t="shared" si="4"/>
        <v>12.065580000000001</v>
      </c>
      <c r="U12" s="22">
        <f t="shared" si="4"/>
        <v>11.859640000000001</v>
      </c>
      <c r="V12" s="32">
        <f t="shared" si="5"/>
        <v>11.653700000000001</v>
      </c>
      <c r="W12" s="22">
        <f t="shared" si="6"/>
        <v>10.669442</v>
      </c>
      <c r="X12" s="22">
        <f t="shared" si="6"/>
        <v>9.6851839999999996</v>
      </c>
      <c r="Y12" s="22">
        <f t="shared" si="6"/>
        <v>8.700925999999999</v>
      </c>
      <c r="Z12" s="22">
        <f t="shared" si="6"/>
        <v>7.7166679999999985</v>
      </c>
      <c r="AA12" s="32">
        <f t="shared" si="7"/>
        <v>6.7324099999999998</v>
      </c>
      <c r="AB12" s="22">
        <f t="shared" si="8"/>
        <v>6.0961080000000001</v>
      </c>
      <c r="AC12" s="22">
        <f t="shared" si="8"/>
        <v>5.4598060000000004</v>
      </c>
      <c r="AD12" s="22">
        <f t="shared" si="8"/>
        <v>4.8235040000000007</v>
      </c>
      <c r="AE12" s="22">
        <f t="shared" si="8"/>
        <v>4.187202000000001</v>
      </c>
      <c r="AF12" s="32">
        <f t="shared" si="9"/>
        <v>3.5508999999999999</v>
      </c>
      <c r="AG12" s="22">
        <f t="shared" si="10"/>
        <v>3.1872419999999999</v>
      </c>
      <c r="AH12" s="22">
        <f t="shared" si="10"/>
        <v>2.8235839999999999</v>
      </c>
      <c r="AI12" s="22">
        <f t="shared" si="10"/>
        <v>2.4599259999999998</v>
      </c>
      <c r="AJ12" s="22">
        <f t="shared" si="10"/>
        <v>2.0962679999999998</v>
      </c>
      <c r="AK12" s="32">
        <f t="shared" si="11"/>
        <v>1.73261</v>
      </c>
    </row>
    <row r="13" spans="1:37" x14ac:dyDescent="0.35">
      <c r="A13" s="22" t="s">
        <v>186</v>
      </c>
      <c r="B13" s="31">
        <v>0.96694000000000002</v>
      </c>
      <c r="C13" s="31"/>
      <c r="D13" s="31">
        <v>1.7048700000000001</v>
      </c>
      <c r="E13" s="31">
        <v>1.79705</v>
      </c>
      <c r="F13" s="31">
        <v>1.20631</v>
      </c>
      <c r="G13" s="31">
        <v>0.77719199999999999</v>
      </c>
      <c r="H13" s="31">
        <v>0.62056999999999995</v>
      </c>
      <c r="J13" s="22" t="s">
        <v>186</v>
      </c>
      <c r="K13" s="32">
        <f t="shared" si="1"/>
        <v>0.96694000000000002</v>
      </c>
      <c r="L13" s="22">
        <f t="shared" si="2"/>
        <v>1.0899283333333334</v>
      </c>
      <c r="M13" s="22">
        <f t="shared" si="2"/>
        <v>1.2129166666666666</v>
      </c>
      <c r="N13" s="22">
        <f t="shared" si="2"/>
        <v>1.3359049999999999</v>
      </c>
      <c r="O13" s="22">
        <f t="shared" si="2"/>
        <v>1.4588933333333332</v>
      </c>
      <c r="P13" s="22">
        <f t="shared" si="2"/>
        <v>1.5818816666666664</v>
      </c>
      <c r="Q13" s="32">
        <f t="shared" si="3"/>
        <v>1.7048700000000001</v>
      </c>
      <c r="R13" s="22">
        <f t="shared" si="4"/>
        <v>1.723306</v>
      </c>
      <c r="S13" s="22">
        <f t="shared" si="4"/>
        <v>1.7417419999999999</v>
      </c>
      <c r="T13" s="22">
        <f t="shared" si="4"/>
        <v>1.7601779999999998</v>
      </c>
      <c r="U13" s="22">
        <f t="shared" si="4"/>
        <v>1.7786139999999997</v>
      </c>
      <c r="V13" s="32">
        <f t="shared" si="5"/>
        <v>1.79705</v>
      </c>
      <c r="W13" s="22">
        <f t="shared" si="6"/>
        <v>1.6789020000000001</v>
      </c>
      <c r="X13" s="22">
        <f t="shared" si="6"/>
        <v>1.5607540000000002</v>
      </c>
      <c r="Y13" s="22">
        <f t="shared" si="6"/>
        <v>1.4426060000000003</v>
      </c>
      <c r="Z13" s="22">
        <f t="shared" si="6"/>
        <v>1.3244580000000004</v>
      </c>
      <c r="AA13" s="32">
        <f t="shared" si="7"/>
        <v>1.20631</v>
      </c>
      <c r="AB13" s="22">
        <f t="shared" si="8"/>
        <v>1.1204863999999999</v>
      </c>
      <c r="AC13" s="22">
        <f t="shared" si="8"/>
        <v>1.0346628</v>
      </c>
      <c r="AD13" s="22">
        <f t="shared" si="8"/>
        <v>0.94883919999999999</v>
      </c>
      <c r="AE13" s="22">
        <f t="shared" si="8"/>
        <v>0.86301559999999999</v>
      </c>
      <c r="AF13" s="32">
        <f t="shared" si="9"/>
        <v>0.77719199999999999</v>
      </c>
      <c r="AG13" s="22">
        <f t="shared" si="10"/>
        <v>0.74586759999999996</v>
      </c>
      <c r="AH13" s="22">
        <f t="shared" si="10"/>
        <v>0.71454319999999993</v>
      </c>
      <c r="AI13" s="22">
        <f t="shared" si="10"/>
        <v>0.6832187999999999</v>
      </c>
      <c r="AJ13" s="22">
        <f t="shared" si="10"/>
        <v>0.65189439999999987</v>
      </c>
      <c r="AK13" s="32">
        <f t="shared" si="11"/>
        <v>0.62056999999999995</v>
      </c>
    </row>
    <row r="14" spans="1:37" ht="15" thickBot="1" x14ac:dyDescent="0.4">
      <c r="A14" s="33" t="s">
        <v>188</v>
      </c>
      <c r="B14" s="34">
        <v>3171.0461116000001</v>
      </c>
      <c r="C14" s="35"/>
      <c r="D14" s="34">
        <v>4967.2016457</v>
      </c>
      <c r="E14" s="34">
        <v>5496.7535105000006</v>
      </c>
      <c r="F14" s="34">
        <v>4301.867317199999</v>
      </c>
      <c r="G14" s="34">
        <v>3545.9225123000001</v>
      </c>
      <c r="H14" s="34">
        <v>4321.7496292999995</v>
      </c>
      <c r="J14" s="22" t="s">
        <v>188</v>
      </c>
      <c r="K14" s="32">
        <f t="shared" si="1"/>
        <v>3171.0461116000001</v>
      </c>
      <c r="L14" s="22">
        <f t="shared" si="2"/>
        <v>3470.4053672833334</v>
      </c>
      <c r="M14" s="22">
        <f t="shared" si="2"/>
        <v>3769.7646229666666</v>
      </c>
      <c r="N14" s="22">
        <f t="shared" si="2"/>
        <v>4069.1238786499998</v>
      </c>
      <c r="O14" s="22">
        <f t="shared" si="2"/>
        <v>4368.4831343333335</v>
      </c>
      <c r="P14" s="22">
        <f t="shared" si="2"/>
        <v>4667.8423900166672</v>
      </c>
      <c r="Q14" s="32">
        <f t="shared" si="3"/>
        <v>4967.2016457</v>
      </c>
      <c r="R14" s="22">
        <f t="shared" si="4"/>
        <v>5073.1120186600001</v>
      </c>
      <c r="S14" s="22">
        <f t="shared" si="4"/>
        <v>5179.0223916200002</v>
      </c>
      <c r="T14" s="22">
        <f t="shared" si="4"/>
        <v>5284.9327645800004</v>
      </c>
      <c r="U14" s="22">
        <f t="shared" si="4"/>
        <v>5390.8431375400005</v>
      </c>
      <c r="V14" s="32">
        <f t="shared" si="5"/>
        <v>5496.7535105000006</v>
      </c>
      <c r="W14" s="22">
        <f t="shared" si="6"/>
        <v>5257.7762718399999</v>
      </c>
      <c r="X14" s="22">
        <f t="shared" si="6"/>
        <v>5018.7990331799992</v>
      </c>
      <c r="Y14" s="22">
        <f t="shared" si="6"/>
        <v>4779.8217945199985</v>
      </c>
      <c r="Z14" s="22">
        <f t="shared" si="6"/>
        <v>4540.8445558599979</v>
      </c>
      <c r="AA14" s="32">
        <f t="shared" si="7"/>
        <v>4301.867317199999</v>
      </c>
      <c r="AB14" s="22">
        <f t="shared" si="8"/>
        <v>4150.6783562199989</v>
      </c>
      <c r="AC14" s="22">
        <f t="shared" si="8"/>
        <v>3999.4893952399993</v>
      </c>
      <c r="AD14" s="22">
        <f t="shared" si="8"/>
        <v>3848.3004342599997</v>
      </c>
      <c r="AE14" s="22">
        <f t="shared" si="8"/>
        <v>3697.1114732800002</v>
      </c>
      <c r="AF14" s="32">
        <f t="shared" si="9"/>
        <v>3545.9225123000001</v>
      </c>
      <c r="AG14" s="22">
        <f t="shared" si="10"/>
        <v>3701.0879356999999</v>
      </c>
      <c r="AH14" s="22">
        <f t="shared" si="10"/>
        <v>3856.2533590999997</v>
      </c>
      <c r="AI14" s="22">
        <f t="shared" si="10"/>
        <v>4011.4187824999995</v>
      </c>
      <c r="AJ14" s="22">
        <f t="shared" si="10"/>
        <v>4166.5842058999997</v>
      </c>
      <c r="AK14" s="32">
        <f t="shared" si="11"/>
        <v>4321.7496292999995</v>
      </c>
    </row>
    <row r="15" spans="1:37" ht="15" thickTop="1" x14ac:dyDescent="0.35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B1419-B6CB-47D2-829B-4EAAEFA9A9E1}">
  <sheetPr>
    <tabColor rgb="FF0077B6"/>
  </sheetPr>
  <dimension ref="A1:BM85"/>
  <sheetViews>
    <sheetView workbookViewId="0">
      <selection activeCell="A15" sqref="A15:XFD15"/>
    </sheetView>
  </sheetViews>
  <sheetFormatPr defaultColWidth="9.36328125" defaultRowHeight="14.5" x14ac:dyDescent="0.35"/>
  <cols>
    <col min="1" max="1" width="44.26953125" style="22" customWidth="1"/>
    <col min="2" max="2" width="11.54296875" style="22" customWidth="1"/>
    <col min="3" max="3" width="7.1796875" style="22" customWidth="1"/>
    <col min="4" max="8" width="11.54296875" style="22" customWidth="1"/>
    <col min="9" max="16384" width="9.36328125" style="22"/>
  </cols>
  <sheetData>
    <row r="1" spans="1:37" ht="26.15" customHeight="1" x14ac:dyDescent="0.35">
      <c r="A1" s="21" t="s">
        <v>167</v>
      </c>
    </row>
    <row r="2" spans="1:37" ht="26.15" customHeight="1" x14ac:dyDescent="0.55000000000000004">
      <c r="A2" s="24" t="s">
        <v>189</v>
      </c>
    </row>
    <row r="3" spans="1:37" ht="26.15" customHeight="1" x14ac:dyDescent="0.55000000000000004">
      <c r="A3" s="24"/>
    </row>
    <row r="4" spans="1:37" ht="26.15" customHeight="1" x14ac:dyDescent="0.45">
      <c r="D4" s="25" t="s">
        <v>169</v>
      </c>
      <c r="E4" s="26"/>
      <c r="F4" s="26"/>
      <c r="G4" s="26"/>
      <c r="H4" s="26"/>
    </row>
    <row r="5" spans="1:37" ht="20" thickBot="1" x14ac:dyDescent="0.5">
      <c r="B5" s="27">
        <v>2024</v>
      </c>
      <c r="C5" s="27"/>
      <c r="D5" s="27">
        <v>2030</v>
      </c>
      <c r="E5" s="27">
        <v>2035</v>
      </c>
      <c r="F5" s="27">
        <v>2040</v>
      </c>
      <c r="G5" s="27">
        <v>2045</v>
      </c>
      <c r="H5" s="27">
        <v>2050</v>
      </c>
    </row>
    <row r="6" spans="1:37" ht="15" thickTop="1" x14ac:dyDescent="0.35"/>
    <row r="7" spans="1:37" ht="17.5" thickBot="1" x14ac:dyDescent="0.45">
      <c r="A7" s="29" t="s">
        <v>170</v>
      </c>
      <c r="B7" s="29"/>
      <c r="C7" s="29"/>
      <c r="D7" s="29"/>
      <c r="E7" s="29"/>
      <c r="F7" s="29"/>
      <c r="G7" s="29"/>
      <c r="H7" s="29"/>
      <c r="K7" s="23">
        <v>2024</v>
      </c>
      <c r="L7" s="22">
        <f>K7+1</f>
        <v>2025</v>
      </c>
      <c r="M7" s="22">
        <f t="shared" ref="M7:AK7" si="0">L7+1</f>
        <v>2026</v>
      </c>
      <c r="N7" s="22">
        <f t="shared" si="0"/>
        <v>2027</v>
      </c>
      <c r="O7" s="22">
        <f t="shared" si="0"/>
        <v>2028</v>
      </c>
      <c r="P7" s="22">
        <f t="shared" si="0"/>
        <v>2029</v>
      </c>
      <c r="Q7" s="23">
        <f t="shared" si="0"/>
        <v>2030</v>
      </c>
      <c r="R7" s="22">
        <f t="shared" si="0"/>
        <v>2031</v>
      </c>
      <c r="S7" s="22">
        <f t="shared" si="0"/>
        <v>2032</v>
      </c>
      <c r="T7" s="22">
        <f t="shared" si="0"/>
        <v>2033</v>
      </c>
      <c r="U7" s="22">
        <f t="shared" si="0"/>
        <v>2034</v>
      </c>
      <c r="V7" s="23">
        <f t="shared" si="0"/>
        <v>2035</v>
      </c>
      <c r="W7" s="22">
        <f t="shared" si="0"/>
        <v>2036</v>
      </c>
      <c r="X7" s="22">
        <f t="shared" si="0"/>
        <v>2037</v>
      </c>
      <c r="Y7" s="22">
        <f t="shared" si="0"/>
        <v>2038</v>
      </c>
      <c r="Z7" s="22">
        <f t="shared" si="0"/>
        <v>2039</v>
      </c>
      <c r="AA7" s="23">
        <f t="shared" si="0"/>
        <v>2040</v>
      </c>
      <c r="AB7" s="22">
        <f t="shared" si="0"/>
        <v>2041</v>
      </c>
      <c r="AC7" s="22">
        <f t="shared" si="0"/>
        <v>2042</v>
      </c>
      <c r="AD7" s="22">
        <f t="shared" si="0"/>
        <v>2043</v>
      </c>
      <c r="AE7" s="22">
        <f t="shared" si="0"/>
        <v>2044</v>
      </c>
      <c r="AF7" s="23">
        <f t="shared" si="0"/>
        <v>2045</v>
      </c>
      <c r="AG7" s="22">
        <f t="shared" si="0"/>
        <v>2046</v>
      </c>
      <c r="AH7" s="22">
        <f t="shared" si="0"/>
        <v>2047</v>
      </c>
      <c r="AI7" s="22">
        <f t="shared" si="0"/>
        <v>2048</v>
      </c>
      <c r="AJ7" s="22">
        <f t="shared" si="0"/>
        <v>2049</v>
      </c>
      <c r="AK7" s="23">
        <f t="shared" si="0"/>
        <v>2050</v>
      </c>
    </row>
    <row r="8" spans="1:37" ht="15" thickTop="1" x14ac:dyDescent="0.35">
      <c r="A8" s="22" t="s">
        <v>171</v>
      </c>
      <c r="B8" s="31">
        <v>534.23699999999997</v>
      </c>
      <c r="C8" s="31"/>
      <c r="D8" s="31">
        <v>1527.38</v>
      </c>
      <c r="E8" s="31">
        <v>1601.7</v>
      </c>
      <c r="F8" s="31">
        <v>1126.01</v>
      </c>
      <c r="G8" s="31">
        <v>1104.5899999999999</v>
      </c>
      <c r="H8" s="31">
        <v>1378.82</v>
      </c>
      <c r="J8" s="22" t="s">
        <v>171</v>
      </c>
      <c r="K8" s="32">
        <f t="shared" ref="K8:K14" si="1">B8</f>
        <v>534.23699999999997</v>
      </c>
      <c r="L8" s="22">
        <f t="shared" ref="L8:P14" si="2">K8+($Q8-$K8)/6</f>
        <v>699.76083333333327</v>
      </c>
      <c r="M8" s="22">
        <f t="shared" si="2"/>
        <v>865.28466666666668</v>
      </c>
      <c r="N8" s="22">
        <f t="shared" si="2"/>
        <v>1030.8085000000001</v>
      </c>
      <c r="O8" s="22">
        <f t="shared" si="2"/>
        <v>1196.3323333333335</v>
      </c>
      <c r="P8" s="22">
        <f t="shared" si="2"/>
        <v>1361.8561666666669</v>
      </c>
      <c r="Q8" s="32">
        <f t="shared" ref="Q8:Q14" si="3">D8</f>
        <v>1527.38</v>
      </c>
      <c r="R8" s="22">
        <f t="shared" ref="R8:U14" si="4">Q8+($V8-$Q8)/5</f>
        <v>1542.2440000000001</v>
      </c>
      <c r="S8" s="22">
        <f t="shared" si="4"/>
        <v>1557.1080000000002</v>
      </c>
      <c r="T8" s="22">
        <f t="shared" si="4"/>
        <v>1571.9720000000002</v>
      </c>
      <c r="U8" s="22">
        <f t="shared" si="4"/>
        <v>1586.8360000000002</v>
      </c>
      <c r="V8" s="32">
        <f t="shared" ref="V8:V14" si="5">E8</f>
        <v>1601.7</v>
      </c>
      <c r="W8" s="22">
        <f t="shared" ref="W8:Z14" si="6">V8+($AA8-$V8)/5</f>
        <v>1506.5620000000001</v>
      </c>
      <c r="X8" s="22">
        <f t="shared" si="6"/>
        <v>1411.4240000000002</v>
      </c>
      <c r="Y8" s="22">
        <f t="shared" si="6"/>
        <v>1316.2860000000003</v>
      </c>
      <c r="Z8" s="22">
        <f t="shared" si="6"/>
        <v>1221.1480000000004</v>
      </c>
      <c r="AA8" s="32">
        <f t="shared" ref="AA8:AA14" si="7">F8</f>
        <v>1126.01</v>
      </c>
      <c r="AB8" s="22">
        <f t="shared" ref="AB8:AE14" si="8">AA8+($AF8-$AA8)/5</f>
        <v>1121.7259999999999</v>
      </c>
      <c r="AC8" s="22">
        <f t="shared" si="8"/>
        <v>1117.4419999999998</v>
      </c>
      <c r="AD8" s="22">
        <f t="shared" si="8"/>
        <v>1113.1579999999997</v>
      </c>
      <c r="AE8" s="22">
        <f t="shared" si="8"/>
        <v>1108.8739999999996</v>
      </c>
      <c r="AF8" s="32">
        <f t="shared" ref="AF8:AF14" si="9">G8</f>
        <v>1104.5899999999999</v>
      </c>
      <c r="AG8" s="22">
        <f t="shared" ref="AG8:AJ14" si="10">AF8+($AK8-$AF8)/5</f>
        <v>1159.4359999999999</v>
      </c>
      <c r="AH8" s="22">
        <f t="shared" si="10"/>
        <v>1214.2819999999999</v>
      </c>
      <c r="AI8" s="22">
        <f t="shared" si="10"/>
        <v>1269.1279999999999</v>
      </c>
      <c r="AJ8" s="22">
        <f t="shared" si="10"/>
        <v>1323.9739999999999</v>
      </c>
      <c r="AK8" s="32">
        <f t="shared" ref="AK8:AK14" si="11">H8</f>
        <v>1378.82</v>
      </c>
    </row>
    <row r="9" spans="1:37" x14ac:dyDescent="0.35">
      <c r="A9" s="22" t="s">
        <v>174</v>
      </c>
      <c r="B9" s="31">
        <v>104.804</v>
      </c>
      <c r="C9" s="31"/>
      <c r="D9" s="31">
        <v>272.12900000000002</v>
      </c>
      <c r="E9" s="31">
        <v>294.56400000000002</v>
      </c>
      <c r="F9" s="31">
        <v>215.69399999999999</v>
      </c>
      <c r="G9" s="31">
        <v>201.72800000000001</v>
      </c>
      <c r="H9" s="31">
        <v>256.11399999999998</v>
      </c>
      <c r="J9" s="22" t="s">
        <v>174</v>
      </c>
      <c r="K9" s="32">
        <f t="shared" si="1"/>
        <v>104.804</v>
      </c>
      <c r="L9" s="22">
        <f t="shared" si="2"/>
        <v>132.69150000000002</v>
      </c>
      <c r="M9" s="22">
        <f t="shared" si="2"/>
        <v>160.57900000000001</v>
      </c>
      <c r="N9" s="22">
        <f t="shared" si="2"/>
        <v>188.4665</v>
      </c>
      <c r="O9" s="22">
        <f t="shared" si="2"/>
        <v>216.35399999999998</v>
      </c>
      <c r="P9" s="22">
        <f t="shared" si="2"/>
        <v>244.24149999999997</v>
      </c>
      <c r="Q9" s="32">
        <f t="shared" si="3"/>
        <v>272.12900000000002</v>
      </c>
      <c r="R9" s="22">
        <f t="shared" si="4"/>
        <v>276.61600000000004</v>
      </c>
      <c r="S9" s="22">
        <f t="shared" si="4"/>
        <v>281.10300000000007</v>
      </c>
      <c r="T9" s="22">
        <f t="shared" si="4"/>
        <v>285.59000000000009</v>
      </c>
      <c r="U9" s="22">
        <f t="shared" si="4"/>
        <v>290.07700000000011</v>
      </c>
      <c r="V9" s="32">
        <f t="shared" si="5"/>
        <v>294.56400000000002</v>
      </c>
      <c r="W9" s="22">
        <f t="shared" si="6"/>
        <v>278.79000000000002</v>
      </c>
      <c r="X9" s="22">
        <f t="shared" si="6"/>
        <v>263.01600000000002</v>
      </c>
      <c r="Y9" s="22">
        <f t="shared" si="6"/>
        <v>247.24200000000002</v>
      </c>
      <c r="Z9" s="22">
        <f t="shared" si="6"/>
        <v>231.46800000000002</v>
      </c>
      <c r="AA9" s="32">
        <f t="shared" si="7"/>
        <v>215.69399999999999</v>
      </c>
      <c r="AB9" s="22">
        <f t="shared" si="8"/>
        <v>212.9008</v>
      </c>
      <c r="AC9" s="22">
        <f t="shared" si="8"/>
        <v>210.10760000000002</v>
      </c>
      <c r="AD9" s="22">
        <f t="shared" si="8"/>
        <v>207.31440000000003</v>
      </c>
      <c r="AE9" s="22">
        <f t="shared" si="8"/>
        <v>204.52120000000005</v>
      </c>
      <c r="AF9" s="32">
        <f t="shared" si="9"/>
        <v>201.72800000000001</v>
      </c>
      <c r="AG9" s="22">
        <f t="shared" si="10"/>
        <v>212.6052</v>
      </c>
      <c r="AH9" s="22">
        <f t="shared" si="10"/>
        <v>223.48239999999998</v>
      </c>
      <c r="AI9" s="22">
        <f t="shared" si="10"/>
        <v>234.35959999999997</v>
      </c>
      <c r="AJ9" s="22">
        <f t="shared" si="10"/>
        <v>245.23679999999996</v>
      </c>
      <c r="AK9" s="32">
        <f t="shared" si="11"/>
        <v>256.11399999999998</v>
      </c>
    </row>
    <row r="10" spans="1:37" x14ac:dyDescent="0.35">
      <c r="A10" s="22" t="s">
        <v>165</v>
      </c>
      <c r="B10" s="31">
        <v>47.45</v>
      </c>
      <c r="C10" s="31"/>
      <c r="D10" s="31">
        <v>119.663</v>
      </c>
      <c r="E10" s="31">
        <v>130.19499999999999</v>
      </c>
      <c r="F10" s="31">
        <v>96.044600000000003</v>
      </c>
      <c r="G10" s="31">
        <v>87.406899999999993</v>
      </c>
      <c r="H10" s="31">
        <v>110.02200000000001</v>
      </c>
      <c r="J10" s="22" t="s">
        <v>165</v>
      </c>
      <c r="K10" s="32">
        <f t="shared" si="1"/>
        <v>47.45</v>
      </c>
      <c r="L10" s="22">
        <f t="shared" si="2"/>
        <v>59.485500000000002</v>
      </c>
      <c r="M10" s="22">
        <f t="shared" si="2"/>
        <v>71.521000000000001</v>
      </c>
      <c r="N10" s="22">
        <f t="shared" si="2"/>
        <v>83.5565</v>
      </c>
      <c r="O10" s="22">
        <f t="shared" si="2"/>
        <v>95.591999999999999</v>
      </c>
      <c r="P10" s="22">
        <f t="shared" si="2"/>
        <v>107.6275</v>
      </c>
      <c r="Q10" s="32">
        <f t="shared" si="3"/>
        <v>119.663</v>
      </c>
      <c r="R10" s="22">
        <f t="shared" si="4"/>
        <v>121.76939999999999</v>
      </c>
      <c r="S10" s="22">
        <f t="shared" si="4"/>
        <v>123.87579999999998</v>
      </c>
      <c r="T10" s="22">
        <f t="shared" si="4"/>
        <v>125.98219999999998</v>
      </c>
      <c r="U10" s="22">
        <f t="shared" si="4"/>
        <v>128.08859999999999</v>
      </c>
      <c r="V10" s="32">
        <f t="shared" si="5"/>
        <v>130.19499999999999</v>
      </c>
      <c r="W10" s="22">
        <f t="shared" si="6"/>
        <v>123.36492</v>
      </c>
      <c r="X10" s="22">
        <f t="shared" si="6"/>
        <v>116.53484</v>
      </c>
      <c r="Y10" s="22">
        <f t="shared" si="6"/>
        <v>109.70476000000001</v>
      </c>
      <c r="Z10" s="22">
        <f t="shared" si="6"/>
        <v>102.87468000000001</v>
      </c>
      <c r="AA10" s="32">
        <f t="shared" si="7"/>
        <v>96.044600000000003</v>
      </c>
      <c r="AB10" s="22">
        <f t="shared" si="8"/>
        <v>94.317059999999998</v>
      </c>
      <c r="AC10" s="22">
        <f t="shared" si="8"/>
        <v>92.589519999999993</v>
      </c>
      <c r="AD10" s="22">
        <f t="shared" si="8"/>
        <v>90.861979999999988</v>
      </c>
      <c r="AE10" s="22">
        <f t="shared" si="8"/>
        <v>89.134439999999984</v>
      </c>
      <c r="AF10" s="32">
        <f t="shared" si="9"/>
        <v>87.406899999999993</v>
      </c>
      <c r="AG10" s="22">
        <f t="shared" si="10"/>
        <v>91.929919999999996</v>
      </c>
      <c r="AH10" s="22">
        <f t="shared" si="10"/>
        <v>96.452939999999998</v>
      </c>
      <c r="AI10" s="22">
        <f t="shared" si="10"/>
        <v>100.97596</v>
      </c>
      <c r="AJ10" s="22">
        <f t="shared" si="10"/>
        <v>105.49898</v>
      </c>
      <c r="AK10" s="32">
        <f t="shared" si="11"/>
        <v>110.02200000000001</v>
      </c>
    </row>
    <row r="11" spans="1:37" x14ac:dyDescent="0.35">
      <c r="A11" s="22" t="s">
        <v>176</v>
      </c>
      <c r="B11" s="31">
        <v>8.0010200000000005</v>
      </c>
      <c r="C11" s="31"/>
      <c r="D11" s="31">
        <v>23.116099999999999</v>
      </c>
      <c r="E11" s="31">
        <v>23.302199999999999</v>
      </c>
      <c r="F11" s="31">
        <v>15.6447</v>
      </c>
      <c r="G11" s="31">
        <v>15.3924</v>
      </c>
      <c r="H11" s="31">
        <v>18.563300000000002</v>
      </c>
      <c r="J11" s="22" t="s">
        <v>176</v>
      </c>
      <c r="K11" s="32">
        <f t="shared" si="1"/>
        <v>8.0010200000000005</v>
      </c>
      <c r="L11" s="22">
        <f t="shared" si="2"/>
        <v>10.520200000000001</v>
      </c>
      <c r="M11" s="22">
        <f t="shared" si="2"/>
        <v>13.039380000000001</v>
      </c>
      <c r="N11" s="22">
        <f t="shared" si="2"/>
        <v>15.558560000000002</v>
      </c>
      <c r="O11" s="22">
        <f t="shared" si="2"/>
        <v>18.077740000000002</v>
      </c>
      <c r="P11" s="22">
        <f t="shared" si="2"/>
        <v>20.596920000000001</v>
      </c>
      <c r="Q11" s="32">
        <f t="shared" si="3"/>
        <v>23.116099999999999</v>
      </c>
      <c r="R11" s="22">
        <f t="shared" si="4"/>
        <v>23.153320000000001</v>
      </c>
      <c r="S11" s="22">
        <f t="shared" si="4"/>
        <v>23.190540000000002</v>
      </c>
      <c r="T11" s="22">
        <f t="shared" si="4"/>
        <v>23.227760000000004</v>
      </c>
      <c r="U11" s="22">
        <f t="shared" si="4"/>
        <v>23.264980000000005</v>
      </c>
      <c r="V11" s="32">
        <f t="shared" si="5"/>
        <v>23.302199999999999</v>
      </c>
      <c r="W11" s="22">
        <f t="shared" si="6"/>
        <v>21.770699999999998</v>
      </c>
      <c r="X11" s="22">
        <f t="shared" si="6"/>
        <v>20.239199999999997</v>
      </c>
      <c r="Y11" s="22">
        <f t="shared" si="6"/>
        <v>18.707699999999996</v>
      </c>
      <c r="Z11" s="22">
        <f t="shared" si="6"/>
        <v>17.176199999999994</v>
      </c>
      <c r="AA11" s="32">
        <f t="shared" si="7"/>
        <v>15.6447</v>
      </c>
      <c r="AB11" s="22">
        <f t="shared" si="8"/>
        <v>15.594240000000001</v>
      </c>
      <c r="AC11" s="22">
        <f t="shared" si="8"/>
        <v>15.543780000000002</v>
      </c>
      <c r="AD11" s="22">
        <f t="shared" si="8"/>
        <v>15.493320000000002</v>
      </c>
      <c r="AE11" s="22">
        <f t="shared" si="8"/>
        <v>15.442860000000003</v>
      </c>
      <c r="AF11" s="32">
        <f t="shared" si="9"/>
        <v>15.3924</v>
      </c>
      <c r="AG11" s="22">
        <f t="shared" si="10"/>
        <v>16.026579999999999</v>
      </c>
      <c r="AH11" s="22">
        <f t="shared" si="10"/>
        <v>16.66076</v>
      </c>
      <c r="AI11" s="22">
        <f t="shared" si="10"/>
        <v>17.29494</v>
      </c>
      <c r="AJ11" s="22">
        <f t="shared" si="10"/>
        <v>17.929120000000001</v>
      </c>
      <c r="AK11" s="32">
        <f t="shared" si="11"/>
        <v>18.563300000000002</v>
      </c>
    </row>
    <row r="12" spans="1:37" x14ac:dyDescent="0.35">
      <c r="A12" s="22" t="s">
        <v>177</v>
      </c>
      <c r="B12" s="31">
        <v>0.85681799999999997</v>
      </c>
      <c r="C12" s="31"/>
      <c r="D12" s="31">
        <v>2.4776799999999999</v>
      </c>
      <c r="E12" s="31">
        <v>2.5605799999999999</v>
      </c>
      <c r="F12" s="31">
        <v>1.76989</v>
      </c>
      <c r="G12" s="31">
        <v>1.76163</v>
      </c>
      <c r="H12" s="31">
        <v>2.1915499999999999</v>
      </c>
      <c r="J12" s="22" t="s">
        <v>177</v>
      </c>
      <c r="K12" s="32">
        <f t="shared" si="1"/>
        <v>0.85681799999999997</v>
      </c>
      <c r="L12" s="22">
        <f t="shared" si="2"/>
        <v>1.1269616666666666</v>
      </c>
      <c r="M12" s="22">
        <f t="shared" si="2"/>
        <v>1.3971053333333332</v>
      </c>
      <c r="N12" s="22">
        <f t="shared" si="2"/>
        <v>1.6672489999999998</v>
      </c>
      <c r="O12" s="22">
        <f t="shared" si="2"/>
        <v>1.9373926666666663</v>
      </c>
      <c r="P12" s="22">
        <f t="shared" si="2"/>
        <v>2.2075363333333331</v>
      </c>
      <c r="Q12" s="32">
        <f t="shared" si="3"/>
        <v>2.4776799999999999</v>
      </c>
      <c r="R12" s="22">
        <f t="shared" si="4"/>
        <v>2.4942599999999997</v>
      </c>
      <c r="S12" s="22">
        <f t="shared" si="4"/>
        <v>2.5108399999999995</v>
      </c>
      <c r="T12" s="22">
        <f t="shared" si="4"/>
        <v>2.5274199999999993</v>
      </c>
      <c r="U12" s="22">
        <f t="shared" si="4"/>
        <v>2.5439999999999992</v>
      </c>
      <c r="V12" s="32">
        <f t="shared" si="5"/>
        <v>2.5605799999999999</v>
      </c>
      <c r="W12" s="22">
        <f t="shared" si="6"/>
        <v>2.4024419999999997</v>
      </c>
      <c r="X12" s="22">
        <f t="shared" si="6"/>
        <v>2.2443039999999996</v>
      </c>
      <c r="Y12" s="22">
        <f t="shared" si="6"/>
        <v>2.0861659999999995</v>
      </c>
      <c r="Z12" s="22">
        <f t="shared" si="6"/>
        <v>1.9280279999999996</v>
      </c>
      <c r="AA12" s="32">
        <f t="shared" si="7"/>
        <v>1.76989</v>
      </c>
      <c r="AB12" s="22">
        <f t="shared" si="8"/>
        <v>1.768238</v>
      </c>
      <c r="AC12" s="22">
        <f t="shared" si="8"/>
        <v>1.766586</v>
      </c>
      <c r="AD12" s="22">
        <f t="shared" si="8"/>
        <v>1.764934</v>
      </c>
      <c r="AE12" s="22">
        <f t="shared" si="8"/>
        <v>1.763282</v>
      </c>
      <c r="AF12" s="32">
        <f t="shared" si="9"/>
        <v>1.76163</v>
      </c>
      <c r="AG12" s="22">
        <f t="shared" si="10"/>
        <v>1.8476140000000001</v>
      </c>
      <c r="AH12" s="22">
        <f t="shared" si="10"/>
        <v>1.9335980000000001</v>
      </c>
      <c r="AI12" s="22">
        <f t="shared" si="10"/>
        <v>2.0195820000000002</v>
      </c>
      <c r="AJ12" s="22">
        <f t="shared" si="10"/>
        <v>2.105566</v>
      </c>
      <c r="AK12" s="32">
        <f t="shared" si="11"/>
        <v>2.1915499999999999</v>
      </c>
    </row>
    <row r="13" spans="1:37" x14ac:dyDescent="0.35">
      <c r="A13" s="22" t="s">
        <v>178</v>
      </c>
      <c r="B13" s="31">
        <v>1.3376300000000001</v>
      </c>
      <c r="C13" s="31"/>
      <c r="D13" s="31">
        <v>4.1895100000000003</v>
      </c>
      <c r="E13" s="31">
        <v>4.3501500000000002</v>
      </c>
      <c r="F13" s="31">
        <v>3.0092500000000002</v>
      </c>
      <c r="G13" s="31">
        <v>3.21549</v>
      </c>
      <c r="H13" s="31">
        <v>4.1447399999999996</v>
      </c>
      <c r="J13" s="22" t="s">
        <v>178</v>
      </c>
      <c r="K13" s="32">
        <f t="shared" si="1"/>
        <v>1.3376300000000001</v>
      </c>
      <c r="L13" s="22">
        <f t="shared" si="2"/>
        <v>1.8129433333333336</v>
      </c>
      <c r="M13" s="22">
        <f t="shared" si="2"/>
        <v>2.2882566666666668</v>
      </c>
      <c r="N13" s="22">
        <f t="shared" si="2"/>
        <v>2.7635700000000001</v>
      </c>
      <c r="O13" s="22">
        <f t="shared" si="2"/>
        <v>3.2388833333333333</v>
      </c>
      <c r="P13" s="22">
        <f t="shared" si="2"/>
        <v>3.7141966666666666</v>
      </c>
      <c r="Q13" s="32">
        <f t="shared" si="3"/>
        <v>4.1895100000000003</v>
      </c>
      <c r="R13" s="22">
        <f t="shared" si="4"/>
        <v>4.2216380000000004</v>
      </c>
      <c r="S13" s="22">
        <f t="shared" si="4"/>
        <v>4.2537660000000006</v>
      </c>
      <c r="T13" s="22">
        <f t="shared" si="4"/>
        <v>4.2858940000000008</v>
      </c>
      <c r="U13" s="22">
        <f t="shared" si="4"/>
        <v>4.3180220000000009</v>
      </c>
      <c r="V13" s="32">
        <f t="shared" si="5"/>
        <v>4.3501500000000002</v>
      </c>
      <c r="W13" s="22">
        <f t="shared" si="6"/>
        <v>4.0819700000000001</v>
      </c>
      <c r="X13" s="22">
        <f t="shared" si="6"/>
        <v>3.81379</v>
      </c>
      <c r="Y13" s="22">
        <f t="shared" si="6"/>
        <v>3.5456099999999999</v>
      </c>
      <c r="Z13" s="22">
        <f t="shared" si="6"/>
        <v>3.2774299999999998</v>
      </c>
      <c r="AA13" s="32">
        <f t="shared" si="7"/>
        <v>3.0092500000000002</v>
      </c>
      <c r="AB13" s="22">
        <f t="shared" si="8"/>
        <v>3.0504980000000002</v>
      </c>
      <c r="AC13" s="22">
        <f t="shared" si="8"/>
        <v>3.0917460000000001</v>
      </c>
      <c r="AD13" s="22">
        <f t="shared" si="8"/>
        <v>3.1329940000000001</v>
      </c>
      <c r="AE13" s="22">
        <f t="shared" si="8"/>
        <v>3.174242</v>
      </c>
      <c r="AF13" s="32">
        <f t="shared" si="9"/>
        <v>3.21549</v>
      </c>
      <c r="AG13" s="22">
        <f t="shared" si="10"/>
        <v>3.4013399999999998</v>
      </c>
      <c r="AH13" s="22">
        <f t="shared" si="10"/>
        <v>3.5871899999999997</v>
      </c>
      <c r="AI13" s="22">
        <f t="shared" si="10"/>
        <v>3.7730399999999995</v>
      </c>
      <c r="AJ13" s="22">
        <f t="shared" si="10"/>
        <v>3.9588899999999994</v>
      </c>
      <c r="AK13" s="32">
        <f t="shared" si="11"/>
        <v>4.1447399999999996</v>
      </c>
    </row>
    <row r="14" spans="1:37" x14ac:dyDescent="0.35">
      <c r="A14" s="22" t="s">
        <v>179</v>
      </c>
      <c r="B14" s="31">
        <v>0.30028899999999997</v>
      </c>
      <c r="C14" s="31"/>
      <c r="D14" s="31">
        <v>0.93379599999999996</v>
      </c>
      <c r="E14" s="31">
        <v>0.99313899999999999</v>
      </c>
      <c r="F14" s="31">
        <v>0.70588700000000004</v>
      </c>
      <c r="G14" s="31">
        <v>0.75834199999999996</v>
      </c>
      <c r="H14" s="31">
        <v>0.998583</v>
      </c>
      <c r="J14" s="22" t="s">
        <v>179</v>
      </c>
      <c r="K14" s="32">
        <f t="shared" si="1"/>
        <v>0.30028899999999997</v>
      </c>
      <c r="L14" s="22">
        <f t="shared" si="2"/>
        <v>0.4058735</v>
      </c>
      <c r="M14" s="22">
        <f t="shared" si="2"/>
        <v>0.51145799999999997</v>
      </c>
      <c r="N14" s="22">
        <f t="shared" si="2"/>
        <v>0.61704249999999994</v>
      </c>
      <c r="O14" s="22">
        <f t="shared" si="2"/>
        <v>0.72262699999999991</v>
      </c>
      <c r="P14" s="22">
        <f t="shared" si="2"/>
        <v>0.82821149999999988</v>
      </c>
      <c r="Q14" s="32">
        <f t="shared" si="3"/>
        <v>0.93379599999999996</v>
      </c>
      <c r="R14" s="22">
        <f t="shared" si="4"/>
        <v>0.94566459999999997</v>
      </c>
      <c r="S14" s="22">
        <f t="shared" si="4"/>
        <v>0.95753319999999997</v>
      </c>
      <c r="T14" s="22">
        <f t="shared" si="4"/>
        <v>0.96940179999999998</v>
      </c>
      <c r="U14" s="22">
        <f t="shared" si="4"/>
        <v>0.98127039999999999</v>
      </c>
      <c r="V14" s="32">
        <f t="shared" si="5"/>
        <v>0.99313899999999999</v>
      </c>
      <c r="W14" s="22">
        <f t="shared" si="6"/>
        <v>0.93568859999999998</v>
      </c>
      <c r="X14" s="22">
        <f t="shared" si="6"/>
        <v>0.87823819999999997</v>
      </c>
      <c r="Y14" s="22">
        <f t="shared" si="6"/>
        <v>0.82078779999999996</v>
      </c>
      <c r="Z14" s="22">
        <f t="shared" si="6"/>
        <v>0.76333739999999994</v>
      </c>
      <c r="AA14" s="32">
        <f t="shared" si="7"/>
        <v>0.70588700000000004</v>
      </c>
      <c r="AB14" s="22">
        <f t="shared" si="8"/>
        <v>0.71637800000000007</v>
      </c>
      <c r="AC14" s="22">
        <f t="shared" si="8"/>
        <v>0.7268690000000001</v>
      </c>
      <c r="AD14" s="22">
        <f t="shared" si="8"/>
        <v>0.73736000000000013</v>
      </c>
      <c r="AE14" s="22">
        <f t="shared" si="8"/>
        <v>0.74785100000000015</v>
      </c>
      <c r="AF14" s="32">
        <f t="shared" si="9"/>
        <v>0.75834199999999996</v>
      </c>
      <c r="AG14" s="22">
        <f t="shared" si="10"/>
        <v>0.80639019999999995</v>
      </c>
      <c r="AH14" s="22">
        <f t="shared" si="10"/>
        <v>0.85443839999999993</v>
      </c>
      <c r="AI14" s="22">
        <f t="shared" si="10"/>
        <v>0.90248659999999992</v>
      </c>
      <c r="AJ14" s="22">
        <f t="shared" si="10"/>
        <v>0.9505347999999999</v>
      </c>
      <c r="AK14" s="32">
        <f t="shared" si="11"/>
        <v>0.998583</v>
      </c>
    </row>
    <row r="17" spans="1:37" ht="17.5" thickBot="1" x14ac:dyDescent="0.45">
      <c r="A17" s="29" t="s">
        <v>193</v>
      </c>
      <c r="B17" s="29"/>
      <c r="C17" s="29"/>
      <c r="D17" s="29"/>
      <c r="E17" s="29"/>
      <c r="F17" s="29"/>
      <c r="G17" s="29"/>
      <c r="H17" s="29"/>
      <c r="K17" s="23">
        <v>2024</v>
      </c>
      <c r="L17" s="22">
        <f>K17+1</f>
        <v>2025</v>
      </c>
      <c r="M17" s="22">
        <f t="shared" ref="M17:AK17" si="12">L17+1</f>
        <v>2026</v>
      </c>
      <c r="N17" s="22">
        <f t="shared" si="12"/>
        <v>2027</v>
      </c>
      <c r="O17" s="22">
        <f t="shared" si="12"/>
        <v>2028</v>
      </c>
      <c r="P17" s="22">
        <f t="shared" si="12"/>
        <v>2029</v>
      </c>
      <c r="Q17" s="23">
        <f t="shared" si="12"/>
        <v>2030</v>
      </c>
      <c r="R17" s="22">
        <f t="shared" si="12"/>
        <v>2031</v>
      </c>
      <c r="S17" s="22">
        <f t="shared" si="12"/>
        <v>2032</v>
      </c>
      <c r="T17" s="22">
        <f t="shared" si="12"/>
        <v>2033</v>
      </c>
      <c r="U17" s="22">
        <f t="shared" si="12"/>
        <v>2034</v>
      </c>
      <c r="V17" s="23">
        <f t="shared" si="12"/>
        <v>2035</v>
      </c>
      <c r="W17" s="22">
        <f t="shared" si="12"/>
        <v>2036</v>
      </c>
      <c r="X17" s="22">
        <f t="shared" si="12"/>
        <v>2037</v>
      </c>
      <c r="Y17" s="22">
        <f t="shared" si="12"/>
        <v>2038</v>
      </c>
      <c r="Z17" s="22">
        <f t="shared" si="12"/>
        <v>2039</v>
      </c>
      <c r="AA17" s="23">
        <f t="shared" si="12"/>
        <v>2040</v>
      </c>
      <c r="AB17" s="22">
        <f t="shared" si="12"/>
        <v>2041</v>
      </c>
      <c r="AC17" s="22">
        <f t="shared" si="12"/>
        <v>2042</v>
      </c>
      <c r="AD17" s="22">
        <f t="shared" si="12"/>
        <v>2043</v>
      </c>
      <c r="AE17" s="22">
        <f t="shared" si="12"/>
        <v>2044</v>
      </c>
      <c r="AF17" s="23">
        <f t="shared" si="12"/>
        <v>2045</v>
      </c>
      <c r="AG17" s="22">
        <f t="shared" si="12"/>
        <v>2046</v>
      </c>
      <c r="AH17" s="22">
        <f t="shared" si="12"/>
        <v>2047</v>
      </c>
      <c r="AI17" s="22">
        <f t="shared" si="12"/>
        <v>2048</v>
      </c>
      <c r="AJ17" s="22">
        <f t="shared" si="12"/>
        <v>2049</v>
      </c>
      <c r="AK17" s="23">
        <f t="shared" si="12"/>
        <v>2050</v>
      </c>
    </row>
    <row r="18" spans="1:37" ht="15" thickTop="1" x14ac:dyDescent="0.35">
      <c r="A18" s="22" t="s">
        <v>190</v>
      </c>
      <c r="B18" s="31">
        <v>0.189829</v>
      </c>
      <c r="C18" s="31"/>
      <c r="D18" s="31">
        <v>0.48496800000000001</v>
      </c>
      <c r="E18" s="31">
        <v>0.45598699999999998</v>
      </c>
      <c r="F18" s="31">
        <v>0.27813199999999999</v>
      </c>
      <c r="G18" s="31">
        <v>0.28866399999999998</v>
      </c>
      <c r="H18" s="31">
        <v>0.33887600000000001</v>
      </c>
      <c r="J18" s="22" t="s">
        <v>171</v>
      </c>
      <c r="K18" s="32">
        <f>B18</f>
        <v>0.189829</v>
      </c>
      <c r="L18" s="22">
        <f>K18+($Q18-$K18)/6</f>
        <v>0.23901883333333335</v>
      </c>
      <c r="M18" s="22">
        <f t="shared" ref="M18:P18" si="13">L18+($Q18-$K18)/6</f>
        <v>0.28820866666666667</v>
      </c>
      <c r="N18" s="22">
        <f t="shared" si="13"/>
        <v>0.33739849999999999</v>
      </c>
      <c r="O18" s="22">
        <f t="shared" si="13"/>
        <v>0.38658833333333331</v>
      </c>
      <c r="P18" s="22">
        <f t="shared" si="13"/>
        <v>0.43577816666666663</v>
      </c>
      <c r="Q18" s="32">
        <f>D18</f>
        <v>0.48496800000000001</v>
      </c>
      <c r="R18" s="22">
        <f>Q18+($V18-$Q18)/5</f>
        <v>0.47917179999999998</v>
      </c>
      <c r="S18" s="22">
        <f t="shared" ref="S18:U18" si="14">R18+($V18-$Q18)/5</f>
        <v>0.47337559999999995</v>
      </c>
      <c r="T18" s="22">
        <f t="shared" si="14"/>
        <v>0.46757939999999992</v>
      </c>
      <c r="U18" s="22">
        <f t="shared" si="14"/>
        <v>0.46178319999999989</v>
      </c>
      <c r="V18" s="32">
        <f>E18</f>
        <v>0.45598699999999998</v>
      </c>
      <c r="W18" s="22">
        <f>V18+($AA18-$V18)/5</f>
        <v>0.42041599999999996</v>
      </c>
      <c r="X18" s="22">
        <f t="shared" ref="X18:Z18" si="15">W18+($AA18-$V18)/5</f>
        <v>0.38484499999999994</v>
      </c>
      <c r="Y18" s="22">
        <f t="shared" si="15"/>
        <v>0.34927399999999992</v>
      </c>
      <c r="Z18" s="22">
        <f t="shared" si="15"/>
        <v>0.3137029999999999</v>
      </c>
      <c r="AA18" s="32">
        <f>F18</f>
        <v>0.27813199999999999</v>
      </c>
      <c r="AB18" s="22">
        <f>AA18+($AF18-$AA18)/5</f>
        <v>0.2802384</v>
      </c>
      <c r="AC18" s="22">
        <f t="shared" ref="AC18:AE18" si="16">AB18+($AF18-$AA18)/5</f>
        <v>0.28234480000000001</v>
      </c>
      <c r="AD18" s="22">
        <f t="shared" si="16"/>
        <v>0.28445120000000002</v>
      </c>
      <c r="AE18" s="22">
        <f t="shared" si="16"/>
        <v>0.28655760000000002</v>
      </c>
      <c r="AF18" s="32">
        <f>G18</f>
        <v>0.28866399999999998</v>
      </c>
      <c r="AG18" s="22">
        <f>AF18+($AK18-$AF18)/5</f>
        <v>0.29870639999999998</v>
      </c>
      <c r="AH18" s="22">
        <f t="shared" ref="AH18:AJ18" si="17">AG18+($AK18-$AF18)/5</f>
        <v>0.30874879999999999</v>
      </c>
      <c r="AI18" s="22">
        <f t="shared" si="17"/>
        <v>0.3187912</v>
      </c>
      <c r="AJ18" s="22">
        <f t="shared" si="17"/>
        <v>0.3288336</v>
      </c>
      <c r="AK18" s="32">
        <f>H18</f>
        <v>0.33887600000000001</v>
      </c>
    </row>
    <row r="19" spans="1:37" x14ac:dyDescent="0.35">
      <c r="A19" s="22" t="s">
        <v>191</v>
      </c>
      <c r="B19" s="31">
        <v>66.165199999999999</v>
      </c>
      <c r="C19" s="31"/>
      <c r="D19" s="31">
        <v>173.696</v>
      </c>
      <c r="E19" s="31">
        <v>187.72800000000001</v>
      </c>
      <c r="F19" s="31">
        <v>137.124</v>
      </c>
      <c r="G19" s="31">
        <v>128.851</v>
      </c>
      <c r="H19" s="31">
        <v>162.88999999999999</v>
      </c>
      <c r="J19" s="22" t="s">
        <v>172</v>
      </c>
      <c r="K19" s="32">
        <f t="shared" ref="K19:K29" si="18">B19</f>
        <v>66.165199999999999</v>
      </c>
      <c r="L19" s="22">
        <f t="shared" ref="L19:P29" si="19">K19+($Q19-$K19)/6</f>
        <v>84.087000000000003</v>
      </c>
      <c r="M19" s="22">
        <f t="shared" si="19"/>
        <v>102.00880000000001</v>
      </c>
      <c r="N19" s="22">
        <f t="shared" si="19"/>
        <v>119.93060000000001</v>
      </c>
      <c r="O19" s="22">
        <f t="shared" si="19"/>
        <v>137.85240000000002</v>
      </c>
      <c r="P19" s="22">
        <f t="shared" si="19"/>
        <v>155.77420000000001</v>
      </c>
      <c r="Q19" s="32">
        <f t="shared" ref="Q19:Q29" si="20">D19</f>
        <v>173.696</v>
      </c>
      <c r="R19" s="22">
        <f t="shared" ref="R19:U29" si="21">Q19+($V19-$Q19)/5</f>
        <v>176.50239999999999</v>
      </c>
      <c r="S19" s="22">
        <f t="shared" si="21"/>
        <v>179.30879999999999</v>
      </c>
      <c r="T19" s="22">
        <f t="shared" si="21"/>
        <v>182.11519999999999</v>
      </c>
      <c r="U19" s="22">
        <f t="shared" si="21"/>
        <v>184.92159999999998</v>
      </c>
      <c r="V19" s="32">
        <f t="shared" ref="V19:V29" si="22">E19</f>
        <v>187.72800000000001</v>
      </c>
      <c r="W19" s="22">
        <f t="shared" ref="W19:Z29" si="23">V19+($AA19-$V19)/5</f>
        <v>177.60720000000001</v>
      </c>
      <c r="X19" s="22">
        <f t="shared" si="23"/>
        <v>167.4864</v>
      </c>
      <c r="Y19" s="22">
        <f t="shared" si="23"/>
        <v>157.3656</v>
      </c>
      <c r="Z19" s="22">
        <f t="shared" si="23"/>
        <v>147.2448</v>
      </c>
      <c r="AA19" s="32">
        <f t="shared" ref="AA19:AA29" si="24">F19</f>
        <v>137.124</v>
      </c>
      <c r="AB19" s="22">
        <f t="shared" ref="AB19:AE29" si="25">AA19+($AF19-$AA19)/5</f>
        <v>135.46940000000001</v>
      </c>
      <c r="AC19" s="22">
        <f t="shared" si="25"/>
        <v>133.81480000000002</v>
      </c>
      <c r="AD19" s="22">
        <f t="shared" si="25"/>
        <v>132.16020000000003</v>
      </c>
      <c r="AE19" s="22">
        <f t="shared" si="25"/>
        <v>130.50560000000004</v>
      </c>
      <c r="AF19" s="32">
        <f t="shared" ref="AF19:AF29" si="26">G19</f>
        <v>128.851</v>
      </c>
      <c r="AG19" s="22">
        <f t="shared" ref="AG19:AJ29" si="27">AF19+($AK19-$AF19)/5</f>
        <v>135.65879999999999</v>
      </c>
      <c r="AH19" s="22">
        <f t="shared" si="27"/>
        <v>142.46659999999997</v>
      </c>
      <c r="AI19" s="22">
        <f t="shared" si="27"/>
        <v>149.27439999999996</v>
      </c>
      <c r="AJ19" s="22">
        <f t="shared" si="27"/>
        <v>156.08219999999994</v>
      </c>
      <c r="AK19" s="32">
        <f t="shared" ref="AK19:AK29" si="28">H19</f>
        <v>162.88999999999999</v>
      </c>
    </row>
    <row r="20" spans="1:37" x14ac:dyDescent="0.35">
      <c r="A20" s="22" t="s">
        <v>171</v>
      </c>
      <c r="B20" s="31">
        <v>539.83799999999997</v>
      </c>
      <c r="C20" s="31"/>
      <c r="D20" s="31">
        <v>1542.1</v>
      </c>
      <c r="E20" s="31">
        <v>1615.54</v>
      </c>
      <c r="F20" s="31">
        <v>1137.07</v>
      </c>
      <c r="G20" s="31">
        <v>1096.67</v>
      </c>
      <c r="H20" s="31">
        <v>1382.1</v>
      </c>
      <c r="J20" s="22" t="s">
        <v>173</v>
      </c>
      <c r="K20" s="32">
        <f t="shared" si="18"/>
        <v>539.83799999999997</v>
      </c>
      <c r="L20" s="22">
        <f t="shared" si="19"/>
        <v>706.88166666666666</v>
      </c>
      <c r="M20" s="22">
        <f t="shared" si="19"/>
        <v>873.92533333333336</v>
      </c>
      <c r="N20" s="22">
        <f t="shared" si="19"/>
        <v>1040.9690000000001</v>
      </c>
      <c r="O20" s="22">
        <f t="shared" si="19"/>
        <v>1208.0126666666667</v>
      </c>
      <c r="P20" s="22">
        <f t="shared" si="19"/>
        <v>1375.0563333333334</v>
      </c>
      <c r="Q20" s="32">
        <f t="shared" si="20"/>
        <v>1542.1</v>
      </c>
      <c r="R20" s="22">
        <f t="shared" si="21"/>
        <v>1556.788</v>
      </c>
      <c r="S20" s="22">
        <f t="shared" si="21"/>
        <v>1571.4760000000001</v>
      </c>
      <c r="T20" s="22">
        <f t="shared" si="21"/>
        <v>1586.1640000000002</v>
      </c>
      <c r="U20" s="22">
        <f t="shared" si="21"/>
        <v>1600.8520000000003</v>
      </c>
      <c r="V20" s="32">
        <f t="shared" si="22"/>
        <v>1615.54</v>
      </c>
      <c r="W20" s="22">
        <f t="shared" si="23"/>
        <v>1519.846</v>
      </c>
      <c r="X20" s="22">
        <f t="shared" si="23"/>
        <v>1424.152</v>
      </c>
      <c r="Y20" s="22">
        <f t="shared" si="23"/>
        <v>1328.4580000000001</v>
      </c>
      <c r="Z20" s="22">
        <f t="shared" si="23"/>
        <v>1232.7640000000001</v>
      </c>
      <c r="AA20" s="32">
        <f t="shared" si="24"/>
        <v>1137.07</v>
      </c>
      <c r="AB20" s="22">
        <f t="shared" si="25"/>
        <v>1128.99</v>
      </c>
      <c r="AC20" s="22">
        <f t="shared" si="25"/>
        <v>1120.9100000000001</v>
      </c>
      <c r="AD20" s="22">
        <f t="shared" si="25"/>
        <v>1112.8300000000002</v>
      </c>
      <c r="AE20" s="22">
        <f t="shared" si="25"/>
        <v>1104.7500000000002</v>
      </c>
      <c r="AF20" s="32">
        <f t="shared" si="26"/>
        <v>1096.67</v>
      </c>
      <c r="AG20" s="22">
        <f t="shared" si="27"/>
        <v>1153.7560000000001</v>
      </c>
      <c r="AH20" s="22">
        <f t="shared" si="27"/>
        <v>1210.8420000000001</v>
      </c>
      <c r="AI20" s="22">
        <f t="shared" si="27"/>
        <v>1267.9280000000001</v>
      </c>
      <c r="AJ20" s="22">
        <f t="shared" si="27"/>
        <v>1325.0140000000001</v>
      </c>
      <c r="AK20" s="32">
        <f t="shared" si="28"/>
        <v>1382.1</v>
      </c>
    </row>
    <row r="21" spans="1:37" x14ac:dyDescent="0.35">
      <c r="A21" s="22" t="s">
        <v>174</v>
      </c>
      <c r="B21" s="31">
        <v>104.815</v>
      </c>
      <c r="C21" s="31"/>
      <c r="D21" s="31">
        <v>272.25099999999998</v>
      </c>
      <c r="E21" s="31">
        <v>294.58699999999999</v>
      </c>
      <c r="F21" s="31">
        <v>215.61199999999999</v>
      </c>
      <c r="G21" s="31">
        <v>201.654</v>
      </c>
      <c r="H21" s="31">
        <v>255.87700000000001</v>
      </c>
      <c r="J21" s="22" t="s">
        <v>163</v>
      </c>
      <c r="K21" s="32">
        <f t="shared" si="18"/>
        <v>104.815</v>
      </c>
      <c r="L21" s="22">
        <f t="shared" si="19"/>
        <v>132.721</v>
      </c>
      <c r="M21" s="22">
        <f t="shared" si="19"/>
        <v>160.62700000000001</v>
      </c>
      <c r="N21" s="22">
        <f t="shared" si="19"/>
        <v>188.53300000000002</v>
      </c>
      <c r="O21" s="22">
        <f t="shared" si="19"/>
        <v>216.43900000000002</v>
      </c>
      <c r="P21" s="22">
        <f t="shared" si="19"/>
        <v>244.34500000000003</v>
      </c>
      <c r="Q21" s="32">
        <f t="shared" si="20"/>
        <v>272.25099999999998</v>
      </c>
      <c r="R21" s="22">
        <f t="shared" si="21"/>
        <v>276.71819999999997</v>
      </c>
      <c r="S21" s="22">
        <f t="shared" si="21"/>
        <v>281.18539999999996</v>
      </c>
      <c r="T21" s="22">
        <f t="shared" si="21"/>
        <v>285.65259999999995</v>
      </c>
      <c r="U21" s="22">
        <f t="shared" si="21"/>
        <v>290.11979999999994</v>
      </c>
      <c r="V21" s="32">
        <f t="shared" si="22"/>
        <v>294.58699999999999</v>
      </c>
      <c r="W21" s="22">
        <f t="shared" si="23"/>
        <v>278.79199999999997</v>
      </c>
      <c r="X21" s="22">
        <f t="shared" si="23"/>
        <v>262.99699999999996</v>
      </c>
      <c r="Y21" s="22">
        <f t="shared" si="23"/>
        <v>247.20199999999997</v>
      </c>
      <c r="Z21" s="22">
        <f t="shared" si="23"/>
        <v>231.40699999999998</v>
      </c>
      <c r="AA21" s="32">
        <f t="shared" si="24"/>
        <v>215.61199999999999</v>
      </c>
      <c r="AB21" s="22">
        <f t="shared" si="25"/>
        <v>212.82040000000001</v>
      </c>
      <c r="AC21" s="22">
        <f t="shared" si="25"/>
        <v>210.02880000000002</v>
      </c>
      <c r="AD21" s="22">
        <f t="shared" si="25"/>
        <v>207.23720000000003</v>
      </c>
      <c r="AE21" s="22">
        <f t="shared" si="25"/>
        <v>204.44560000000004</v>
      </c>
      <c r="AF21" s="32">
        <f t="shared" si="26"/>
        <v>201.654</v>
      </c>
      <c r="AG21" s="22">
        <f t="shared" si="27"/>
        <v>212.49860000000001</v>
      </c>
      <c r="AH21" s="22">
        <f t="shared" si="27"/>
        <v>223.34320000000002</v>
      </c>
      <c r="AI21" s="22">
        <f t="shared" si="27"/>
        <v>234.18780000000004</v>
      </c>
      <c r="AJ21" s="22">
        <f t="shared" si="27"/>
        <v>245.03240000000005</v>
      </c>
      <c r="AK21" s="32">
        <f t="shared" si="28"/>
        <v>255.87700000000001</v>
      </c>
    </row>
    <row r="22" spans="1:37" x14ac:dyDescent="0.35">
      <c r="A22" s="22" t="s">
        <v>184</v>
      </c>
      <c r="B22" s="31">
        <v>13.839600000000001</v>
      </c>
      <c r="C22" s="31"/>
      <c r="D22" s="31">
        <v>36.274799999999999</v>
      </c>
      <c r="E22" s="31">
        <v>39.212000000000003</v>
      </c>
      <c r="F22" s="31">
        <v>28.650400000000001</v>
      </c>
      <c r="G22" s="31">
        <v>26.903300000000002</v>
      </c>
      <c r="H22" s="31">
        <v>34.029000000000003</v>
      </c>
      <c r="J22" s="22" t="s">
        <v>174</v>
      </c>
      <c r="K22" s="32">
        <f t="shared" si="18"/>
        <v>13.839600000000001</v>
      </c>
      <c r="L22" s="22">
        <f t="shared" si="19"/>
        <v>17.578800000000001</v>
      </c>
      <c r="M22" s="22">
        <f t="shared" si="19"/>
        <v>21.318000000000001</v>
      </c>
      <c r="N22" s="22">
        <f t="shared" si="19"/>
        <v>25.057200000000002</v>
      </c>
      <c r="O22" s="22">
        <f t="shared" si="19"/>
        <v>28.796400000000002</v>
      </c>
      <c r="P22" s="22">
        <f t="shared" si="19"/>
        <v>32.535600000000002</v>
      </c>
      <c r="Q22" s="32">
        <f t="shared" si="20"/>
        <v>36.274799999999999</v>
      </c>
      <c r="R22" s="22">
        <f t="shared" si="21"/>
        <v>36.86224</v>
      </c>
      <c r="S22" s="22">
        <f t="shared" si="21"/>
        <v>37.449680000000001</v>
      </c>
      <c r="T22" s="22">
        <f t="shared" si="21"/>
        <v>38.037120000000002</v>
      </c>
      <c r="U22" s="22">
        <f t="shared" si="21"/>
        <v>38.624560000000002</v>
      </c>
      <c r="V22" s="32">
        <f t="shared" si="22"/>
        <v>39.212000000000003</v>
      </c>
      <c r="W22" s="22">
        <f t="shared" si="23"/>
        <v>37.099680000000006</v>
      </c>
      <c r="X22" s="22">
        <f t="shared" si="23"/>
        <v>34.98736000000001</v>
      </c>
      <c r="Y22" s="22">
        <f t="shared" si="23"/>
        <v>32.875040000000013</v>
      </c>
      <c r="Z22" s="22">
        <f t="shared" si="23"/>
        <v>30.762720000000012</v>
      </c>
      <c r="AA22" s="32">
        <f t="shared" si="24"/>
        <v>28.650400000000001</v>
      </c>
      <c r="AB22" s="22">
        <f t="shared" si="25"/>
        <v>28.300980000000003</v>
      </c>
      <c r="AC22" s="22">
        <f t="shared" si="25"/>
        <v>27.951560000000004</v>
      </c>
      <c r="AD22" s="22">
        <f t="shared" si="25"/>
        <v>27.602140000000006</v>
      </c>
      <c r="AE22" s="22">
        <f t="shared" si="25"/>
        <v>27.252720000000007</v>
      </c>
      <c r="AF22" s="32">
        <f t="shared" si="26"/>
        <v>26.903300000000002</v>
      </c>
      <c r="AG22" s="22">
        <f t="shared" si="27"/>
        <v>28.328440000000001</v>
      </c>
      <c r="AH22" s="22">
        <f t="shared" si="27"/>
        <v>29.753579999999999</v>
      </c>
      <c r="AI22" s="22">
        <f t="shared" si="27"/>
        <v>31.178719999999998</v>
      </c>
      <c r="AJ22" s="22">
        <f t="shared" si="27"/>
        <v>32.603859999999997</v>
      </c>
      <c r="AK22" s="32">
        <f t="shared" si="28"/>
        <v>34.029000000000003</v>
      </c>
    </row>
    <row r="23" spans="1:37" x14ac:dyDescent="0.35">
      <c r="A23" s="22" t="s">
        <v>165</v>
      </c>
      <c r="B23" s="31">
        <v>47.773299999999999</v>
      </c>
      <c r="C23" s="31"/>
      <c r="D23" s="31">
        <v>123.13200000000001</v>
      </c>
      <c r="E23" s="31">
        <v>134.74299999999999</v>
      </c>
      <c r="F23" s="31">
        <v>99.757300000000001</v>
      </c>
      <c r="G23" s="31">
        <v>92.847200000000001</v>
      </c>
      <c r="H23" s="31">
        <v>116.919</v>
      </c>
      <c r="J23" s="22" t="s">
        <v>165</v>
      </c>
      <c r="K23" s="32">
        <f t="shared" si="18"/>
        <v>47.773299999999999</v>
      </c>
      <c r="L23" s="22">
        <f t="shared" si="19"/>
        <v>60.333083333333335</v>
      </c>
      <c r="M23" s="22">
        <f t="shared" si="19"/>
        <v>72.892866666666663</v>
      </c>
      <c r="N23" s="22">
        <f t="shared" si="19"/>
        <v>85.452649999999991</v>
      </c>
      <c r="O23" s="22">
        <f t="shared" si="19"/>
        <v>98.01243333333332</v>
      </c>
      <c r="P23" s="22">
        <f t="shared" si="19"/>
        <v>110.57221666666665</v>
      </c>
      <c r="Q23" s="32">
        <f t="shared" si="20"/>
        <v>123.13200000000001</v>
      </c>
      <c r="R23" s="22">
        <f t="shared" si="21"/>
        <v>125.4542</v>
      </c>
      <c r="S23" s="22">
        <f t="shared" si="21"/>
        <v>127.7764</v>
      </c>
      <c r="T23" s="22">
        <f t="shared" si="21"/>
        <v>130.0986</v>
      </c>
      <c r="U23" s="22">
        <f t="shared" si="21"/>
        <v>132.42080000000001</v>
      </c>
      <c r="V23" s="32">
        <f t="shared" si="22"/>
        <v>134.74299999999999</v>
      </c>
      <c r="W23" s="22">
        <f t="shared" si="23"/>
        <v>127.74585999999999</v>
      </c>
      <c r="X23" s="22">
        <f t="shared" si="23"/>
        <v>120.74871999999999</v>
      </c>
      <c r="Y23" s="22">
        <f t="shared" si="23"/>
        <v>113.75157999999999</v>
      </c>
      <c r="Z23" s="22">
        <f t="shared" si="23"/>
        <v>106.75443999999999</v>
      </c>
      <c r="AA23" s="32">
        <f t="shared" si="24"/>
        <v>99.757300000000001</v>
      </c>
      <c r="AB23" s="22">
        <f t="shared" si="25"/>
        <v>98.375280000000004</v>
      </c>
      <c r="AC23" s="22">
        <f t="shared" si="25"/>
        <v>96.993260000000006</v>
      </c>
      <c r="AD23" s="22">
        <f t="shared" si="25"/>
        <v>95.611240000000009</v>
      </c>
      <c r="AE23" s="22">
        <f t="shared" si="25"/>
        <v>94.229220000000012</v>
      </c>
      <c r="AF23" s="32">
        <f t="shared" si="26"/>
        <v>92.847200000000001</v>
      </c>
      <c r="AG23" s="22">
        <f t="shared" si="27"/>
        <v>97.661559999999994</v>
      </c>
      <c r="AH23" s="22">
        <f t="shared" si="27"/>
        <v>102.47591999999999</v>
      </c>
      <c r="AI23" s="22">
        <f t="shared" si="27"/>
        <v>107.29027999999998</v>
      </c>
      <c r="AJ23" s="22">
        <f t="shared" si="27"/>
        <v>112.10463999999997</v>
      </c>
      <c r="AK23" s="32">
        <f t="shared" si="28"/>
        <v>116.919</v>
      </c>
    </row>
    <row r="24" spans="1:37" x14ac:dyDescent="0.35">
      <c r="A24" s="22" t="s">
        <v>187</v>
      </c>
      <c r="B24" s="31">
        <v>734.75300000000004</v>
      </c>
      <c r="C24" s="31"/>
      <c r="D24" s="31">
        <v>1905.83</v>
      </c>
      <c r="E24" s="31">
        <v>2062.5</v>
      </c>
      <c r="F24" s="31">
        <v>1509.97</v>
      </c>
      <c r="G24" s="31">
        <v>1411.35</v>
      </c>
      <c r="H24" s="31">
        <v>1791.72</v>
      </c>
      <c r="J24" s="22" t="s">
        <v>175</v>
      </c>
      <c r="K24" s="32">
        <f t="shared" si="18"/>
        <v>734.75300000000004</v>
      </c>
      <c r="L24" s="22">
        <f t="shared" si="19"/>
        <v>929.9325</v>
      </c>
      <c r="M24" s="22">
        <f t="shared" si="19"/>
        <v>1125.1120000000001</v>
      </c>
      <c r="N24" s="22">
        <f t="shared" si="19"/>
        <v>1320.2915</v>
      </c>
      <c r="O24" s="22">
        <f t="shared" si="19"/>
        <v>1515.471</v>
      </c>
      <c r="P24" s="22">
        <f t="shared" si="19"/>
        <v>1710.6505</v>
      </c>
      <c r="Q24" s="32">
        <f t="shared" si="20"/>
        <v>1905.83</v>
      </c>
      <c r="R24" s="22">
        <f t="shared" si="21"/>
        <v>1937.164</v>
      </c>
      <c r="S24" s="22">
        <f t="shared" si="21"/>
        <v>1968.498</v>
      </c>
      <c r="T24" s="22">
        <f t="shared" si="21"/>
        <v>1999.8320000000001</v>
      </c>
      <c r="U24" s="22">
        <f t="shared" si="21"/>
        <v>2031.1660000000002</v>
      </c>
      <c r="V24" s="32">
        <f t="shared" si="22"/>
        <v>2062.5</v>
      </c>
      <c r="W24" s="22">
        <f t="shared" si="23"/>
        <v>1951.9939999999999</v>
      </c>
      <c r="X24" s="22">
        <f t="shared" si="23"/>
        <v>1841.4879999999998</v>
      </c>
      <c r="Y24" s="22">
        <f t="shared" si="23"/>
        <v>1730.9819999999997</v>
      </c>
      <c r="Z24" s="22">
        <f t="shared" si="23"/>
        <v>1620.4759999999997</v>
      </c>
      <c r="AA24" s="32">
        <f t="shared" si="24"/>
        <v>1509.97</v>
      </c>
      <c r="AB24" s="22">
        <f t="shared" si="25"/>
        <v>1490.2460000000001</v>
      </c>
      <c r="AC24" s="22">
        <f t="shared" si="25"/>
        <v>1470.5220000000002</v>
      </c>
      <c r="AD24" s="22">
        <f t="shared" si="25"/>
        <v>1450.7980000000002</v>
      </c>
      <c r="AE24" s="22">
        <f t="shared" si="25"/>
        <v>1431.0740000000003</v>
      </c>
      <c r="AF24" s="32">
        <f t="shared" si="26"/>
        <v>1411.35</v>
      </c>
      <c r="AG24" s="22">
        <f t="shared" si="27"/>
        <v>1487.424</v>
      </c>
      <c r="AH24" s="22">
        <f t="shared" si="27"/>
        <v>1563.498</v>
      </c>
      <c r="AI24" s="22">
        <f t="shared" si="27"/>
        <v>1639.5720000000001</v>
      </c>
      <c r="AJ24" s="22">
        <f t="shared" si="27"/>
        <v>1715.6460000000002</v>
      </c>
      <c r="AK24" s="32">
        <f t="shared" si="28"/>
        <v>1791.72</v>
      </c>
    </row>
    <row r="25" spans="1:37" x14ac:dyDescent="0.35">
      <c r="A25" s="22" t="s">
        <v>176</v>
      </c>
      <c r="B25" s="31">
        <v>7.11083</v>
      </c>
      <c r="C25" s="31"/>
      <c r="D25" s="31">
        <v>17.483000000000001</v>
      </c>
      <c r="E25" s="31">
        <v>16.419</v>
      </c>
      <c r="F25" s="31">
        <v>10.2201</v>
      </c>
      <c r="G25" s="31">
        <v>9.6475000000000009</v>
      </c>
      <c r="H25" s="31">
        <v>11.014099999999999</v>
      </c>
      <c r="J25" s="22" t="s">
        <v>176</v>
      </c>
      <c r="K25" s="32">
        <f t="shared" si="18"/>
        <v>7.11083</v>
      </c>
      <c r="L25" s="22">
        <f t="shared" si="19"/>
        <v>8.8395250000000001</v>
      </c>
      <c r="M25" s="22">
        <f t="shared" si="19"/>
        <v>10.56822</v>
      </c>
      <c r="N25" s="22">
        <f t="shared" si="19"/>
        <v>12.296915</v>
      </c>
      <c r="O25" s="22">
        <f t="shared" si="19"/>
        <v>14.02561</v>
      </c>
      <c r="P25" s="22">
        <f t="shared" si="19"/>
        <v>15.754305</v>
      </c>
      <c r="Q25" s="32">
        <f t="shared" si="20"/>
        <v>17.483000000000001</v>
      </c>
      <c r="R25" s="22">
        <f t="shared" si="21"/>
        <v>17.270199999999999</v>
      </c>
      <c r="S25" s="22">
        <f t="shared" si="21"/>
        <v>17.057399999999998</v>
      </c>
      <c r="T25" s="22">
        <f t="shared" si="21"/>
        <v>16.844599999999996</v>
      </c>
      <c r="U25" s="22">
        <f t="shared" si="21"/>
        <v>16.631799999999995</v>
      </c>
      <c r="V25" s="32">
        <f t="shared" si="22"/>
        <v>16.419</v>
      </c>
      <c r="W25" s="22">
        <f t="shared" si="23"/>
        <v>15.179220000000001</v>
      </c>
      <c r="X25" s="22">
        <f t="shared" si="23"/>
        <v>13.939440000000001</v>
      </c>
      <c r="Y25" s="22">
        <f t="shared" si="23"/>
        <v>12.699660000000002</v>
      </c>
      <c r="Z25" s="22">
        <f t="shared" si="23"/>
        <v>11.459880000000002</v>
      </c>
      <c r="AA25" s="32">
        <f t="shared" si="24"/>
        <v>10.2201</v>
      </c>
      <c r="AB25" s="22">
        <f t="shared" si="25"/>
        <v>10.10558</v>
      </c>
      <c r="AC25" s="22">
        <f t="shared" si="25"/>
        <v>9.9910599999999992</v>
      </c>
      <c r="AD25" s="22">
        <f t="shared" si="25"/>
        <v>9.8765399999999985</v>
      </c>
      <c r="AE25" s="22">
        <f t="shared" si="25"/>
        <v>9.7620199999999979</v>
      </c>
      <c r="AF25" s="32">
        <f t="shared" si="26"/>
        <v>9.6475000000000009</v>
      </c>
      <c r="AG25" s="22">
        <f t="shared" si="27"/>
        <v>9.9208200000000009</v>
      </c>
      <c r="AH25" s="22">
        <f t="shared" si="27"/>
        <v>10.194140000000001</v>
      </c>
      <c r="AI25" s="22">
        <f t="shared" si="27"/>
        <v>10.467460000000001</v>
      </c>
      <c r="AJ25" s="22">
        <f t="shared" si="27"/>
        <v>10.740780000000001</v>
      </c>
      <c r="AK25" s="32">
        <f t="shared" si="28"/>
        <v>11.014099999999999</v>
      </c>
    </row>
    <row r="26" spans="1:37" x14ac:dyDescent="0.35">
      <c r="A26" s="22" t="s">
        <v>177</v>
      </c>
      <c r="B26" s="31">
        <v>0.78949199999999997</v>
      </c>
      <c r="C26" s="31"/>
      <c r="D26" s="31">
        <v>2.02555</v>
      </c>
      <c r="E26" s="31">
        <v>1.98549</v>
      </c>
      <c r="F26" s="31">
        <v>1.2999400000000001</v>
      </c>
      <c r="G26" s="31">
        <v>1.2351799999999999</v>
      </c>
      <c r="H26" s="31">
        <v>1.4771399999999999</v>
      </c>
      <c r="J26" s="22" t="s">
        <v>177</v>
      </c>
      <c r="K26" s="32">
        <f t="shared" si="18"/>
        <v>0.78949199999999997</v>
      </c>
      <c r="L26" s="22">
        <f t="shared" si="19"/>
        <v>0.99550166666666662</v>
      </c>
      <c r="M26" s="22">
        <f t="shared" si="19"/>
        <v>1.2015113333333334</v>
      </c>
      <c r="N26" s="22">
        <f t="shared" si="19"/>
        <v>1.407521</v>
      </c>
      <c r="O26" s="22">
        <f t="shared" si="19"/>
        <v>1.6135306666666667</v>
      </c>
      <c r="P26" s="22">
        <f t="shared" si="19"/>
        <v>1.8195403333333333</v>
      </c>
      <c r="Q26" s="32">
        <f t="shared" si="20"/>
        <v>2.02555</v>
      </c>
      <c r="R26" s="22">
        <f t="shared" si="21"/>
        <v>2.0175380000000001</v>
      </c>
      <c r="S26" s="22">
        <f t="shared" si="21"/>
        <v>2.0095260000000001</v>
      </c>
      <c r="T26" s="22">
        <f t="shared" si="21"/>
        <v>2.0015140000000002</v>
      </c>
      <c r="U26" s="22">
        <f t="shared" si="21"/>
        <v>1.9935020000000003</v>
      </c>
      <c r="V26" s="32">
        <f t="shared" si="22"/>
        <v>1.98549</v>
      </c>
      <c r="W26" s="22">
        <f t="shared" si="23"/>
        <v>1.8483799999999999</v>
      </c>
      <c r="X26" s="22">
        <f t="shared" si="23"/>
        <v>1.7112699999999998</v>
      </c>
      <c r="Y26" s="22">
        <f t="shared" si="23"/>
        <v>1.5741599999999998</v>
      </c>
      <c r="Z26" s="22">
        <f t="shared" si="23"/>
        <v>1.4370499999999997</v>
      </c>
      <c r="AA26" s="32">
        <f t="shared" si="24"/>
        <v>1.2999400000000001</v>
      </c>
      <c r="AB26" s="22">
        <f t="shared" si="25"/>
        <v>1.286988</v>
      </c>
      <c r="AC26" s="22">
        <f t="shared" si="25"/>
        <v>1.2740359999999999</v>
      </c>
      <c r="AD26" s="22">
        <f t="shared" si="25"/>
        <v>1.2610839999999999</v>
      </c>
      <c r="AE26" s="22">
        <f t="shared" si="25"/>
        <v>1.2481319999999998</v>
      </c>
      <c r="AF26" s="32">
        <f t="shared" si="26"/>
        <v>1.2351799999999999</v>
      </c>
      <c r="AG26" s="22">
        <f t="shared" si="27"/>
        <v>1.2835719999999999</v>
      </c>
      <c r="AH26" s="22">
        <f t="shared" si="27"/>
        <v>1.3319639999999999</v>
      </c>
      <c r="AI26" s="22">
        <f t="shared" si="27"/>
        <v>1.3803559999999999</v>
      </c>
      <c r="AJ26" s="22">
        <f t="shared" si="27"/>
        <v>1.4287479999999999</v>
      </c>
      <c r="AK26" s="32">
        <f t="shared" si="28"/>
        <v>1.4771399999999999</v>
      </c>
    </row>
    <row r="27" spans="1:37" x14ac:dyDescent="0.35">
      <c r="A27" s="22" t="s">
        <v>178</v>
      </c>
      <c r="B27" s="31">
        <v>1.17032</v>
      </c>
      <c r="C27" s="31"/>
      <c r="D27" s="31">
        <v>3.0107200000000001</v>
      </c>
      <c r="E27" s="31">
        <v>2.8437700000000001</v>
      </c>
      <c r="F27" s="31">
        <v>1.76494</v>
      </c>
      <c r="G27" s="31">
        <v>1.7587900000000001</v>
      </c>
      <c r="H27" s="31">
        <v>2.1237300000000001</v>
      </c>
      <c r="J27" s="22" t="s">
        <v>178</v>
      </c>
      <c r="K27" s="32">
        <f t="shared" si="18"/>
        <v>1.17032</v>
      </c>
      <c r="L27" s="22">
        <f t="shared" si="19"/>
        <v>1.4770533333333333</v>
      </c>
      <c r="M27" s="22">
        <f t="shared" si="19"/>
        <v>1.7837866666666666</v>
      </c>
      <c r="N27" s="22">
        <f t="shared" si="19"/>
        <v>2.0905200000000002</v>
      </c>
      <c r="O27" s="22">
        <f t="shared" si="19"/>
        <v>2.3972533333333335</v>
      </c>
      <c r="P27" s="22">
        <f t="shared" si="19"/>
        <v>2.7039866666666668</v>
      </c>
      <c r="Q27" s="32">
        <f t="shared" si="20"/>
        <v>3.0107200000000001</v>
      </c>
      <c r="R27" s="22">
        <f t="shared" si="21"/>
        <v>2.9773300000000003</v>
      </c>
      <c r="S27" s="22">
        <f t="shared" si="21"/>
        <v>2.9439400000000004</v>
      </c>
      <c r="T27" s="22">
        <f t="shared" si="21"/>
        <v>2.9105500000000006</v>
      </c>
      <c r="U27" s="22">
        <f t="shared" si="21"/>
        <v>2.8771600000000008</v>
      </c>
      <c r="V27" s="32">
        <f t="shared" si="22"/>
        <v>2.8437700000000001</v>
      </c>
      <c r="W27" s="22">
        <f t="shared" si="23"/>
        <v>2.6280040000000002</v>
      </c>
      <c r="X27" s="22">
        <f t="shared" si="23"/>
        <v>2.4122380000000003</v>
      </c>
      <c r="Y27" s="22">
        <f t="shared" si="23"/>
        <v>2.1964720000000004</v>
      </c>
      <c r="Z27" s="22">
        <f t="shared" si="23"/>
        <v>1.9807060000000003</v>
      </c>
      <c r="AA27" s="32">
        <f t="shared" si="24"/>
        <v>1.76494</v>
      </c>
      <c r="AB27" s="22">
        <f t="shared" si="25"/>
        <v>1.7637099999999999</v>
      </c>
      <c r="AC27" s="22">
        <f t="shared" si="25"/>
        <v>1.7624799999999998</v>
      </c>
      <c r="AD27" s="22">
        <f t="shared" si="25"/>
        <v>1.7612499999999998</v>
      </c>
      <c r="AE27" s="22">
        <f t="shared" si="25"/>
        <v>1.7600199999999997</v>
      </c>
      <c r="AF27" s="32">
        <f t="shared" si="26"/>
        <v>1.7587900000000001</v>
      </c>
      <c r="AG27" s="22">
        <f t="shared" si="27"/>
        <v>1.8317780000000001</v>
      </c>
      <c r="AH27" s="22">
        <f t="shared" si="27"/>
        <v>1.9047660000000002</v>
      </c>
      <c r="AI27" s="22">
        <f t="shared" si="27"/>
        <v>1.9777540000000002</v>
      </c>
      <c r="AJ27" s="22">
        <f t="shared" si="27"/>
        <v>2.0507420000000001</v>
      </c>
      <c r="AK27" s="32">
        <f t="shared" si="28"/>
        <v>2.1237300000000001</v>
      </c>
    </row>
    <row r="28" spans="1:37" s="37" customFormat="1" x14ac:dyDescent="0.35">
      <c r="A28" s="22" t="s">
        <v>179</v>
      </c>
      <c r="B28" s="31">
        <v>0.29004000000000002</v>
      </c>
      <c r="C28" s="31"/>
      <c r="D28" s="31">
        <v>0.82384400000000002</v>
      </c>
      <c r="E28" s="31">
        <v>0.83315899999999998</v>
      </c>
      <c r="F28" s="31">
        <v>0.56364599999999998</v>
      </c>
      <c r="G28" s="31">
        <v>0.55525899999999995</v>
      </c>
      <c r="H28" s="31">
        <v>0.72452799999999995</v>
      </c>
      <c r="J28" s="22" t="s">
        <v>179</v>
      </c>
      <c r="K28" s="32">
        <f t="shared" si="18"/>
        <v>0.29004000000000002</v>
      </c>
      <c r="L28" s="22">
        <f t="shared" si="19"/>
        <v>0.37900733333333336</v>
      </c>
      <c r="M28" s="22">
        <f t="shared" si="19"/>
        <v>0.46797466666666671</v>
      </c>
      <c r="N28" s="22">
        <f t="shared" si="19"/>
        <v>0.55694200000000005</v>
      </c>
      <c r="O28" s="22">
        <f t="shared" si="19"/>
        <v>0.64590933333333334</v>
      </c>
      <c r="P28" s="22">
        <f t="shared" si="19"/>
        <v>0.73487666666666662</v>
      </c>
      <c r="Q28" s="32">
        <f t="shared" si="20"/>
        <v>0.82384400000000002</v>
      </c>
      <c r="R28" s="22">
        <f t="shared" si="21"/>
        <v>0.82570699999999997</v>
      </c>
      <c r="S28" s="22">
        <f t="shared" si="21"/>
        <v>0.82756999999999992</v>
      </c>
      <c r="T28" s="22">
        <f t="shared" si="21"/>
        <v>0.82943299999999986</v>
      </c>
      <c r="U28" s="22">
        <f t="shared" si="21"/>
        <v>0.83129599999999981</v>
      </c>
      <c r="V28" s="32">
        <f t="shared" si="22"/>
        <v>0.83315899999999998</v>
      </c>
      <c r="W28" s="22">
        <f t="shared" si="23"/>
        <v>0.77925639999999996</v>
      </c>
      <c r="X28" s="22">
        <f t="shared" si="23"/>
        <v>0.72535379999999994</v>
      </c>
      <c r="Y28" s="22">
        <f t="shared" si="23"/>
        <v>0.67145119999999991</v>
      </c>
      <c r="Z28" s="22">
        <f t="shared" si="23"/>
        <v>0.61754859999999989</v>
      </c>
      <c r="AA28" s="32">
        <f t="shared" si="24"/>
        <v>0.56364599999999998</v>
      </c>
      <c r="AB28" s="22">
        <f t="shared" si="25"/>
        <v>0.56196859999999993</v>
      </c>
      <c r="AC28" s="22">
        <f t="shared" si="25"/>
        <v>0.56029119999999988</v>
      </c>
      <c r="AD28" s="22">
        <f t="shared" si="25"/>
        <v>0.55861379999999983</v>
      </c>
      <c r="AE28" s="22">
        <f t="shared" si="25"/>
        <v>0.55693639999999978</v>
      </c>
      <c r="AF28" s="32">
        <f t="shared" si="26"/>
        <v>0.55525899999999995</v>
      </c>
      <c r="AG28" s="22">
        <f t="shared" si="27"/>
        <v>0.58911279999999999</v>
      </c>
      <c r="AH28" s="22">
        <f t="shared" si="27"/>
        <v>0.62296660000000004</v>
      </c>
      <c r="AI28" s="22">
        <f t="shared" si="27"/>
        <v>0.65682040000000008</v>
      </c>
      <c r="AJ28" s="22">
        <f t="shared" si="27"/>
        <v>0.69067420000000013</v>
      </c>
      <c r="AK28" s="32">
        <f t="shared" si="28"/>
        <v>0.72452799999999995</v>
      </c>
    </row>
    <row r="29" spans="1:37" ht="15" thickBot="1" x14ac:dyDescent="0.4">
      <c r="A29" s="33" t="s">
        <v>192</v>
      </c>
      <c r="B29" s="34">
        <v>1516.7346110000003</v>
      </c>
      <c r="C29" s="34"/>
      <c r="D29" s="34">
        <v>4077.1118820000002</v>
      </c>
      <c r="E29" s="34">
        <v>4356.8474059999999</v>
      </c>
      <c r="F29" s="34">
        <v>3142.3104579999999</v>
      </c>
      <c r="G29" s="34">
        <v>2971.7608930000001</v>
      </c>
      <c r="H29" s="34">
        <v>3759.2133739999995</v>
      </c>
      <c r="J29" s="36" t="s">
        <v>181</v>
      </c>
      <c r="K29" s="32">
        <f t="shared" si="18"/>
        <v>1516.7346110000003</v>
      </c>
      <c r="L29" s="22">
        <f t="shared" si="19"/>
        <v>1943.464156166667</v>
      </c>
      <c r="M29" s="22">
        <f t="shared" si="19"/>
        <v>2370.1937013333336</v>
      </c>
      <c r="N29" s="22">
        <f t="shared" si="19"/>
        <v>2796.9232465000005</v>
      </c>
      <c r="O29" s="22">
        <f t="shared" si="19"/>
        <v>3223.6527916666673</v>
      </c>
      <c r="P29" s="22">
        <f>O29+($Q29-$K29)/6</f>
        <v>3650.3823368333342</v>
      </c>
      <c r="Q29" s="32">
        <f t="shared" si="20"/>
        <v>4077.1118820000002</v>
      </c>
      <c r="R29" s="22">
        <f t="shared" si="21"/>
        <v>4133.0589867999997</v>
      </c>
      <c r="S29" s="22">
        <f t="shared" si="21"/>
        <v>4189.0060915999993</v>
      </c>
      <c r="T29" s="22">
        <f t="shared" si="21"/>
        <v>4244.9531963999989</v>
      </c>
      <c r="U29" s="22">
        <f t="shared" si="21"/>
        <v>4300.9003011999985</v>
      </c>
      <c r="V29" s="32">
        <f t="shared" si="22"/>
        <v>4356.8474059999999</v>
      </c>
      <c r="W29" s="22">
        <f t="shared" si="23"/>
        <v>4113.9400163999999</v>
      </c>
      <c r="X29" s="22">
        <f t="shared" si="23"/>
        <v>3871.0326267999999</v>
      </c>
      <c r="Y29" s="22">
        <f t="shared" si="23"/>
        <v>3628.1252371999999</v>
      </c>
      <c r="Z29" s="22">
        <f t="shared" si="23"/>
        <v>3385.2178475999999</v>
      </c>
      <c r="AA29" s="32">
        <f t="shared" si="24"/>
        <v>3142.3104579999999</v>
      </c>
      <c r="AB29" s="22">
        <f t="shared" si="25"/>
        <v>3108.2005450000001</v>
      </c>
      <c r="AC29" s="22">
        <f t="shared" si="25"/>
        <v>3074.0906320000004</v>
      </c>
      <c r="AD29" s="22">
        <f t="shared" si="25"/>
        <v>3039.9807190000006</v>
      </c>
      <c r="AE29" s="22">
        <f t="shared" si="25"/>
        <v>3005.8708060000008</v>
      </c>
      <c r="AF29" s="32">
        <f t="shared" si="26"/>
        <v>2971.7608930000001</v>
      </c>
      <c r="AG29" s="22">
        <f t="shared" si="27"/>
        <v>3129.2513892000002</v>
      </c>
      <c r="AH29" s="22">
        <f t="shared" si="27"/>
        <v>3286.7418854000002</v>
      </c>
      <c r="AI29" s="22">
        <f t="shared" si="27"/>
        <v>3444.2323816000003</v>
      </c>
      <c r="AJ29" s="22">
        <f t="shared" si="27"/>
        <v>3601.7228778000003</v>
      </c>
      <c r="AK29" s="32">
        <f t="shared" si="28"/>
        <v>3759.2133739999995</v>
      </c>
    </row>
    <row r="30" spans="1:37" ht="15" thickTop="1" x14ac:dyDescent="0.35"/>
    <row r="42" spans="1:65" s="37" customFormat="1" x14ac:dyDescent="0.3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</row>
    <row r="56" spans="1:65" s="37" customFormat="1" x14ac:dyDescent="0.3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</row>
    <row r="70" spans="1:65" s="37" customFormat="1" x14ac:dyDescent="0.3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</row>
    <row r="73" spans="1:65" s="37" customFormat="1" x14ac:dyDescent="0.3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</row>
    <row r="74" spans="1:65" s="37" customFormat="1" x14ac:dyDescent="0.3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</row>
    <row r="75" spans="1:65" s="37" customFormat="1" x14ac:dyDescent="0.3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</row>
    <row r="76" spans="1:65" s="37" customFormat="1" x14ac:dyDescent="0.3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</row>
    <row r="77" spans="1:65" s="37" customFormat="1" x14ac:dyDescent="0.3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</row>
    <row r="78" spans="1:65" s="37" customFormat="1" x14ac:dyDescent="0.3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</row>
    <row r="79" spans="1:65" s="37" customFormat="1" x14ac:dyDescent="0.3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</row>
    <row r="80" spans="1:65" s="37" customFormat="1" x14ac:dyDescent="0.3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</row>
    <row r="81" spans="1:65" s="37" customFormat="1" x14ac:dyDescent="0.3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</row>
    <row r="82" spans="1:65" s="37" customFormat="1" x14ac:dyDescent="0.3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</row>
    <row r="83" spans="1:65" s="37" customFormat="1" x14ac:dyDescent="0.3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</row>
    <row r="84" spans="1:65" s="37" customFormat="1" x14ac:dyDescent="0.3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</row>
    <row r="85" spans="1:65" s="37" customFormat="1" x14ac:dyDescent="0.3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1D672-FA66-4E25-AB33-CD908526362E}">
  <sheetPr>
    <tabColor rgb="FF0077B6"/>
  </sheetPr>
  <dimension ref="A1:AI18"/>
  <sheetViews>
    <sheetView workbookViewId="0">
      <selection activeCell="H27" sqref="H27"/>
    </sheetView>
  </sheetViews>
  <sheetFormatPr defaultColWidth="9.36328125" defaultRowHeight="14.5" x14ac:dyDescent="0.35"/>
  <cols>
    <col min="1" max="1" width="44.26953125" style="22" customWidth="1"/>
    <col min="2" max="6" width="11.54296875" style="22" customWidth="1"/>
    <col min="7" max="7" width="11.453125" style="22" customWidth="1"/>
    <col min="8" max="25" width="9.36328125" style="22"/>
    <col min="26" max="35" width="9.36328125" style="38"/>
    <col min="36" max="16384" width="9.36328125" style="22"/>
  </cols>
  <sheetData>
    <row r="1" spans="1:35" ht="32" customHeight="1" x14ac:dyDescent="0.35">
      <c r="A1" s="21" t="s">
        <v>167</v>
      </c>
    </row>
    <row r="2" spans="1:35" ht="23.5" x14ac:dyDescent="0.55000000000000004">
      <c r="A2" s="24" t="s">
        <v>194</v>
      </c>
    </row>
    <row r="3" spans="1:35" ht="26.15" customHeight="1" x14ac:dyDescent="0.35"/>
    <row r="4" spans="1:35" ht="20" thickBot="1" x14ac:dyDescent="0.5">
      <c r="A4" s="39"/>
      <c r="B4" s="27">
        <v>2024</v>
      </c>
      <c r="C4" s="27"/>
      <c r="D4" s="27">
        <v>2030</v>
      </c>
      <c r="E4" s="27">
        <v>2035</v>
      </c>
      <c r="F4" s="27">
        <v>2040</v>
      </c>
      <c r="I4" s="23"/>
      <c r="O4" s="23"/>
      <c r="T4" s="23"/>
      <c r="Y4" s="23"/>
    </row>
    <row r="5" spans="1:35" ht="15" thickTop="1" x14ac:dyDescent="0.35">
      <c r="I5" s="23">
        <v>2024</v>
      </c>
      <c r="J5" s="22">
        <f>I5+1</f>
        <v>2025</v>
      </c>
      <c r="K5" s="22">
        <f t="shared" ref="K5:AI5" si="0">J5+1</f>
        <v>2026</v>
      </c>
      <c r="L5" s="22">
        <f t="shared" si="0"/>
        <v>2027</v>
      </c>
      <c r="M5" s="22">
        <f t="shared" si="0"/>
        <v>2028</v>
      </c>
      <c r="N5" s="22">
        <f t="shared" si="0"/>
        <v>2029</v>
      </c>
      <c r="O5" s="23">
        <f t="shared" si="0"/>
        <v>2030</v>
      </c>
      <c r="P5" s="22">
        <f t="shared" si="0"/>
        <v>2031</v>
      </c>
      <c r="Q5" s="22">
        <f t="shared" si="0"/>
        <v>2032</v>
      </c>
      <c r="R5" s="22">
        <f t="shared" si="0"/>
        <v>2033</v>
      </c>
      <c r="S5" s="22">
        <f t="shared" si="0"/>
        <v>2034</v>
      </c>
      <c r="T5" s="23">
        <f t="shared" si="0"/>
        <v>2035</v>
      </c>
      <c r="U5" s="22">
        <f t="shared" si="0"/>
        <v>2036</v>
      </c>
      <c r="V5" s="22">
        <f t="shared" si="0"/>
        <v>2037</v>
      </c>
      <c r="W5" s="22">
        <f t="shared" si="0"/>
        <v>2038</v>
      </c>
      <c r="X5" s="22">
        <f t="shared" si="0"/>
        <v>2039</v>
      </c>
      <c r="Y5" s="23">
        <f t="shared" si="0"/>
        <v>2040</v>
      </c>
      <c r="Z5" s="38">
        <f t="shared" si="0"/>
        <v>2041</v>
      </c>
      <c r="AA5" s="38">
        <f t="shared" si="0"/>
        <v>2042</v>
      </c>
      <c r="AB5" s="38">
        <f t="shared" si="0"/>
        <v>2043</v>
      </c>
      <c r="AC5" s="38">
        <f t="shared" si="0"/>
        <v>2044</v>
      </c>
      <c r="AD5" s="38">
        <f t="shared" si="0"/>
        <v>2045</v>
      </c>
      <c r="AE5" s="38">
        <f t="shared" si="0"/>
        <v>2046</v>
      </c>
      <c r="AF5" s="38">
        <f t="shared" si="0"/>
        <v>2047</v>
      </c>
      <c r="AG5" s="38">
        <f t="shared" si="0"/>
        <v>2048</v>
      </c>
      <c r="AH5" s="38">
        <f t="shared" si="0"/>
        <v>2049</v>
      </c>
      <c r="AI5" s="38">
        <f t="shared" si="0"/>
        <v>2050</v>
      </c>
    </row>
    <row r="6" spans="1:35" ht="17.5" thickBot="1" x14ac:dyDescent="0.45">
      <c r="A6" s="29" t="s">
        <v>195</v>
      </c>
      <c r="B6" s="29">
        <v>26944</v>
      </c>
      <c r="C6" s="29"/>
      <c r="D6" s="29">
        <v>33666</v>
      </c>
      <c r="E6" s="29">
        <v>31913</v>
      </c>
      <c r="F6" s="29">
        <v>31143</v>
      </c>
      <c r="H6" s="22" t="s">
        <v>195</v>
      </c>
      <c r="I6" s="32">
        <f>B6</f>
        <v>26944</v>
      </c>
      <c r="J6" s="22">
        <f>I6+($O6-$I6)/6</f>
        <v>28064.333333333332</v>
      </c>
      <c r="K6" s="22">
        <f t="shared" ref="K6:N6" si="1">J6+($O6-$I6)/6</f>
        <v>29184.666666666664</v>
      </c>
      <c r="L6" s="22">
        <f t="shared" si="1"/>
        <v>30304.999999999996</v>
      </c>
      <c r="M6" s="22">
        <f t="shared" si="1"/>
        <v>31425.333333333328</v>
      </c>
      <c r="N6" s="22">
        <f t="shared" si="1"/>
        <v>32545.666666666661</v>
      </c>
      <c r="O6" s="32">
        <f>D6</f>
        <v>33666</v>
      </c>
      <c r="P6" s="22">
        <f>O6+($T6-$O6)/5</f>
        <v>33315.4</v>
      </c>
      <c r="Q6" s="22">
        <f t="shared" ref="Q6:S6" si="2">P6+($T6-$O6)/5</f>
        <v>32964.800000000003</v>
      </c>
      <c r="R6" s="22">
        <f t="shared" si="2"/>
        <v>32614.200000000004</v>
      </c>
      <c r="S6" s="22">
        <f t="shared" si="2"/>
        <v>32263.600000000006</v>
      </c>
      <c r="T6" s="32">
        <f>E6</f>
        <v>31913</v>
      </c>
      <c r="U6" s="22">
        <f>T6+($Y6-$T6)/5</f>
        <v>31759</v>
      </c>
      <c r="V6" s="22">
        <f t="shared" ref="V6:X6" si="3">U6+($Y6-$T6)/5</f>
        <v>31605</v>
      </c>
      <c r="W6" s="22">
        <f t="shared" si="3"/>
        <v>31451</v>
      </c>
      <c r="X6" s="22">
        <f t="shared" si="3"/>
        <v>31297</v>
      </c>
      <c r="Y6" s="32">
        <f>F6</f>
        <v>31143</v>
      </c>
      <c r="Z6" s="38">
        <f>Y6*(1.027)</f>
        <v>31983.860999999997</v>
      </c>
      <c r="AA6" s="38">
        <f t="shared" ref="AA6:AI6" si="4">Z6*(1.027)</f>
        <v>32847.425246999992</v>
      </c>
      <c r="AB6" s="38">
        <f t="shared" si="4"/>
        <v>33734.305728668987</v>
      </c>
      <c r="AC6" s="38">
        <f t="shared" si="4"/>
        <v>34645.131983343046</v>
      </c>
      <c r="AD6" s="38">
        <f t="shared" si="4"/>
        <v>35580.550546893304</v>
      </c>
      <c r="AE6" s="38">
        <f t="shared" si="4"/>
        <v>36541.225411659419</v>
      </c>
      <c r="AF6" s="38">
        <f t="shared" si="4"/>
        <v>37527.838497774217</v>
      </c>
      <c r="AG6" s="38">
        <f t="shared" si="4"/>
        <v>38541.090137214116</v>
      </c>
      <c r="AH6" s="38">
        <f t="shared" si="4"/>
        <v>39581.699570918892</v>
      </c>
      <c r="AI6" s="38">
        <f t="shared" si="4"/>
        <v>40650.405459333699</v>
      </c>
    </row>
    <row r="7" spans="1:35" ht="18" thickTop="1" thickBot="1" x14ac:dyDescent="0.45">
      <c r="A7" s="29" t="s">
        <v>196</v>
      </c>
      <c r="B7" s="40">
        <v>250.14973829515156</v>
      </c>
      <c r="C7" s="40"/>
      <c r="D7" s="40">
        <v>325.18671333842042</v>
      </c>
      <c r="E7" s="40">
        <v>333.39397424192367</v>
      </c>
      <c r="F7" s="40">
        <v>333.01597424192369</v>
      </c>
      <c r="H7" s="22" t="s">
        <v>196</v>
      </c>
      <c r="I7" s="32">
        <f t="shared" ref="I7:I11" si="5">B7</f>
        <v>250.14973829515156</v>
      </c>
      <c r="J7" s="22">
        <f t="shared" ref="J7:N11" si="6">I7+($O7-$I7)/6</f>
        <v>262.65590080236302</v>
      </c>
      <c r="K7" s="22">
        <f t="shared" si="6"/>
        <v>275.16206330957448</v>
      </c>
      <c r="L7" s="22">
        <f t="shared" si="6"/>
        <v>287.66822581678593</v>
      </c>
      <c r="M7" s="22">
        <f t="shared" si="6"/>
        <v>300.17438832399739</v>
      </c>
      <c r="N7" s="22">
        <f t="shared" si="6"/>
        <v>312.68055083120885</v>
      </c>
      <c r="O7" s="32">
        <f t="shared" ref="O7:O11" si="7">D7</f>
        <v>325.18671333842042</v>
      </c>
      <c r="P7" s="22">
        <f t="shared" ref="P7:S11" si="8">O7+($T7-$O7)/5</f>
        <v>326.82816551912106</v>
      </c>
      <c r="Q7" s="22">
        <f t="shared" si="8"/>
        <v>328.4696176998217</v>
      </c>
      <c r="R7" s="22">
        <f t="shared" si="8"/>
        <v>330.11106988052234</v>
      </c>
      <c r="S7" s="22">
        <f t="shared" si="8"/>
        <v>331.75252206122298</v>
      </c>
      <c r="T7" s="32">
        <f t="shared" ref="T7:T11" si="9">E7</f>
        <v>333.39397424192367</v>
      </c>
      <c r="U7" s="22">
        <f t="shared" ref="U7:X11" si="10">T7+($Y7-$T7)/5</f>
        <v>333.31837424192366</v>
      </c>
      <c r="V7" s="22">
        <f t="shared" si="10"/>
        <v>333.24277424192366</v>
      </c>
      <c r="W7" s="22">
        <f t="shared" si="10"/>
        <v>333.16717424192365</v>
      </c>
      <c r="X7" s="22">
        <f t="shared" si="10"/>
        <v>333.09157424192364</v>
      </c>
      <c r="Y7" s="32">
        <f t="shared" ref="Y7:Y11" si="11">F7</f>
        <v>333.01597424192369</v>
      </c>
      <c r="Z7" s="38">
        <f t="shared" ref="Z7:AI11" si="12">Y7*(1.027)</f>
        <v>342.00740554645557</v>
      </c>
      <c r="AA7" s="38">
        <f t="shared" si="12"/>
        <v>351.24160549620984</v>
      </c>
      <c r="AB7" s="38">
        <f t="shared" si="12"/>
        <v>360.72512884460747</v>
      </c>
      <c r="AC7" s="38">
        <f t="shared" si="12"/>
        <v>370.46470732341186</v>
      </c>
      <c r="AD7" s="38">
        <f t="shared" si="12"/>
        <v>380.46725442114393</v>
      </c>
      <c r="AE7" s="38">
        <f t="shared" si="12"/>
        <v>390.73987029051477</v>
      </c>
      <c r="AF7" s="38">
        <f t="shared" si="12"/>
        <v>401.28984678835866</v>
      </c>
      <c r="AG7" s="38">
        <f t="shared" si="12"/>
        <v>412.12467265164429</v>
      </c>
      <c r="AH7" s="38">
        <f t="shared" si="12"/>
        <v>423.25203881323864</v>
      </c>
      <c r="AI7" s="38">
        <f t="shared" si="12"/>
        <v>434.67984386119605</v>
      </c>
    </row>
    <row r="8" spans="1:35" ht="18" thickTop="1" thickBot="1" x14ac:dyDescent="0.45">
      <c r="A8" s="29" t="s">
        <v>197</v>
      </c>
      <c r="B8" s="40">
        <v>241.61175265037761</v>
      </c>
      <c r="C8" s="40"/>
      <c r="D8" s="40">
        <v>450.15462117999999</v>
      </c>
      <c r="E8" s="40">
        <v>461.19615163999993</v>
      </c>
      <c r="F8" s="40">
        <v>461.45935163999991</v>
      </c>
      <c r="H8" s="22" t="s">
        <v>197</v>
      </c>
      <c r="I8" s="32">
        <f t="shared" si="5"/>
        <v>241.61175265037761</v>
      </c>
      <c r="J8" s="22">
        <f t="shared" si="6"/>
        <v>276.36889740531467</v>
      </c>
      <c r="K8" s="22">
        <f t="shared" si="6"/>
        <v>311.12604216025176</v>
      </c>
      <c r="L8" s="22">
        <f t="shared" si="6"/>
        <v>345.88318691518884</v>
      </c>
      <c r="M8" s="22">
        <f t="shared" si="6"/>
        <v>380.64033167012593</v>
      </c>
      <c r="N8" s="22">
        <f t="shared" si="6"/>
        <v>415.39747642506302</v>
      </c>
      <c r="O8" s="32">
        <f t="shared" si="7"/>
        <v>450.15462117999999</v>
      </c>
      <c r="P8" s="22">
        <f t="shared" si="8"/>
        <v>452.36292727199998</v>
      </c>
      <c r="Q8" s="22">
        <f t="shared" si="8"/>
        <v>454.57123336399997</v>
      </c>
      <c r="R8" s="22">
        <f t="shared" si="8"/>
        <v>456.77953945599995</v>
      </c>
      <c r="S8" s="22">
        <f t="shared" si="8"/>
        <v>458.98784554799994</v>
      </c>
      <c r="T8" s="32">
        <f t="shared" si="9"/>
        <v>461.19615163999993</v>
      </c>
      <c r="U8" s="22">
        <f t="shared" si="10"/>
        <v>461.24879163999992</v>
      </c>
      <c r="V8" s="22">
        <f t="shared" si="10"/>
        <v>461.30143163999992</v>
      </c>
      <c r="W8" s="22">
        <f t="shared" si="10"/>
        <v>461.35407163999992</v>
      </c>
      <c r="X8" s="22">
        <f t="shared" si="10"/>
        <v>461.40671163999991</v>
      </c>
      <c r="Y8" s="32">
        <f t="shared" si="11"/>
        <v>461.45935163999991</v>
      </c>
      <c r="Z8" s="38">
        <f t="shared" si="12"/>
        <v>473.91875413427988</v>
      </c>
      <c r="AA8" s="38">
        <f t="shared" si="12"/>
        <v>486.7145604959054</v>
      </c>
      <c r="AB8" s="38">
        <f t="shared" si="12"/>
        <v>499.85585362929481</v>
      </c>
      <c r="AC8" s="38">
        <f t="shared" si="12"/>
        <v>513.35196167728577</v>
      </c>
      <c r="AD8" s="38">
        <f t="shared" si="12"/>
        <v>527.2124646425724</v>
      </c>
      <c r="AE8" s="38">
        <f t="shared" si="12"/>
        <v>541.44720118792179</v>
      </c>
      <c r="AF8" s="38">
        <f t="shared" si="12"/>
        <v>556.06627561999562</v>
      </c>
      <c r="AG8" s="38">
        <f t="shared" si="12"/>
        <v>571.08006506173547</v>
      </c>
      <c r="AH8" s="38">
        <f t="shared" si="12"/>
        <v>586.49922681840224</v>
      </c>
      <c r="AI8" s="38">
        <f t="shared" si="12"/>
        <v>602.334705942499</v>
      </c>
    </row>
    <row r="9" spans="1:35" ht="18" thickTop="1" thickBot="1" x14ac:dyDescent="0.45">
      <c r="A9" s="29" t="s">
        <v>198</v>
      </c>
      <c r="B9" s="40">
        <v>3483.6970000000001</v>
      </c>
      <c r="C9" s="40"/>
      <c r="D9" s="40">
        <v>4502.808</v>
      </c>
      <c r="E9" s="40">
        <v>4427.9579999999996</v>
      </c>
      <c r="F9" s="40">
        <v>4427.9579999999996</v>
      </c>
      <c r="H9" s="22" t="s">
        <v>198</v>
      </c>
      <c r="I9" s="32">
        <f t="shared" si="5"/>
        <v>3483.6970000000001</v>
      </c>
      <c r="J9" s="22">
        <f t="shared" si="6"/>
        <v>3653.5488333333333</v>
      </c>
      <c r="K9" s="22">
        <f t="shared" si="6"/>
        <v>3823.4006666666664</v>
      </c>
      <c r="L9" s="22">
        <f t="shared" si="6"/>
        <v>3993.2524999999996</v>
      </c>
      <c r="M9" s="22">
        <f t="shared" si="6"/>
        <v>4163.1043333333328</v>
      </c>
      <c r="N9" s="22">
        <f t="shared" si="6"/>
        <v>4332.9561666666659</v>
      </c>
      <c r="O9" s="32">
        <f t="shared" si="7"/>
        <v>4502.808</v>
      </c>
      <c r="P9" s="22">
        <f t="shared" si="8"/>
        <v>4487.8379999999997</v>
      </c>
      <c r="Q9" s="22">
        <f t="shared" si="8"/>
        <v>4472.8679999999995</v>
      </c>
      <c r="R9" s="22">
        <f t="shared" si="8"/>
        <v>4457.8979999999992</v>
      </c>
      <c r="S9" s="22">
        <f t="shared" si="8"/>
        <v>4442.927999999999</v>
      </c>
      <c r="T9" s="32">
        <f t="shared" si="9"/>
        <v>4427.9579999999996</v>
      </c>
      <c r="U9" s="22">
        <f t="shared" si="10"/>
        <v>4427.9579999999996</v>
      </c>
      <c r="V9" s="22">
        <f t="shared" si="10"/>
        <v>4427.9579999999996</v>
      </c>
      <c r="W9" s="22">
        <f t="shared" si="10"/>
        <v>4427.9579999999996</v>
      </c>
      <c r="X9" s="22">
        <f t="shared" si="10"/>
        <v>4427.9579999999996</v>
      </c>
      <c r="Y9" s="32">
        <f t="shared" si="11"/>
        <v>4427.9579999999996</v>
      </c>
      <c r="Z9" s="38">
        <f t="shared" si="12"/>
        <v>4547.5128659999991</v>
      </c>
      <c r="AA9" s="38">
        <f t="shared" si="12"/>
        <v>4670.2957133819991</v>
      </c>
      <c r="AB9" s="38">
        <f t="shared" si="12"/>
        <v>4796.3936976433124</v>
      </c>
      <c r="AC9" s="38">
        <f t="shared" si="12"/>
        <v>4925.8963274796815</v>
      </c>
      <c r="AD9" s="38">
        <f t="shared" si="12"/>
        <v>5058.8955283216328</v>
      </c>
      <c r="AE9" s="38">
        <f t="shared" si="12"/>
        <v>5195.4857075863165</v>
      </c>
      <c r="AF9" s="38">
        <f t="shared" si="12"/>
        <v>5335.7638216911464</v>
      </c>
      <c r="AG9" s="38">
        <f t="shared" si="12"/>
        <v>5479.8294448768065</v>
      </c>
      <c r="AH9" s="38">
        <f t="shared" si="12"/>
        <v>5627.7848398884798</v>
      </c>
      <c r="AI9" s="38">
        <f t="shared" si="12"/>
        <v>5779.7350305654682</v>
      </c>
    </row>
    <row r="10" spans="1:35" ht="18" thickTop="1" thickBot="1" x14ac:dyDescent="0.45">
      <c r="A10" s="29" t="s">
        <v>199</v>
      </c>
      <c r="B10" s="40">
        <v>1875.2524875207132</v>
      </c>
      <c r="C10" s="40"/>
      <c r="D10" s="40">
        <v>4427.1005584046379</v>
      </c>
      <c r="E10" s="40">
        <v>4468.2771956706601</v>
      </c>
      <c r="F10" s="40">
        <v>4490.0635935532127</v>
      </c>
      <c r="H10" s="22" t="s">
        <v>199</v>
      </c>
      <c r="I10" s="32">
        <f t="shared" si="5"/>
        <v>1875.2524875207132</v>
      </c>
      <c r="J10" s="22">
        <f t="shared" si="6"/>
        <v>2300.5604993347006</v>
      </c>
      <c r="K10" s="22">
        <f t="shared" si="6"/>
        <v>2725.868511148688</v>
      </c>
      <c r="L10" s="22">
        <f t="shared" si="6"/>
        <v>3151.1765229626753</v>
      </c>
      <c r="M10" s="22">
        <f t="shared" si="6"/>
        <v>3576.4845347766627</v>
      </c>
      <c r="N10" s="22">
        <f t="shared" si="6"/>
        <v>4001.7925465906501</v>
      </c>
      <c r="O10" s="32">
        <f t="shared" si="7"/>
        <v>4427.1005584046379</v>
      </c>
      <c r="P10" s="22">
        <f t="shared" si="8"/>
        <v>4435.3358858578422</v>
      </c>
      <c r="Q10" s="22">
        <f t="shared" si="8"/>
        <v>4443.5712133110464</v>
      </c>
      <c r="R10" s="22">
        <f t="shared" si="8"/>
        <v>4451.8065407642507</v>
      </c>
      <c r="S10" s="22">
        <f t="shared" si="8"/>
        <v>4460.041868217455</v>
      </c>
      <c r="T10" s="32">
        <f t="shared" si="9"/>
        <v>4468.2771956706601</v>
      </c>
      <c r="U10" s="22">
        <f t="shared" si="10"/>
        <v>4472.6344752471705</v>
      </c>
      <c r="V10" s="22">
        <f t="shared" si="10"/>
        <v>4476.9917548236808</v>
      </c>
      <c r="W10" s="22">
        <f t="shared" si="10"/>
        <v>4481.3490344001912</v>
      </c>
      <c r="X10" s="22">
        <f t="shared" si="10"/>
        <v>4485.7063139767015</v>
      </c>
      <c r="Y10" s="32">
        <f t="shared" si="11"/>
        <v>4490.0635935532127</v>
      </c>
      <c r="Z10" s="38">
        <f t="shared" si="12"/>
        <v>4611.2953105791494</v>
      </c>
      <c r="AA10" s="38">
        <f t="shared" si="12"/>
        <v>4735.8002839647861</v>
      </c>
      <c r="AB10" s="38">
        <f t="shared" si="12"/>
        <v>4863.6668916318349</v>
      </c>
      <c r="AC10" s="38">
        <f t="shared" si="12"/>
        <v>4994.9858977058939</v>
      </c>
      <c r="AD10" s="38">
        <f t="shared" si="12"/>
        <v>5129.8505169439522</v>
      </c>
      <c r="AE10" s="38">
        <f t="shared" si="12"/>
        <v>5268.3564809014388</v>
      </c>
      <c r="AF10" s="38">
        <f t="shared" si="12"/>
        <v>5410.6021058857768</v>
      </c>
      <c r="AG10" s="38">
        <f t="shared" si="12"/>
        <v>5556.6883627446923</v>
      </c>
      <c r="AH10" s="38">
        <f t="shared" si="12"/>
        <v>5706.7189485387989</v>
      </c>
      <c r="AI10" s="38">
        <f t="shared" si="12"/>
        <v>5860.8003601493456</v>
      </c>
    </row>
    <row r="11" spans="1:35" ht="18" thickTop="1" thickBot="1" x14ac:dyDescent="0.45">
      <c r="A11" s="29" t="s">
        <v>200</v>
      </c>
      <c r="B11" s="40">
        <v>80.805127028140078</v>
      </c>
      <c r="C11" s="40"/>
      <c r="D11" s="40">
        <v>106.68198331763352</v>
      </c>
      <c r="E11" s="40">
        <v>114.5007436441706</v>
      </c>
      <c r="F11" s="40">
        <v>114.5007436441706</v>
      </c>
      <c r="H11" s="22" t="s">
        <v>200</v>
      </c>
      <c r="I11" s="32">
        <f t="shared" si="5"/>
        <v>80.805127028140078</v>
      </c>
      <c r="J11" s="22">
        <f t="shared" si="6"/>
        <v>85.117936409722319</v>
      </c>
      <c r="K11" s="22">
        <f t="shared" si="6"/>
        <v>89.43074579130456</v>
      </c>
      <c r="L11" s="22">
        <f t="shared" si="6"/>
        <v>93.743555172886801</v>
      </c>
      <c r="M11" s="22">
        <f t="shared" si="6"/>
        <v>98.056364554469042</v>
      </c>
      <c r="N11" s="22">
        <f t="shared" si="6"/>
        <v>102.36917393605128</v>
      </c>
      <c r="O11" s="32">
        <f t="shared" si="7"/>
        <v>106.68198331763352</v>
      </c>
      <c r="P11" s="22">
        <f t="shared" si="8"/>
        <v>108.24573538294094</v>
      </c>
      <c r="Q11" s="22">
        <f t="shared" si="8"/>
        <v>109.80948744824835</v>
      </c>
      <c r="R11" s="22">
        <f t="shared" si="8"/>
        <v>111.37323951355576</v>
      </c>
      <c r="S11" s="22">
        <f t="shared" si="8"/>
        <v>112.93699157886317</v>
      </c>
      <c r="T11" s="32">
        <f t="shared" si="9"/>
        <v>114.5007436441706</v>
      </c>
      <c r="U11" s="22">
        <f t="shared" si="10"/>
        <v>114.5007436441706</v>
      </c>
      <c r="V11" s="22">
        <f t="shared" si="10"/>
        <v>114.5007436441706</v>
      </c>
      <c r="W11" s="22">
        <f t="shared" si="10"/>
        <v>114.5007436441706</v>
      </c>
      <c r="X11" s="22">
        <f t="shared" si="10"/>
        <v>114.5007436441706</v>
      </c>
      <c r="Y11" s="32">
        <f t="shared" si="11"/>
        <v>114.5007436441706</v>
      </c>
      <c r="Z11" s="38">
        <f t="shared" si="12"/>
        <v>117.59226372256319</v>
      </c>
      <c r="AA11" s="38">
        <f t="shared" si="12"/>
        <v>120.76725484307238</v>
      </c>
      <c r="AB11" s="38">
        <f t="shared" si="12"/>
        <v>124.02797072383532</v>
      </c>
      <c r="AC11" s="38">
        <f t="shared" si="12"/>
        <v>127.37672593337886</v>
      </c>
      <c r="AD11" s="38">
        <f t="shared" si="12"/>
        <v>130.81589753358008</v>
      </c>
      <c r="AE11" s="38">
        <f t="shared" si="12"/>
        <v>134.34792676698675</v>
      </c>
      <c r="AF11" s="38">
        <f t="shared" si="12"/>
        <v>137.97532078969539</v>
      </c>
      <c r="AG11" s="38">
        <f t="shared" si="12"/>
        <v>141.70065445101716</v>
      </c>
      <c r="AH11" s="38">
        <f t="shared" si="12"/>
        <v>145.52657212119462</v>
      </c>
      <c r="AI11" s="38">
        <f t="shared" si="12"/>
        <v>149.45578956846686</v>
      </c>
    </row>
    <row r="12" spans="1:35" ht="15" thickTop="1" x14ac:dyDescent="0.35"/>
    <row r="13" spans="1:35" x14ac:dyDescent="0.35">
      <c r="I13" s="22" t="s">
        <v>201</v>
      </c>
    </row>
    <row r="14" spans="1:35" x14ac:dyDescent="0.35">
      <c r="G14" s="41" t="s">
        <v>202</v>
      </c>
      <c r="H14" s="22" t="s">
        <v>174</v>
      </c>
      <c r="I14" s="22">
        <v>27400</v>
      </c>
      <c r="J14" s="22">
        <f>I14*1.027</f>
        <v>28139.8</v>
      </c>
      <c r="K14" s="22">
        <f t="shared" ref="K14:Z14" si="13">J14*1.027</f>
        <v>28899.574599999996</v>
      </c>
      <c r="L14" s="22">
        <f t="shared" si="13"/>
        <v>29679.863114199994</v>
      </c>
      <c r="M14" s="22">
        <f t="shared" si="13"/>
        <v>30481.219418283392</v>
      </c>
      <c r="N14" s="22">
        <f t="shared" si="13"/>
        <v>31304.212342577041</v>
      </c>
      <c r="O14" s="22">
        <f t="shared" si="13"/>
        <v>32149.426075826617</v>
      </c>
      <c r="P14" s="22">
        <f t="shared" si="13"/>
        <v>33017.460579873936</v>
      </c>
      <c r="Q14" s="22">
        <f t="shared" si="13"/>
        <v>33908.932015530532</v>
      </c>
      <c r="R14" s="22">
        <f t="shared" si="13"/>
        <v>34824.473179949855</v>
      </c>
      <c r="S14" s="22">
        <f t="shared" si="13"/>
        <v>35764.7339558085</v>
      </c>
      <c r="T14" s="22">
        <f t="shared" si="13"/>
        <v>36730.381772615328</v>
      </c>
      <c r="U14" s="22">
        <f t="shared" si="13"/>
        <v>37722.102080475939</v>
      </c>
      <c r="V14" s="22">
        <f t="shared" si="13"/>
        <v>38740.598836648787</v>
      </c>
      <c r="W14" s="22">
        <f t="shared" si="13"/>
        <v>39786.595005238298</v>
      </c>
      <c r="X14" s="22">
        <f t="shared" si="13"/>
        <v>40860.833070379726</v>
      </c>
      <c r="Y14" s="22">
        <f t="shared" si="13"/>
        <v>41964.075563279977</v>
      </c>
      <c r="Z14" s="22">
        <f t="shared" si="13"/>
        <v>43097.105603488533</v>
      </c>
      <c r="AA14" s="22">
        <f t="shared" ref="Z14:AI18" si="14">Z14*1.027</f>
        <v>44260.727454782718</v>
      </c>
      <c r="AB14" s="22">
        <f t="shared" si="14"/>
        <v>45455.767096061849</v>
      </c>
      <c r="AC14" s="22">
        <f t="shared" si="14"/>
        <v>46683.072807655517</v>
      </c>
      <c r="AD14" s="22">
        <f t="shared" si="14"/>
        <v>47943.515773462212</v>
      </c>
      <c r="AE14" s="22">
        <f t="shared" si="14"/>
        <v>49237.99069934569</v>
      </c>
      <c r="AF14" s="22">
        <f t="shared" si="14"/>
        <v>50567.416448228018</v>
      </c>
      <c r="AG14" s="22">
        <f t="shared" si="14"/>
        <v>51932.736692330167</v>
      </c>
      <c r="AH14" s="22">
        <f t="shared" si="14"/>
        <v>53334.920583023079</v>
      </c>
      <c r="AI14" s="22">
        <f t="shared" si="14"/>
        <v>54774.963438764695</v>
      </c>
    </row>
    <row r="15" spans="1:35" x14ac:dyDescent="0.35">
      <c r="G15" s="22" t="s">
        <v>203</v>
      </c>
      <c r="H15" s="22" t="s">
        <v>183</v>
      </c>
      <c r="I15" s="22">
        <v>0.76</v>
      </c>
      <c r="J15" s="22">
        <f t="shared" ref="J15:Y18" si="15">I15*1.027</f>
        <v>0.78051999999999999</v>
      </c>
      <c r="K15" s="22">
        <f t="shared" si="15"/>
        <v>0.8015940399999999</v>
      </c>
      <c r="L15" s="22">
        <f t="shared" si="15"/>
        <v>0.82323707907999988</v>
      </c>
      <c r="M15" s="22">
        <f t="shared" si="15"/>
        <v>0.84546448021515985</v>
      </c>
      <c r="N15" s="22">
        <f t="shared" si="15"/>
        <v>0.86829202118096904</v>
      </c>
      <c r="O15" s="22">
        <f t="shared" si="15"/>
        <v>0.89173590575285511</v>
      </c>
      <c r="P15" s="22">
        <f t="shared" si="15"/>
        <v>0.91581277520818216</v>
      </c>
      <c r="Q15" s="22">
        <f t="shared" si="15"/>
        <v>0.94053972013880305</v>
      </c>
      <c r="R15" s="22">
        <f t="shared" si="15"/>
        <v>0.9659342925825507</v>
      </c>
      <c r="S15" s="22">
        <f t="shared" si="15"/>
        <v>0.99201451848227951</v>
      </c>
      <c r="T15" s="22">
        <f t="shared" si="15"/>
        <v>1.0187989104813009</v>
      </c>
      <c r="U15" s="22">
        <f t="shared" si="15"/>
        <v>1.0463064810642959</v>
      </c>
      <c r="V15" s="22">
        <f t="shared" si="15"/>
        <v>1.0745567560530318</v>
      </c>
      <c r="W15" s="22">
        <f t="shared" si="15"/>
        <v>1.1035697884664635</v>
      </c>
      <c r="X15" s="22">
        <f t="shared" si="15"/>
        <v>1.1333661727550579</v>
      </c>
      <c r="Y15" s="22">
        <f t="shared" si="15"/>
        <v>1.1639670594194444</v>
      </c>
      <c r="Z15" s="22">
        <f t="shared" si="14"/>
        <v>1.1953941700237694</v>
      </c>
      <c r="AA15" s="22">
        <f t="shared" si="14"/>
        <v>1.227669812614411</v>
      </c>
      <c r="AB15" s="22">
        <f t="shared" si="14"/>
        <v>1.260816897555</v>
      </c>
      <c r="AC15" s="22">
        <f t="shared" si="14"/>
        <v>1.294858953788985</v>
      </c>
      <c r="AD15" s="22">
        <f t="shared" si="14"/>
        <v>1.3298201455412875</v>
      </c>
      <c r="AE15" s="22">
        <f t="shared" si="14"/>
        <v>1.3657252894709022</v>
      </c>
      <c r="AF15" s="22">
        <f t="shared" si="14"/>
        <v>1.4025998722866164</v>
      </c>
      <c r="AG15" s="22">
        <f t="shared" si="14"/>
        <v>1.4404700688383549</v>
      </c>
      <c r="AH15" s="22">
        <f t="shared" si="14"/>
        <v>1.4793627606969904</v>
      </c>
      <c r="AI15" s="22">
        <f t="shared" si="14"/>
        <v>1.519305555235809</v>
      </c>
    </row>
    <row r="16" spans="1:35" x14ac:dyDescent="0.35">
      <c r="G16" s="22" t="s">
        <v>204</v>
      </c>
      <c r="H16" s="22" t="s">
        <v>175</v>
      </c>
      <c r="I16" s="22">
        <v>3800</v>
      </c>
      <c r="J16" s="22">
        <f t="shared" si="15"/>
        <v>3902.5999999999995</v>
      </c>
      <c r="K16" s="22">
        <f t="shared" si="15"/>
        <v>4007.9701999999993</v>
      </c>
      <c r="L16" s="22">
        <f t="shared" si="15"/>
        <v>4116.1853953999989</v>
      </c>
      <c r="M16" s="22">
        <f t="shared" si="15"/>
        <v>4227.3224010757986</v>
      </c>
      <c r="N16" s="22">
        <f t="shared" si="15"/>
        <v>4341.4601059048446</v>
      </c>
      <c r="O16" s="22">
        <f t="shared" si="15"/>
        <v>4458.6795287642753</v>
      </c>
      <c r="P16" s="22">
        <f t="shared" si="15"/>
        <v>4579.0638760409101</v>
      </c>
      <c r="Q16" s="22">
        <f t="shared" si="15"/>
        <v>4702.6986006940142</v>
      </c>
      <c r="R16" s="22">
        <f t="shared" si="15"/>
        <v>4829.6714629127518</v>
      </c>
      <c r="S16" s="22">
        <f t="shared" si="15"/>
        <v>4960.0725924113958</v>
      </c>
      <c r="T16" s="22">
        <f t="shared" si="15"/>
        <v>5093.9945524065033</v>
      </c>
      <c r="U16" s="22">
        <f t="shared" si="15"/>
        <v>5231.5324053214781</v>
      </c>
      <c r="V16" s="22">
        <f t="shared" si="15"/>
        <v>5372.7837802651575</v>
      </c>
      <c r="W16" s="22">
        <f t="shared" si="15"/>
        <v>5517.8489423323163</v>
      </c>
      <c r="X16" s="22">
        <f t="shared" si="15"/>
        <v>5666.830863775288</v>
      </c>
      <c r="Y16" s="22">
        <f t="shared" si="15"/>
        <v>5819.8352970972201</v>
      </c>
      <c r="Z16" s="22">
        <f t="shared" si="14"/>
        <v>5976.9708501188443</v>
      </c>
      <c r="AA16" s="22">
        <f t="shared" si="14"/>
        <v>6138.3490630720526</v>
      </c>
      <c r="AB16" s="22">
        <f t="shared" si="14"/>
        <v>6304.0844877749978</v>
      </c>
      <c r="AC16" s="22">
        <f t="shared" si="14"/>
        <v>6474.294768944922</v>
      </c>
      <c r="AD16" s="22">
        <f t="shared" si="14"/>
        <v>6649.1007277064346</v>
      </c>
      <c r="AE16" s="22">
        <f t="shared" si="14"/>
        <v>6828.6264473545079</v>
      </c>
      <c r="AF16" s="22">
        <f t="shared" si="14"/>
        <v>7012.9993614330788</v>
      </c>
      <c r="AG16" s="22">
        <f t="shared" si="14"/>
        <v>7202.350344191771</v>
      </c>
      <c r="AH16" s="22">
        <f t="shared" si="14"/>
        <v>7396.813803484948</v>
      </c>
      <c r="AI16" s="22">
        <f t="shared" si="14"/>
        <v>7596.5277761790412</v>
      </c>
    </row>
    <row r="17" spans="7:35" x14ac:dyDescent="0.35">
      <c r="G17" s="22" t="s">
        <v>204</v>
      </c>
      <c r="H17" s="22" t="s">
        <v>185</v>
      </c>
      <c r="I17" s="22">
        <v>25.3</v>
      </c>
      <c r="J17" s="22">
        <f t="shared" si="15"/>
        <v>25.983099999999997</v>
      </c>
      <c r="K17" s="22">
        <f t="shared" si="15"/>
        <v>26.684643699999995</v>
      </c>
      <c r="L17" s="22">
        <f t="shared" si="15"/>
        <v>27.405129079899993</v>
      </c>
      <c r="M17" s="22">
        <f t="shared" si="15"/>
        <v>28.145067565057289</v>
      </c>
      <c r="N17" s="22">
        <f t="shared" si="15"/>
        <v>28.904984389313832</v>
      </c>
      <c r="O17" s="22">
        <f t="shared" si="15"/>
        <v>29.685418967825303</v>
      </c>
      <c r="P17" s="22">
        <f t="shared" si="15"/>
        <v>30.486925279956584</v>
      </c>
      <c r="Q17" s="22">
        <f t="shared" si="15"/>
        <v>31.310072262515408</v>
      </c>
      <c r="R17" s="22">
        <f t="shared" si="15"/>
        <v>32.155444213603324</v>
      </c>
      <c r="S17" s="22">
        <f t="shared" si="15"/>
        <v>33.023641207370609</v>
      </c>
      <c r="T17" s="22">
        <f t="shared" si="15"/>
        <v>33.915279519969616</v>
      </c>
      <c r="U17" s="22">
        <f t="shared" si="15"/>
        <v>34.830992067008793</v>
      </c>
      <c r="V17" s="22">
        <f t="shared" si="15"/>
        <v>35.771428852818026</v>
      </c>
      <c r="W17" s="22">
        <f t="shared" si="15"/>
        <v>36.737257431844107</v>
      </c>
      <c r="X17" s="22">
        <f t="shared" si="15"/>
        <v>37.729163382503891</v>
      </c>
      <c r="Y17" s="22">
        <f t="shared" si="15"/>
        <v>38.747850793831496</v>
      </c>
      <c r="Z17" s="22">
        <f t="shared" si="14"/>
        <v>39.79404276526494</v>
      </c>
      <c r="AA17" s="22">
        <f t="shared" si="14"/>
        <v>40.868481919927092</v>
      </c>
      <c r="AB17" s="22">
        <f t="shared" si="14"/>
        <v>41.971930931765122</v>
      </c>
      <c r="AC17" s="22">
        <f t="shared" si="14"/>
        <v>43.105173066922774</v>
      </c>
      <c r="AD17" s="22">
        <f t="shared" si="14"/>
        <v>44.269012739729682</v>
      </c>
      <c r="AE17" s="22">
        <f t="shared" si="14"/>
        <v>45.46427608370238</v>
      </c>
      <c r="AF17" s="22">
        <f t="shared" si="14"/>
        <v>46.691811537962337</v>
      </c>
      <c r="AG17" s="22">
        <f t="shared" si="14"/>
        <v>47.952490449487314</v>
      </c>
      <c r="AH17" s="22">
        <f t="shared" si="14"/>
        <v>49.247207691623466</v>
      </c>
      <c r="AI17" s="22">
        <f t="shared" si="14"/>
        <v>50.576882299297296</v>
      </c>
    </row>
    <row r="18" spans="7:35" x14ac:dyDescent="0.35">
      <c r="G18" s="22" t="s">
        <v>204</v>
      </c>
      <c r="H18" s="22" t="s">
        <v>186</v>
      </c>
      <c r="I18" s="22">
        <v>0.98099999999999998</v>
      </c>
      <c r="J18" s="22">
        <f t="shared" si="15"/>
        <v>1.0074869999999998</v>
      </c>
      <c r="K18" s="22">
        <f t="shared" si="15"/>
        <v>1.0346891489999996</v>
      </c>
      <c r="L18" s="22">
        <f t="shared" si="15"/>
        <v>1.0626257560229995</v>
      </c>
      <c r="M18" s="22">
        <f t="shared" si="15"/>
        <v>1.0913166514356203</v>
      </c>
      <c r="N18" s="22">
        <f t="shared" si="15"/>
        <v>1.120782201024382</v>
      </c>
      <c r="O18" s="22">
        <f t="shared" si="15"/>
        <v>1.1510433204520403</v>
      </c>
      <c r="P18" s="22">
        <f t="shared" si="15"/>
        <v>1.1821214901042452</v>
      </c>
      <c r="Q18" s="22">
        <f t="shared" si="15"/>
        <v>1.2140387703370596</v>
      </c>
      <c r="R18" s="22">
        <f t="shared" si="15"/>
        <v>1.2468178171361601</v>
      </c>
      <c r="S18" s="22">
        <f t="shared" si="15"/>
        <v>1.2804818981988364</v>
      </c>
      <c r="T18" s="22">
        <f t="shared" si="15"/>
        <v>1.3150549094502049</v>
      </c>
      <c r="U18" s="22">
        <f t="shared" si="15"/>
        <v>1.3505613920053603</v>
      </c>
      <c r="V18" s="22">
        <f t="shared" si="15"/>
        <v>1.3870265495895049</v>
      </c>
      <c r="W18" s="22">
        <f t="shared" si="15"/>
        <v>1.4244762664284214</v>
      </c>
      <c r="X18" s="22">
        <f t="shared" si="15"/>
        <v>1.4629371256219887</v>
      </c>
      <c r="Y18" s="22">
        <f t="shared" si="15"/>
        <v>1.5024364280137823</v>
      </c>
      <c r="Z18" s="22">
        <f t="shared" si="14"/>
        <v>1.5430022115701543</v>
      </c>
      <c r="AA18" s="22">
        <f t="shared" si="14"/>
        <v>1.5846632712825484</v>
      </c>
      <c r="AB18" s="22">
        <f t="shared" si="14"/>
        <v>1.6274491796071771</v>
      </c>
      <c r="AC18" s="22">
        <f t="shared" si="14"/>
        <v>1.6713903074565708</v>
      </c>
      <c r="AD18" s="22">
        <f t="shared" si="14"/>
        <v>1.716517845757898</v>
      </c>
      <c r="AE18" s="22">
        <f t="shared" si="14"/>
        <v>1.762863827593361</v>
      </c>
      <c r="AF18" s="22">
        <f t="shared" si="14"/>
        <v>1.8104611509383817</v>
      </c>
      <c r="AG18" s="22">
        <f t="shared" si="14"/>
        <v>1.8593436020137177</v>
      </c>
      <c r="AH18" s="22">
        <f t="shared" si="14"/>
        <v>1.9095458792680879</v>
      </c>
      <c r="AI18" s="22">
        <f t="shared" si="14"/>
        <v>1.9611036180083261</v>
      </c>
    </row>
  </sheetData>
  <hyperlinks>
    <hyperlink ref="G14" r:id="rId1" xr:uid="{C25F2929-E42E-47BC-9338-BF0B989F8E33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F7672-49B4-44B0-A032-1812DA81D9A4}">
  <sheetPr>
    <tabColor rgb="FF0077B6"/>
  </sheetPr>
  <dimension ref="A1:AM82"/>
  <sheetViews>
    <sheetView workbookViewId="0">
      <selection activeCell="N9" sqref="N9"/>
    </sheetView>
  </sheetViews>
  <sheetFormatPr defaultColWidth="9.36328125" defaultRowHeight="14.5" x14ac:dyDescent="0.35"/>
  <cols>
    <col min="1" max="1" width="44.26953125" style="22" customWidth="1"/>
    <col min="2" max="2" width="11.54296875" style="22" customWidth="1"/>
    <col min="3" max="3" width="7.1796875" style="22" customWidth="1"/>
    <col min="4" max="8" width="11.54296875" style="22" customWidth="1"/>
    <col min="9" max="10" width="9.36328125" style="22"/>
    <col min="11" max="11" width="12.6328125" style="22" customWidth="1"/>
    <col min="12" max="12" width="9.36328125" style="42"/>
    <col min="13" max="17" width="9.36328125" style="43"/>
    <col min="18" max="18" width="9.36328125" style="42"/>
    <col min="19" max="22" width="9.36328125" style="43"/>
    <col min="23" max="23" width="9.6328125" style="42" bestFit="1" customWidth="1"/>
    <col min="24" max="27" width="9.36328125" style="43"/>
    <col min="28" max="28" width="9.6328125" style="42" bestFit="1" customWidth="1"/>
    <col min="29" max="32" width="9.36328125" style="43"/>
    <col min="33" max="33" width="9.6328125" style="42" bestFit="1" customWidth="1"/>
    <col min="34" max="37" width="9.36328125" style="43"/>
    <col min="38" max="38" width="9.6328125" style="42" bestFit="1" customWidth="1"/>
    <col min="39" max="39" width="9.36328125" style="43"/>
    <col min="40" max="16384" width="9.36328125" style="22"/>
  </cols>
  <sheetData>
    <row r="1" spans="1:39" ht="26.15" customHeight="1" x14ac:dyDescent="0.35"/>
    <row r="2" spans="1:39" ht="26.15" customHeight="1" x14ac:dyDescent="0.55000000000000004">
      <c r="A2" s="24" t="s">
        <v>205</v>
      </c>
    </row>
    <row r="3" spans="1:39" ht="26.15" customHeight="1" x14ac:dyDescent="0.35"/>
    <row r="4" spans="1:39" ht="26.15" customHeight="1" x14ac:dyDescent="0.45">
      <c r="C4" s="44"/>
      <c r="D4" s="25" t="s">
        <v>169</v>
      </c>
      <c r="E4" s="26"/>
      <c r="F4" s="26"/>
      <c r="G4" s="26"/>
      <c r="H4" s="26"/>
    </row>
    <row r="5" spans="1:39" ht="20" thickBot="1" x14ac:dyDescent="0.5">
      <c r="A5" s="39"/>
      <c r="B5" s="27">
        <v>2024</v>
      </c>
      <c r="D5" s="27">
        <v>2030</v>
      </c>
      <c r="E5" s="27">
        <v>2035</v>
      </c>
      <c r="F5" s="27">
        <v>2040</v>
      </c>
      <c r="G5" s="27">
        <v>2045</v>
      </c>
      <c r="H5" s="27">
        <v>2050</v>
      </c>
    </row>
    <row r="6" spans="1:39" ht="15" thickTop="1" x14ac:dyDescent="0.35">
      <c r="L6" s="42">
        <v>2024</v>
      </c>
      <c r="M6" s="43">
        <f>L6+1</f>
        <v>2025</v>
      </c>
      <c r="N6" s="43">
        <f t="shared" ref="N6:AL6" si="0">M6+1</f>
        <v>2026</v>
      </c>
      <c r="O6" s="43">
        <f t="shared" si="0"/>
        <v>2027</v>
      </c>
      <c r="P6" s="43">
        <f t="shared" si="0"/>
        <v>2028</v>
      </c>
      <c r="Q6" s="43">
        <f t="shared" si="0"/>
        <v>2029</v>
      </c>
      <c r="R6" s="42">
        <f t="shared" si="0"/>
        <v>2030</v>
      </c>
      <c r="S6" s="43">
        <f t="shared" si="0"/>
        <v>2031</v>
      </c>
      <c r="T6" s="43">
        <f t="shared" si="0"/>
        <v>2032</v>
      </c>
      <c r="U6" s="43">
        <f t="shared" si="0"/>
        <v>2033</v>
      </c>
      <c r="V6" s="43">
        <f t="shared" si="0"/>
        <v>2034</v>
      </c>
      <c r="W6" s="42">
        <f t="shared" si="0"/>
        <v>2035</v>
      </c>
      <c r="X6" s="43">
        <f t="shared" si="0"/>
        <v>2036</v>
      </c>
      <c r="Y6" s="43">
        <f t="shared" si="0"/>
        <v>2037</v>
      </c>
      <c r="Z6" s="43">
        <f t="shared" si="0"/>
        <v>2038</v>
      </c>
      <c r="AA6" s="43">
        <f t="shared" si="0"/>
        <v>2039</v>
      </c>
      <c r="AB6" s="42">
        <f t="shared" si="0"/>
        <v>2040</v>
      </c>
      <c r="AC6" s="43">
        <f t="shared" si="0"/>
        <v>2041</v>
      </c>
      <c r="AD6" s="43">
        <f t="shared" si="0"/>
        <v>2042</v>
      </c>
      <c r="AE6" s="43">
        <f t="shared" si="0"/>
        <v>2043</v>
      </c>
      <c r="AF6" s="43">
        <f t="shared" si="0"/>
        <v>2044</v>
      </c>
      <c r="AG6" s="42">
        <f t="shared" si="0"/>
        <v>2045</v>
      </c>
      <c r="AH6" s="43">
        <f t="shared" si="0"/>
        <v>2046</v>
      </c>
      <c r="AI6" s="43">
        <f t="shared" si="0"/>
        <v>2047</v>
      </c>
      <c r="AJ6" s="43">
        <f t="shared" si="0"/>
        <v>2048</v>
      </c>
      <c r="AK6" s="43">
        <f t="shared" si="0"/>
        <v>2049</v>
      </c>
      <c r="AL6" s="42">
        <f t="shared" si="0"/>
        <v>2050</v>
      </c>
    </row>
    <row r="7" spans="1:39" ht="17.5" thickBot="1" x14ac:dyDescent="0.45">
      <c r="A7" s="29" t="s">
        <v>171</v>
      </c>
      <c r="B7" s="29"/>
      <c r="D7" s="29"/>
      <c r="E7" s="29"/>
      <c r="F7" s="29"/>
      <c r="G7" s="29"/>
      <c r="H7" s="29"/>
      <c r="J7" s="22" t="s">
        <v>206</v>
      </c>
      <c r="K7" s="22" t="s">
        <v>171</v>
      </c>
      <c r="L7" s="42">
        <f>B11*100/$B$17</f>
        <v>1.8590591102917586</v>
      </c>
      <c r="M7" s="43">
        <f>L7+($R7-$L7)/6</f>
        <v>2.8396953612234168</v>
      </c>
      <c r="N7" s="43">
        <f t="shared" ref="N7:Q7" si="1">M7+($R7-$L7)/6</f>
        <v>3.820331612155075</v>
      </c>
      <c r="O7" s="43">
        <f t="shared" si="1"/>
        <v>4.8009678630867327</v>
      </c>
      <c r="P7" s="43">
        <f t="shared" si="1"/>
        <v>5.7816041140183909</v>
      </c>
      <c r="Q7" s="43">
        <f t="shared" si="1"/>
        <v>6.7622403649500491</v>
      </c>
      <c r="R7" s="42">
        <f>D11*100/$D$17</f>
        <v>7.7428766158817082</v>
      </c>
      <c r="S7" s="43">
        <f>R7+($W7-$R7)/5</f>
        <v>8.5832990044720088</v>
      </c>
      <c r="T7" s="43">
        <f t="shared" ref="T7:V7" si="2">S7+($W7-$R7)/5</f>
        <v>9.4237213930623103</v>
      </c>
      <c r="U7" s="43">
        <f t="shared" si="2"/>
        <v>10.264143781652612</v>
      </c>
      <c r="V7" s="43">
        <f t="shared" si="2"/>
        <v>11.104566170242913</v>
      </c>
      <c r="W7" s="42">
        <f>E11*100/$E$17</f>
        <v>11.944988558833213</v>
      </c>
      <c r="X7" s="43">
        <f>W7+($AB7-$W7)/5</f>
        <v>12.199946236324251</v>
      </c>
      <c r="Y7" s="43">
        <f t="shared" ref="Y7:AA7" si="3">X7+($AB7-$W7)/5</f>
        <v>12.45490391381529</v>
      </c>
      <c r="Z7" s="43">
        <f t="shared" si="3"/>
        <v>12.709861591306328</v>
      </c>
      <c r="AA7" s="43">
        <f t="shared" si="3"/>
        <v>12.964819268797367</v>
      </c>
      <c r="AB7" s="42">
        <f>F11*100/$F$17</f>
        <v>13.219776946288404</v>
      </c>
      <c r="AC7" s="43">
        <f>AB7+($AG7-$AB7)/5</f>
        <v>13.330166705794047</v>
      </c>
      <c r="AD7" s="43">
        <f t="shared" ref="AD7:AF7" si="4">AC7+($AG7-$AB7)/5</f>
        <v>13.440556465299691</v>
      </c>
      <c r="AE7" s="43">
        <f t="shared" si="4"/>
        <v>13.550946224805335</v>
      </c>
      <c r="AF7" s="43">
        <f t="shared" si="4"/>
        <v>13.661335984310979</v>
      </c>
      <c r="AG7" s="42">
        <f>G11*100/$G$17</f>
        <v>13.771725743816621</v>
      </c>
      <c r="AH7" s="43">
        <f>AG7+($AL7-$AG7)/5</f>
        <v>13.767827199506844</v>
      </c>
      <c r="AI7" s="43">
        <f t="shared" ref="AI7:AK7" si="5">AH7+($AL7-$AG7)/5</f>
        <v>13.763928655197066</v>
      </c>
      <c r="AJ7" s="43">
        <f t="shared" si="5"/>
        <v>13.760030110887289</v>
      </c>
      <c r="AK7" s="43">
        <f t="shared" si="5"/>
        <v>13.756131566577512</v>
      </c>
      <c r="AL7" s="42">
        <f>H11*100/$H$17</f>
        <v>13.752233022267736</v>
      </c>
    </row>
    <row r="8" spans="1:39" ht="15" thickTop="1" x14ac:dyDescent="0.35">
      <c r="A8" s="22" t="s">
        <v>207</v>
      </c>
      <c r="B8" s="45">
        <v>1657.2</v>
      </c>
      <c r="C8" s="45"/>
      <c r="D8" s="45">
        <v>2848.78</v>
      </c>
      <c r="E8" s="45">
        <v>3238.53</v>
      </c>
      <c r="F8" s="45">
        <v>2569.66</v>
      </c>
      <c r="G8" s="45">
        <v>2176.11</v>
      </c>
      <c r="H8" s="45">
        <v>2733.59</v>
      </c>
      <c r="J8" s="22" t="s">
        <v>208</v>
      </c>
      <c r="K8" s="22" t="s">
        <v>171</v>
      </c>
      <c r="L8" s="42">
        <f>B8*100/$B$17</f>
        <v>6.20274005982718</v>
      </c>
      <c r="M8" s="43">
        <f t="shared" ref="M8:Q23" si="6">L8+($R8-$L8)/6</f>
        <v>6.5485252553618061</v>
      </c>
      <c r="N8" s="43">
        <f t="shared" si="6"/>
        <v>6.8943104508964321</v>
      </c>
      <c r="O8" s="43">
        <f t="shared" si="6"/>
        <v>7.2400956464310582</v>
      </c>
      <c r="P8" s="43">
        <f t="shared" si="6"/>
        <v>7.5858808419656842</v>
      </c>
      <c r="Q8" s="43">
        <f t="shared" si="6"/>
        <v>7.9316660375003103</v>
      </c>
      <c r="R8" s="42">
        <f>D8*100/$D$17</f>
        <v>8.2774512330349346</v>
      </c>
      <c r="S8" s="43">
        <f t="shared" ref="S8:V23" si="7">R8+($W8-$R8)/5</f>
        <v>8.3079843257005752</v>
      </c>
      <c r="T8" s="43">
        <f t="shared" si="7"/>
        <v>8.3385174183662158</v>
      </c>
      <c r="U8" s="43">
        <f t="shared" si="7"/>
        <v>8.3690505110318565</v>
      </c>
      <c r="V8" s="43">
        <f t="shared" si="7"/>
        <v>8.3995836036974971</v>
      </c>
      <c r="W8" s="42">
        <f>E8*100/$E$17</f>
        <v>8.430116696363136</v>
      </c>
      <c r="X8" s="43">
        <f t="shared" ref="X8:AA23" si="8">W8+($AB8-$W8)/5</f>
        <v>8.045853111678408</v>
      </c>
      <c r="Y8" s="43">
        <f t="shared" si="8"/>
        <v>7.6615895269936809</v>
      </c>
      <c r="Z8" s="43">
        <f t="shared" si="8"/>
        <v>7.2773259423089538</v>
      </c>
      <c r="AA8" s="43">
        <f t="shared" si="8"/>
        <v>6.8930623576242267</v>
      </c>
      <c r="AB8" s="42">
        <f>F8*100/$F$17</f>
        <v>6.5087987729394987</v>
      </c>
      <c r="AC8" s="43">
        <f t="shared" ref="AC8:AF23" si="9">AB8+($AG8-$AB8)/5</f>
        <v>6.2927408352955636</v>
      </c>
      <c r="AD8" s="43">
        <f t="shared" si="9"/>
        <v>6.0766828976516285</v>
      </c>
      <c r="AE8" s="43">
        <f t="shared" si="9"/>
        <v>5.8606249600076934</v>
      </c>
      <c r="AF8" s="43">
        <f t="shared" si="9"/>
        <v>5.6445670223637583</v>
      </c>
      <c r="AG8" s="42">
        <f>G8*100/$G$17</f>
        <v>5.4285090847198214</v>
      </c>
      <c r="AH8" s="43">
        <f t="shared" ref="AH8:AK23" si="10">AG8+($AL8-$AG8)/5</f>
        <v>5.6673311045872747</v>
      </c>
      <c r="AI8" s="43">
        <f t="shared" si="10"/>
        <v>5.9061531244547281</v>
      </c>
      <c r="AJ8" s="43">
        <f t="shared" si="10"/>
        <v>6.1449751443221814</v>
      </c>
      <c r="AK8" s="43">
        <f t="shared" si="10"/>
        <v>6.3837971641896347</v>
      </c>
      <c r="AL8" s="42">
        <f>H8*100/$H$17</f>
        <v>6.6226191840570889</v>
      </c>
    </row>
    <row r="9" spans="1:39" x14ac:dyDescent="0.35">
      <c r="A9" s="22" t="s">
        <v>209</v>
      </c>
      <c r="B9" s="45">
        <v>534.23699999999997</v>
      </c>
      <c r="C9" s="45"/>
      <c r="D9" s="45">
        <v>1527.38</v>
      </c>
      <c r="E9" s="45">
        <v>1601.7</v>
      </c>
      <c r="F9" s="45">
        <v>1126.01</v>
      </c>
      <c r="G9" s="45">
        <v>1104.5899999999999</v>
      </c>
      <c r="H9" s="45">
        <v>1378.82</v>
      </c>
      <c r="J9" s="22" t="s">
        <v>209</v>
      </c>
      <c r="K9" s="22" t="s">
        <v>171</v>
      </c>
      <c r="L9" s="42">
        <f>B9*100/$B$17</f>
        <v>1.9995976595111593</v>
      </c>
      <c r="M9" s="43">
        <f t="shared" si="6"/>
        <v>2.4059938269846448</v>
      </c>
      <c r="N9" s="43">
        <f t="shared" si="6"/>
        <v>2.8123899944581305</v>
      </c>
      <c r="O9" s="43">
        <f t="shared" si="6"/>
        <v>3.2187861619316163</v>
      </c>
      <c r="P9" s="43">
        <f t="shared" si="6"/>
        <v>3.625182329405102</v>
      </c>
      <c r="Q9" s="43">
        <f t="shared" si="6"/>
        <v>4.0315784968785877</v>
      </c>
      <c r="R9" s="42">
        <f>D9*100/$D$17</f>
        <v>4.4379746643520726</v>
      </c>
      <c r="S9" s="43">
        <f t="shared" si="7"/>
        <v>4.3842468201030282</v>
      </c>
      <c r="T9" s="43">
        <f t="shared" si="7"/>
        <v>4.3305189758539839</v>
      </c>
      <c r="U9" s="43">
        <f t="shared" si="7"/>
        <v>4.2767911316049396</v>
      </c>
      <c r="V9" s="43">
        <f t="shared" si="7"/>
        <v>4.2230632873558953</v>
      </c>
      <c r="W9" s="42">
        <f>E9*100/$E$17</f>
        <v>4.1693354431068528</v>
      </c>
      <c r="X9" s="43">
        <f t="shared" si="8"/>
        <v>3.9058918740419686</v>
      </c>
      <c r="Y9" s="43">
        <f t="shared" si="8"/>
        <v>3.6424483049770844</v>
      </c>
      <c r="Z9" s="43">
        <f t="shared" si="8"/>
        <v>3.3790047359122002</v>
      </c>
      <c r="AA9" s="43">
        <f t="shared" si="8"/>
        <v>3.115561166847316</v>
      </c>
      <c r="AB9" s="42">
        <f>F9*100/$F$17</f>
        <v>2.8521175977824322</v>
      </c>
      <c r="AC9" s="43">
        <f t="shared" si="9"/>
        <v>2.832794606222294</v>
      </c>
      <c r="AD9" s="43">
        <f t="shared" si="9"/>
        <v>2.8134716146621557</v>
      </c>
      <c r="AE9" s="43">
        <f t="shared" si="9"/>
        <v>2.7941486231020174</v>
      </c>
      <c r="AF9" s="43">
        <f t="shared" si="9"/>
        <v>2.7748256315418791</v>
      </c>
      <c r="AG9" s="42">
        <f>G9*100/$G$17</f>
        <v>2.7555026399817408</v>
      </c>
      <c r="AH9" s="43">
        <f t="shared" si="10"/>
        <v>2.8724905805093188</v>
      </c>
      <c r="AI9" s="43">
        <f t="shared" si="10"/>
        <v>2.9894785210368968</v>
      </c>
      <c r="AJ9" s="43">
        <f t="shared" si="10"/>
        <v>3.1064664615644748</v>
      </c>
      <c r="AK9" s="43">
        <f t="shared" si="10"/>
        <v>3.2234544020920528</v>
      </c>
      <c r="AL9" s="42">
        <f>H9*100/$H$17</f>
        <v>3.3404423426196304</v>
      </c>
    </row>
    <row r="10" spans="1:39" s="37" customFormat="1" x14ac:dyDescent="0.35">
      <c r="A10" s="37" t="s">
        <v>210</v>
      </c>
      <c r="B10" s="46">
        <v>75.702999999999861</v>
      </c>
      <c r="C10" s="46"/>
      <c r="D10" s="46">
        <v>220.00999999999976</v>
      </c>
      <c r="E10" s="46">
        <v>232.16000000000008</v>
      </c>
      <c r="F10" s="46">
        <v>175.27999999999997</v>
      </c>
      <c r="G10" s="46">
        <v>139.10000000000014</v>
      </c>
      <c r="H10" s="46">
        <v>118.31000000000017</v>
      </c>
      <c r="J10" s="22" t="s">
        <v>206</v>
      </c>
      <c r="K10" s="22" t="s">
        <v>172</v>
      </c>
      <c r="L10" s="47">
        <f>B23*100/B28</f>
        <v>30.131046133060273</v>
      </c>
      <c r="M10" s="43">
        <f t="shared" si="6"/>
        <v>34.768755197247827</v>
      </c>
      <c r="N10" s="43">
        <f t="shared" si="6"/>
        <v>39.406464261435382</v>
      </c>
      <c r="O10" s="43">
        <f t="shared" si="6"/>
        <v>44.044173325622936</v>
      </c>
      <c r="P10" s="43">
        <f t="shared" si="6"/>
        <v>48.68188238981049</v>
      </c>
      <c r="Q10" s="43">
        <f t="shared" si="6"/>
        <v>53.319591453998044</v>
      </c>
      <c r="R10" s="48">
        <f>D23*100/D28</f>
        <v>57.957300518185583</v>
      </c>
      <c r="S10" s="43">
        <f t="shared" si="7"/>
        <v>58.174150384427371</v>
      </c>
      <c r="T10" s="43">
        <f t="shared" si="7"/>
        <v>58.391000250669158</v>
      </c>
      <c r="U10" s="43">
        <f t="shared" si="7"/>
        <v>58.607850116910946</v>
      </c>
      <c r="V10" s="43">
        <f t="shared" si="7"/>
        <v>58.824699983152733</v>
      </c>
      <c r="W10" s="48">
        <f>E23*100/E28</f>
        <v>59.041549849394528</v>
      </c>
      <c r="X10" s="43">
        <f t="shared" si="8"/>
        <v>58.558304906518408</v>
      </c>
      <c r="Y10" s="43">
        <f t="shared" si="8"/>
        <v>58.075059963642289</v>
      </c>
      <c r="Z10" s="43">
        <f t="shared" si="8"/>
        <v>57.59181502076617</v>
      </c>
      <c r="AA10" s="43">
        <f t="shared" si="8"/>
        <v>57.10857007789005</v>
      </c>
      <c r="AB10" s="48">
        <f>F23*100/F28</f>
        <v>56.625325135013917</v>
      </c>
      <c r="AC10" s="43">
        <f t="shared" si="9"/>
        <v>56.993158643831386</v>
      </c>
      <c r="AD10" s="43">
        <f t="shared" si="9"/>
        <v>57.360992152648855</v>
      </c>
      <c r="AE10" s="43">
        <f t="shared" si="9"/>
        <v>57.728825661466324</v>
      </c>
      <c r="AF10" s="43">
        <f t="shared" si="9"/>
        <v>58.096659170283793</v>
      </c>
      <c r="AG10" s="48">
        <f>G23*100/G28</f>
        <v>58.464492679101269</v>
      </c>
      <c r="AH10" s="43">
        <f t="shared" si="10"/>
        <v>58.358564722195894</v>
      </c>
      <c r="AI10" s="43">
        <f t="shared" si="10"/>
        <v>58.252636765290518</v>
      </c>
      <c r="AJ10" s="43">
        <f t="shared" si="10"/>
        <v>58.146708808385142</v>
      </c>
      <c r="AK10" s="43">
        <f t="shared" si="10"/>
        <v>58.040780851479767</v>
      </c>
      <c r="AL10" s="48">
        <f>H23*100/H28</f>
        <v>57.934852894574384</v>
      </c>
      <c r="AM10" s="49"/>
    </row>
    <row r="11" spans="1:39" x14ac:dyDescent="0.35">
      <c r="A11" s="22" t="s">
        <v>211</v>
      </c>
      <c r="B11" s="45">
        <v>496.68900000000002</v>
      </c>
      <c r="C11" s="45"/>
      <c r="D11" s="45">
        <v>2664.8</v>
      </c>
      <c r="E11" s="45">
        <v>4588.8100000000004</v>
      </c>
      <c r="F11" s="45">
        <v>5219.1400000000003</v>
      </c>
      <c r="G11" s="45">
        <v>5520.63</v>
      </c>
      <c r="H11" s="45">
        <v>5676.45</v>
      </c>
      <c r="J11" s="22" t="s">
        <v>208</v>
      </c>
      <c r="K11" s="22" t="s">
        <v>172</v>
      </c>
      <c r="L11" s="50"/>
      <c r="M11" s="43">
        <f t="shared" si="6"/>
        <v>0</v>
      </c>
      <c r="N11" s="43">
        <f t="shared" si="6"/>
        <v>0</v>
      </c>
      <c r="O11" s="43">
        <f t="shared" si="6"/>
        <v>0</v>
      </c>
      <c r="P11" s="43">
        <f t="shared" si="6"/>
        <v>0</v>
      </c>
      <c r="Q11" s="43">
        <f t="shared" si="6"/>
        <v>0</v>
      </c>
      <c r="S11" s="43">
        <f t="shared" si="7"/>
        <v>0</v>
      </c>
      <c r="T11" s="43">
        <f t="shared" si="7"/>
        <v>0</v>
      </c>
      <c r="U11" s="43">
        <f t="shared" si="7"/>
        <v>0</v>
      </c>
      <c r="V11" s="43">
        <f t="shared" si="7"/>
        <v>0</v>
      </c>
      <c r="X11" s="43">
        <f t="shared" si="8"/>
        <v>0</v>
      </c>
      <c r="Y11" s="43">
        <f t="shared" si="8"/>
        <v>0</v>
      </c>
      <c r="Z11" s="43">
        <f t="shared" si="8"/>
        <v>0</v>
      </c>
      <c r="AA11" s="43">
        <f t="shared" si="8"/>
        <v>0</v>
      </c>
      <c r="AC11" s="43">
        <f t="shared" si="9"/>
        <v>0</v>
      </c>
      <c r="AD11" s="43">
        <f t="shared" si="9"/>
        <v>0</v>
      </c>
      <c r="AE11" s="43">
        <f t="shared" si="9"/>
        <v>0</v>
      </c>
      <c r="AF11" s="43">
        <f t="shared" si="9"/>
        <v>0</v>
      </c>
      <c r="AH11" s="43">
        <f t="shared" si="10"/>
        <v>0</v>
      </c>
      <c r="AI11" s="43">
        <f t="shared" si="10"/>
        <v>0</v>
      </c>
      <c r="AJ11" s="43">
        <f t="shared" si="10"/>
        <v>0</v>
      </c>
      <c r="AK11" s="43">
        <f t="shared" si="10"/>
        <v>0</v>
      </c>
    </row>
    <row r="12" spans="1:39" x14ac:dyDescent="0.35">
      <c r="A12" s="22" t="s">
        <v>212</v>
      </c>
      <c r="B12" s="45">
        <v>76.260000000000005</v>
      </c>
      <c r="C12" s="45"/>
      <c r="D12" s="45">
        <v>294.93299999999999</v>
      </c>
      <c r="E12" s="45">
        <v>495.40100000000001</v>
      </c>
      <c r="F12" s="45">
        <v>697.73800000000006</v>
      </c>
      <c r="G12" s="45">
        <v>843.28599999999994</v>
      </c>
      <c r="H12" s="45">
        <v>970.81200000000001</v>
      </c>
      <c r="J12" s="22" t="s">
        <v>209</v>
      </c>
      <c r="K12" s="22" t="s">
        <v>172</v>
      </c>
      <c r="M12" s="43">
        <f t="shared" si="6"/>
        <v>0</v>
      </c>
      <c r="N12" s="43">
        <f t="shared" si="6"/>
        <v>0</v>
      </c>
      <c r="O12" s="43">
        <f t="shared" si="6"/>
        <v>0</v>
      </c>
      <c r="P12" s="43">
        <f t="shared" si="6"/>
        <v>0</v>
      </c>
      <c r="Q12" s="43">
        <f t="shared" si="6"/>
        <v>0</v>
      </c>
      <c r="S12" s="43">
        <f t="shared" si="7"/>
        <v>0</v>
      </c>
      <c r="T12" s="43">
        <f t="shared" si="7"/>
        <v>0</v>
      </c>
      <c r="U12" s="43">
        <f t="shared" si="7"/>
        <v>0</v>
      </c>
      <c r="V12" s="43">
        <f t="shared" si="7"/>
        <v>0</v>
      </c>
      <c r="X12" s="43">
        <f t="shared" si="8"/>
        <v>0</v>
      </c>
      <c r="Y12" s="43">
        <f t="shared" si="8"/>
        <v>0</v>
      </c>
      <c r="Z12" s="43">
        <f t="shared" si="8"/>
        <v>0</v>
      </c>
      <c r="AA12" s="43">
        <f t="shared" si="8"/>
        <v>0</v>
      </c>
      <c r="AC12" s="43">
        <f t="shared" si="9"/>
        <v>0</v>
      </c>
      <c r="AD12" s="43">
        <f t="shared" si="9"/>
        <v>0</v>
      </c>
      <c r="AE12" s="43">
        <f t="shared" si="9"/>
        <v>0</v>
      </c>
      <c r="AF12" s="43">
        <f t="shared" si="9"/>
        <v>0</v>
      </c>
      <c r="AH12" s="43">
        <f t="shared" si="10"/>
        <v>0</v>
      </c>
      <c r="AI12" s="43">
        <f t="shared" si="10"/>
        <v>0</v>
      </c>
      <c r="AJ12" s="43">
        <f t="shared" si="10"/>
        <v>0</v>
      </c>
      <c r="AK12" s="43">
        <f t="shared" si="10"/>
        <v>0</v>
      </c>
    </row>
    <row r="13" spans="1:39" x14ac:dyDescent="0.35">
      <c r="A13" s="22" t="s">
        <v>213</v>
      </c>
      <c r="B13" s="45">
        <v>4928.9860770705018</v>
      </c>
      <c r="C13" s="45"/>
      <c r="D13" s="45">
        <v>7723.3138603773441</v>
      </c>
      <c r="E13" s="45">
        <v>9342.3794274377196</v>
      </c>
      <c r="F13" s="45">
        <v>9972.0143066731289</v>
      </c>
      <c r="G13" s="45">
        <v>9567.8589762767206</v>
      </c>
      <c r="H13" s="45">
        <v>8852.8734214389642</v>
      </c>
      <c r="J13" s="22" t="s">
        <v>206</v>
      </c>
      <c r="K13" s="37" t="s">
        <v>163</v>
      </c>
      <c r="L13" s="42">
        <f>B33*100/B37</f>
        <v>53.183414634146345</v>
      </c>
      <c r="M13" s="43">
        <f t="shared" si="6"/>
        <v>57.536947226128831</v>
      </c>
      <c r="N13" s="43">
        <f t="shared" si="6"/>
        <v>61.890479818111316</v>
      </c>
      <c r="O13" s="43">
        <f t="shared" si="6"/>
        <v>66.244012410093802</v>
      </c>
      <c r="P13" s="43">
        <f t="shared" si="6"/>
        <v>70.597545002076288</v>
      </c>
      <c r="Q13" s="43">
        <f t="shared" si="6"/>
        <v>74.951077594058773</v>
      </c>
      <c r="R13" s="42">
        <f>D33*100/D37</f>
        <v>79.304610186041273</v>
      </c>
      <c r="S13" s="43">
        <f t="shared" si="7"/>
        <v>80.285647350131299</v>
      </c>
      <c r="T13" s="43">
        <f t="shared" si="7"/>
        <v>81.266684514221325</v>
      </c>
      <c r="U13" s="43">
        <f t="shared" si="7"/>
        <v>82.247721678311351</v>
      </c>
      <c r="V13" s="43">
        <f t="shared" si="7"/>
        <v>83.228758842401376</v>
      </c>
      <c r="W13" s="42">
        <f>E33*100/E37</f>
        <v>84.209796006491402</v>
      </c>
      <c r="X13" s="43">
        <f t="shared" si="8"/>
        <v>84.417374065872025</v>
      </c>
      <c r="Y13" s="43">
        <f t="shared" si="8"/>
        <v>84.624952125252648</v>
      </c>
      <c r="Z13" s="43">
        <f t="shared" si="8"/>
        <v>84.832530184633271</v>
      </c>
      <c r="AA13" s="43">
        <f t="shared" si="8"/>
        <v>85.040108244013894</v>
      </c>
      <c r="AB13" s="42">
        <f>F33*100/F37</f>
        <v>85.247686303394545</v>
      </c>
      <c r="AC13" s="43">
        <f t="shared" si="9"/>
        <v>85.22888515854352</v>
      </c>
      <c r="AD13" s="43">
        <f t="shared" si="9"/>
        <v>85.210084013692494</v>
      </c>
      <c r="AE13" s="43">
        <f t="shared" si="9"/>
        <v>85.191282868841469</v>
      </c>
      <c r="AF13" s="43">
        <f t="shared" si="9"/>
        <v>85.172481723990444</v>
      </c>
      <c r="AG13" s="42">
        <f>G33*100/G37</f>
        <v>85.153680579139419</v>
      </c>
      <c r="AH13" s="43">
        <f t="shared" si="10"/>
        <v>84.991626239826857</v>
      </c>
      <c r="AI13" s="43">
        <f t="shared" si="10"/>
        <v>84.829571900514296</v>
      </c>
      <c r="AJ13" s="43">
        <f t="shared" si="10"/>
        <v>84.667517561201734</v>
      </c>
      <c r="AK13" s="43">
        <f t="shared" si="10"/>
        <v>84.505463221889173</v>
      </c>
      <c r="AL13" s="42">
        <f>H33*100/H37</f>
        <v>84.343408882576639</v>
      </c>
    </row>
    <row r="14" spans="1:39" x14ac:dyDescent="0.35">
      <c r="A14" s="22" t="s">
        <v>214</v>
      </c>
      <c r="B14" s="45">
        <v>3.2992E-3</v>
      </c>
      <c r="C14" s="45"/>
      <c r="D14" s="45">
        <v>0.187135</v>
      </c>
      <c r="E14" s="45">
        <v>0.20322699999999999</v>
      </c>
      <c r="F14" s="45">
        <v>0.17346600000000001</v>
      </c>
      <c r="G14" s="45">
        <v>0.14893200000000001</v>
      </c>
      <c r="H14" s="45">
        <v>0.19252</v>
      </c>
      <c r="J14" s="22" t="s">
        <v>208</v>
      </c>
      <c r="K14" s="37" t="s">
        <v>163</v>
      </c>
      <c r="M14" s="43">
        <f t="shared" si="6"/>
        <v>0</v>
      </c>
      <c r="N14" s="43">
        <f t="shared" si="6"/>
        <v>0</v>
      </c>
      <c r="O14" s="43">
        <f t="shared" si="6"/>
        <v>0</v>
      </c>
      <c r="P14" s="43">
        <f t="shared" si="6"/>
        <v>0</v>
      </c>
      <c r="Q14" s="43">
        <f t="shared" si="6"/>
        <v>0</v>
      </c>
      <c r="S14" s="43">
        <f t="shared" si="7"/>
        <v>0</v>
      </c>
      <c r="T14" s="43">
        <f t="shared" si="7"/>
        <v>0</v>
      </c>
      <c r="U14" s="43">
        <f t="shared" si="7"/>
        <v>0</v>
      </c>
      <c r="V14" s="43">
        <f t="shared" si="7"/>
        <v>0</v>
      </c>
      <c r="X14" s="43">
        <f t="shared" si="8"/>
        <v>0</v>
      </c>
      <c r="Y14" s="43">
        <f t="shared" si="8"/>
        <v>0</v>
      </c>
      <c r="Z14" s="43">
        <f t="shared" si="8"/>
        <v>0</v>
      </c>
      <c r="AA14" s="43">
        <f t="shared" si="8"/>
        <v>0</v>
      </c>
      <c r="AC14" s="43">
        <f t="shared" si="9"/>
        <v>0</v>
      </c>
      <c r="AD14" s="43">
        <f t="shared" si="9"/>
        <v>0</v>
      </c>
      <c r="AE14" s="43">
        <f t="shared" si="9"/>
        <v>0</v>
      </c>
      <c r="AF14" s="43">
        <f t="shared" si="9"/>
        <v>0</v>
      </c>
      <c r="AH14" s="43">
        <f t="shared" si="10"/>
        <v>0</v>
      </c>
      <c r="AI14" s="43">
        <f t="shared" si="10"/>
        <v>0</v>
      </c>
      <c r="AJ14" s="43">
        <f t="shared" si="10"/>
        <v>0</v>
      </c>
      <c r="AK14" s="43">
        <f t="shared" si="10"/>
        <v>0</v>
      </c>
    </row>
    <row r="15" spans="1:39" ht="15" thickBot="1" x14ac:dyDescent="0.4">
      <c r="A15" s="33" t="s">
        <v>215</v>
      </c>
      <c r="B15" s="40">
        <v>7737.0227984738322</v>
      </c>
      <c r="C15" s="45"/>
      <c r="D15" s="40">
        <v>15165.6671586128</v>
      </c>
      <c r="E15" s="40">
        <v>19420.127234147385</v>
      </c>
      <c r="F15" s="40">
        <v>19845.604711720029</v>
      </c>
      <c r="G15" s="40">
        <v>19406.820937084511</v>
      </c>
      <c r="H15" s="40">
        <v>19678.60209560339</v>
      </c>
      <c r="J15" s="22" t="s">
        <v>209</v>
      </c>
      <c r="K15" s="37" t="s">
        <v>163</v>
      </c>
      <c r="M15" s="43">
        <f t="shared" si="6"/>
        <v>0</v>
      </c>
      <c r="N15" s="43">
        <f t="shared" si="6"/>
        <v>0</v>
      </c>
      <c r="O15" s="43">
        <f t="shared" si="6"/>
        <v>0</v>
      </c>
      <c r="P15" s="43">
        <f t="shared" si="6"/>
        <v>0</v>
      </c>
      <c r="Q15" s="43">
        <f t="shared" si="6"/>
        <v>0</v>
      </c>
      <c r="S15" s="43">
        <f t="shared" si="7"/>
        <v>0</v>
      </c>
      <c r="T15" s="43">
        <f t="shared" si="7"/>
        <v>0</v>
      </c>
      <c r="U15" s="43">
        <f t="shared" si="7"/>
        <v>0</v>
      </c>
      <c r="V15" s="43">
        <f t="shared" si="7"/>
        <v>0</v>
      </c>
      <c r="X15" s="43">
        <f t="shared" si="8"/>
        <v>0</v>
      </c>
      <c r="Y15" s="43">
        <f t="shared" si="8"/>
        <v>0</v>
      </c>
      <c r="Z15" s="43">
        <f t="shared" si="8"/>
        <v>0</v>
      </c>
      <c r="AA15" s="43">
        <f t="shared" si="8"/>
        <v>0</v>
      </c>
      <c r="AC15" s="43">
        <f t="shared" si="9"/>
        <v>0</v>
      </c>
      <c r="AD15" s="43">
        <f t="shared" si="9"/>
        <v>0</v>
      </c>
      <c r="AE15" s="43">
        <f t="shared" si="9"/>
        <v>0</v>
      </c>
      <c r="AF15" s="43">
        <f t="shared" si="9"/>
        <v>0</v>
      </c>
      <c r="AH15" s="43">
        <f t="shared" si="10"/>
        <v>0</v>
      </c>
      <c r="AI15" s="43">
        <f t="shared" si="10"/>
        <v>0</v>
      </c>
      <c r="AJ15" s="43">
        <f t="shared" si="10"/>
        <v>0</v>
      </c>
      <c r="AK15" s="43">
        <f t="shared" si="10"/>
        <v>0</v>
      </c>
    </row>
    <row r="16" spans="1:39" ht="15" thickTop="1" x14ac:dyDescent="0.35">
      <c r="A16" s="22" t="s">
        <v>216</v>
      </c>
      <c r="B16" s="45">
        <v>18980.201912151439</v>
      </c>
      <c r="C16" s="45"/>
      <c r="D16" s="45">
        <v>19250.482448293336</v>
      </c>
      <c r="E16" s="45">
        <v>18996.066949702345</v>
      </c>
      <c r="F16" s="45">
        <v>19634.183950412666</v>
      </c>
      <c r="G16" s="45">
        <v>20679.876276434374</v>
      </c>
      <c r="H16" s="45">
        <v>21597.967249961377</v>
      </c>
      <c r="J16" s="22" t="s">
        <v>206</v>
      </c>
      <c r="K16" s="22" t="s">
        <v>165</v>
      </c>
      <c r="L16" s="42">
        <f>B45*100/B$50</f>
        <v>9.5263147582559142</v>
      </c>
      <c r="M16" s="43">
        <f t="shared" si="6"/>
        <v>12.787785807437</v>
      </c>
      <c r="N16" s="43">
        <f t="shared" si="6"/>
        <v>16.049256856618086</v>
      </c>
      <c r="O16" s="43">
        <f t="shared" si="6"/>
        <v>19.310727905799173</v>
      </c>
      <c r="P16" s="43">
        <f t="shared" si="6"/>
        <v>22.572198954980259</v>
      </c>
      <c r="Q16" s="43">
        <f t="shared" si="6"/>
        <v>25.833670004161345</v>
      </c>
      <c r="R16" s="42">
        <f>D45*100/D$50</f>
        <v>29.095141053342434</v>
      </c>
      <c r="S16" s="43">
        <f t="shared" si="7"/>
        <v>31.692675635937235</v>
      </c>
      <c r="T16" s="43">
        <f t="shared" si="7"/>
        <v>34.290210218532039</v>
      </c>
      <c r="U16" s="43">
        <f t="shared" si="7"/>
        <v>36.887744801126843</v>
      </c>
      <c r="V16" s="43">
        <f t="shared" si="7"/>
        <v>39.485279383721647</v>
      </c>
      <c r="W16" s="42">
        <f>E45*100/E$50</f>
        <v>42.082813966316436</v>
      </c>
      <c r="X16" s="43">
        <f t="shared" si="8"/>
        <v>42.574999947893993</v>
      </c>
      <c r="Y16" s="43">
        <f t="shared" si="8"/>
        <v>43.067185929471549</v>
      </c>
      <c r="Z16" s="43">
        <f t="shared" si="8"/>
        <v>43.559371911049105</v>
      </c>
      <c r="AA16" s="43">
        <f t="shared" si="8"/>
        <v>44.051557892626661</v>
      </c>
      <c r="AB16" s="42">
        <f>F45*100/F$50</f>
        <v>44.543743874204218</v>
      </c>
      <c r="AC16" s="43">
        <f t="shared" si="9"/>
        <v>44.899036455197596</v>
      </c>
      <c r="AD16" s="43">
        <f t="shared" si="9"/>
        <v>45.254329036190974</v>
      </c>
      <c r="AE16" s="43">
        <f t="shared" si="9"/>
        <v>45.609621617184352</v>
      </c>
      <c r="AF16" s="43">
        <f t="shared" si="9"/>
        <v>45.96491419817773</v>
      </c>
      <c r="AG16" s="42">
        <f>G45*100/G$50</f>
        <v>46.320206779171102</v>
      </c>
      <c r="AH16" s="43">
        <f t="shared" si="10"/>
        <v>46.06178016574934</v>
      </c>
      <c r="AI16" s="43">
        <f t="shared" si="10"/>
        <v>45.803353552327579</v>
      </c>
      <c r="AJ16" s="43">
        <f t="shared" si="10"/>
        <v>45.544926938905817</v>
      </c>
      <c r="AK16" s="43">
        <f t="shared" si="10"/>
        <v>45.286500325484056</v>
      </c>
      <c r="AL16" s="42">
        <f>H45*100/H$50</f>
        <v>45.028073712062287</v>
      </c>
    </row>
    <row r="17" spans="1:39" ht="15" thickBot="1" x14ac:dyDescent="0.4">
      <c r="A17" s="33" t="s">
        <v>217</v>
      </c>
      <c r="B17" s="40">
        <v>26717.224710625269</v>
      </c>
      <c r="C17" s="45"/>
      <c r="D17" s="40">
        <v>34416.14960690614</v>
      </c>
      <c r="E17" s="40">
        <v>38416.19418384973</v>
      </c>
      <c r="F17" s="40">
        <v>39479.788662132691</v>
      </c>
      <c r="G17" s="40">
        <v>40086.697213518884</v>
      </c>
      <c r="H17" s="40">
        <v>41276.569345564771</v>
      </c>
      <c r="J17" s="22" t="s">
        <v>208</v>
      </c>
      <c r="K17" s="22" t="s">
        <v>165</v>
      </c>
      <c r="L17" s="42">
        <f>B42*100/B$50</f>
        <v>1.8522623488674343E-2</v>
      </c>
      <c r="M17" s="43">
        <f t="shared" si="6"/>
        <v>1.8831864090445204E-2</v>
      </c>
      <c r="N17" s="43">
        <f t="shared" si="6"/>
        <v>1.9141104692216068E-2</v>
      </c>
      <c r="O17" s="43">
        <f t="shared" si="6"/>
        <v>1.9450345293986933E-2</v>
      </c>
      <c r="P17" s="43">
        <f t="shared" si="6"/>
        <v>1.9759585895757797E-2</v>
      </c>
      <c r="Q17" s="43">
        <f t="shared" si="6"/>
        <v>2.0068826497528662E-2</v>
      </c>
      <c r="R17" s="42">
        <f>D42*100/D$50</f>
        <v>2.037806709929952E-2</v>
      </c>
      <c r="S17" s="43">
        <f t="shared" si="7"/>
        <v>2.0050147611069866E-2</v>
      </c>
      <c r="T17" s="43">
        <f t="shared" si="7"/>
        <v>1.9722228122840212E-2</v>
      </c>
      <c r="U17" s="43">
        <f t="shared" si="7"/>
        <v>1.9394308634610558E-2</v>
      </c>
      <c r="V17" s="43">
        <f t="shared" si="7"/>
        <v>1.9066389146380903E-2</v>
      </c>
      <c r="W17" s="42">
        <f>E42*100/E$50</f>
        <v>1.8738469658151253E-2</v>
      </c>
      <c r="X17" s="43">
        <f t="shared" si="8"/>
        <v>1.777830921371383E-2</v>
      </c>
      <c r="Y17" s="43">
        <f t="shared" si="8"/>
        <v>1.6818148769276408E-2</v>
      </c>
      <c r="Z17" s="43">
        <f t="shared" si="8"/>
        <v>1.5857988324838986E-2</v>
      </c>
      <c r="AA17" s="43">
        <f t="shared" si="8"/>
        <v>1.4897827880401565E-2</v>
      </c>
      <c r="AB17" s="42">
        <f>F42*100/F$50</f>
        <v>1.3937667435964146E-2</v>
      </c>
      <c r="AC17" s="43">
        <f t="shared" si="9"/>
        <v>1.3373658082998412E-2</v>
      </c>
      <c r="AD17" s="43">
        <f t="shared" si="9"/>
        <v>1.2809648730032678E-2</v>
      </c>
      <c r="AE17" s="43">
        <f t="shared" si="9"/>
        <v>1.2245639377066945E-2</v>
      </c>
      <c r="AF17" s="43">
        <f t="shared" si="9"/>
        <v>1.1681630024101211E-2</v>
      </c>
      <c r="AG17" s="42">
        <f>G42*100/G$50</f>
        <v>1.111762067113548E-2</v>
      </c>
      <c r="AH17" s="43">
        <f t="shared" si="10"/>
        <v>1.1596834561354559E-2</v>
      </c>
      <c r="AI17" s="43">
        <f t="shared" si="10"/>
        <v>1.2076048451573637E-2</v>
      </c>
      <c r="AJ17" s="43">
        <f t="shared" si="10"/>
        <v>1.2555262341792715E-2</v>
      </c>
      <c r="AK17" s="43">
        <f t="shared" si="10"/>
        <v>1.3034476232011793E-2</v>
      </c>
      <c r="AL17" s="42">
        <f>H42*100/H$50</f>
        <v>1.3513690122230873E-2</v>
      </c>
    </row>
    <row r="18" spans="1:39" s="51" customFormat="1" ht="15" thickTop="1" x14ac:dyDescent="0.35">
      <c r="A18" s="51" t="s">
        <v>218</v>
      </c>
      <c r="B18" s="51">
        <v>0.28958931484365097</v>
      </c>
      <c r="D18" s="51">
        <v>0.44065554490644038</v>
      </c>
      <c r="E18" s="51">
        <v>0.50551929067225665</v>
      </c>
      <c r="F18" s="51">
        <v>0.50267758223222392</v>
      </c>
      <c r="G18" s="51">
        <v>0.48412122439809613</v>
      </c>
      <c r="H18" s="51">
        <v>0.47674994331179527</v>
      </c>
      <c r="J18" s="22" t="s">
        <v>209</v>
      </c>
      <c r="K18" s="22" t="s">
        <v>165</v>
      </c>
      <c r="L18" s="42">
        <f>B43*100/B$50</f>
        <v>1.4075550467839457</v>
      </c>
      <c r="M18" s="43">
        <f t="shared" si="6"/>
        <v>1.5448700179019785</v>
      </c>
      <c r="N18" s="43">
        <f t="shared" si="6"/>
        <v>1.6821849890200113</v>
      </c>
      <c r="O18" s="43">
        <f t="shared" si="6"/>
        <v>1.8194999601380442</v>
      </c>
      <c r="P18" s="43">
        <f t="shared" si="6"/>
        <v>1.956814931256077</v>
      </c>
      <c r="Q18" s="43">
        <f t="shared" si="6"/>
        <v>2.0941299023741098</v>
      </c>
      <c r="R18" s="42">
        <f>D43*100/D$50</f>
        <v>2.2314448734921424</v>
      </c>
      <c r="S18" s="43">
        <f t="shared" si="7"/>
        <v>2.1729351603421896</v>
      </c>
      <c r="T18" s="43">
        <f t="shared" si="7"/>
        <v>2.1144254471922368</v>
      </c>
      <c r="U18" s="43">
        <f t="shared" si="7"/>
        <v>2.055915734042284</v>
      </c>
      <c r="V18" s="43">
        <f t="shared" si="7"/>
        <v>1.9974060208923312</v>
      </c>
      <c r="W18" s="42">
        <f>E43*100/E$50</f>
        <v>1.9388963077423784</v>
      </c>
      <c r="X18" s="43">
        <f t="shared" si="8"/>
        <v>1.822461057946583</v>
      </c>
      <c r="Y18" s="43">
        <f t="shared" si="8"/>
        <v>1.7060258081507875</v>
      </c>
      <c r="Z18" s="43">
        <f t="shared" si="8"/>
        <v>1.5895905583549921</v>
      </c>
      <c r="AA18" s="43">
        <f t="shared" si="8"/>
        <v>1.4731553085591966</v>
      </c>
      <c r="AB18" s="42">
        <f>F43*100/F$50</f>
        <v>1.3567200587634007</v>
      </c>
      <c r="AC18" s="43">
        <f t="shared" si="9"/>
        <v>1.3210214230682673</v>
      </c>
      <c r="AD18" s="43">
        <f t="shared" si="9"/>
        <v>1.2853227873731339</v>
      </c>
      <c r="AE18" s="43">
        <f t="shared" si="9"/>
        <v>1.2496241516780004</v>
      </c>
      <c r="AF18" s="43">
        <f t="shared" si="9"/>
        <v>1.213925515982867</v>
      </c>
      <c r="AG18" s="42">
        <f>G43*100/G$50</f>
        <v>1.1782268802877334</v>
      </c>
      <c r="AH18" s="43">
        <f t="shared" si="10"/>
        <v>1.2316572366642438</v>
      </c>
      <c r="AI18" s="43">
        <f t="shared" si="10"/>
        <v>1.2850875930407542</v>
      </c>
      <c r="AJ18" s="43">
        <f t="shared" si="10"/>
        <v>1.3385179494172645</v>
      </c>
      <c r="AK18" s="43">
        <f t="shared" si="10"/>
        <v>1.3919483057937749</v>
      </c>
      <c r="AL18" s="42">
        <f>H43*100/H$50</f>
        <v>1.4453786621702851</v>
      </c>
      <c r="AM18" s="52"/>
    </row>
    <row r="19" spans="1:39" x14ac:dyDescent="0.35">
      <c r="B19" s="45"/>
      <c r="C19" s="45"/>
      <c r="D19" s="45"/>
      <c r="E19" s="45"/>
      <c r="F19" s="45"/>
      <c r="G19" s="45"/>
      <c r="H19" s="45"/>
      <c r="J19" s="22" t="s">
        <v>206</v>
      </c>
      <c r="K19" s="22" t="s">
        <v>219</v>
      </c>
      <c r="L19" s="42">
        <f>B56*100/B$59</f>
        <v>9.1939249533696525</v>
      </c>
      <c r="M19" s="43">
        <f t="shared" si="6"/>
        <v>11.283840298946183</v>
      </c>
      <c r="N19" s="43">
        <f t="shared" si="6"/>
        <v>13.373755644522713</v>
      </c>
      <c r="O19" s="43">
        <f t="shared" si="6"/>
        <v>15.463670990099244</v>
      </c>
      <c r="P19" s="43">
        <f t="shared" si="6"/>
        <v>17.553586335675774</v>
      </c>
      <c r="Q19" s="43">
        <f t="shared" si="6"/>
        <v>19.643501681252307</v>
      </c>
      <c r="R19" s="42">
        <f>D56*100/D$59</f>
        <v>21.733417026828839</v>
      </c>
      <c r="S19" s="43">
        <f t="shared" si="7"/>
        <v>22.999434855289</v>
      </c>
      <c r="T19" s="43">
        <f t="shared" si="7"/>
        <v>24.26545268374916</v>
      </c>
      <c r="U19" s="43">
        <f t="shared" si="7"/>
        <v>25.531470512209321</v>
      </c>
      <c r="V19" s="43">
        <f t="shared" si="7"/>
        <v>26.797488340669481</v>
      </c>
      <c r="W19" s="42">
        <f>E56*100/E$59</f>
        <v>28.063506169129646</v>
      </c>
      <c r="X19" s="43">
        <f t="shared" si="8"/>
        <v>28.180255291532408</v>
      </c>
      <c r="Y19" s="43">
        <f t="shared" si="8"/>
        <v>28.29700441393517</v>
      </c>
      <c r="Z19" s="43">
        <f t="shared" si="8"/>
        <v>28.413753536337932</v>
      </c>
      <c r="AA19" s="43">
        <f t="shared" si="8"/>
        <v>28.530502658740694</v>
      </c>
      <c r="AB19" s="42">
        <f>F56*100/F$59</f>
        <v>28.647251781143456</v>
      </c>
      <c r="AC19" s="43">
        <f t="shared" si="9"/>
        <v>28.533757864491761</v>
      </c>
      <c r="AD19" s="43">
        <f t="shared" si="9"/>
        <v>28.420263947840066</v>
      </c>
      <c r="AE19" s="43">
        <f t="shared" si="9"/>
        <v>28.306770031188371</v>
      </c>
      <c r="AF19" s="43">
        <f t="shared" si="9"/>
        <v>28.193276114536676</v>
      </c>
      <c r="AG19" s="42">
        <f>G56*100/G$59</f>
        <v>28.079782197884978</v>
      </c>
      <c r="AH19" s="43">
        <f t="shared" si="10"/>
        <v>27.859131777658458</v>
      </c>
      <c r="AI19" s="43">
        <f t="shared" si="10"/>
        <v>27.638481357431939</v>
      </c>
      <c r="AJ19" s="43">
        <f t="shared" si="10"/>
        <v>27.417830937205419</v>
      </c>
      <c r="AK19" s="43">
        <f t="shared" si="10"/>
        <v>27.1971805169789</v>
      </c>
      <c r="AL19" s="42">
        <f>H56*100/H$59</f>
        <v>26.976530096752388</v>
      </c>
    </row>
    <row r="20" spans="1:39" x14ac:dyDescent="0.35">
      <c r="B20" s="45"/>
      <c r="C20" s="45"/>
      <c r="D20" s="45"/>
      <c r="E20" s="45"/>
      <c r="F20" s="45"/>
      <c r="G20" s="45"/>
      <c r="H20" s="45"/>
      <c r="J20" s="22" t="s">
        <v>208</v>
      </c>
      <c r="K20" s="22" t="s">
        <v>219</v>
      </c>
      <c r="M20" s="43">
        <f t="shared" si="6"/>
        <v>0</v>
      </c>
      <c r="N20" s="43">
        <f t="shared" si="6"/>
        <v>0</v>
      </c>
      <c r="O20" s="43">
        <f t="shared" si="6"/>
        <v>0</v>
      </c>
      <c r="P20" s="43">
        <f t="shared" si="6"/>
        <v>0</v>
      </c>
      <c r="Q20" s="43">
        <f t="shared" si="6"/>
        <v>0</v>
      </c>
      <c r="S20" s="43">
        <f t="shared" si="7"/>
        <v>0</v>
      </c>
      <c r="T20" s="43">
        <f t="shared" si="7"/>
        <v>0</v>
      </c>
      <c r="U20" s="43">
        <f t="shared" si="7"/>
        <v>0</v>
      </c>
      <c r="V20" s="43">
        <f t="shared" si="7"/>
        <v>0</v>
      </c>
      <c r="X20" s="43">
        <f t="shared" si="8"/>
        <v>0</v>
      </c>
      <c r="Y20" s="43">
        <f t="shared" si="8"/>
        <v>0</v>
      </c>
      <c r="Z20" s="43">
        <f t="shared" si="8"/>
        <v>0</v>
      </c>
      <c r="AA20" s="43">
        <f t="shared" si="8"/>
        <v>0</v>
      </c>
      <c r="AC20" s="43">
        <f t="shared" si="9"/>
        <v>0</v>
      </c>
      <c r="AD20" s="43">
        <f t="shared" si="9"/>
        <v>0</v>
      </c>
      <c r="AE20" s="43">
        <f t="shared" si="9"/>
        <v>0</v>
      </c>
      <c r="AF20" s="43">
        <f t="shared" si="9"/>
        <v>0</v>
      </c>
      <c r="AH20" s="43">
        <f t="shared" si="10"/>
        <v>0</v>
      </c>
      <c r="AI20" s="43">
        <f t="shared" si="10"/>
        <v>0</v>
      </c>
      <c r="AJ20" s="43">
        <f t="shared" si="10"/>
        <v>0</v>
      </c>
      <c r="AK20" s="43">
        <f t="shared" si="10"/>
        <v>0</v>
      </c>
    </row>
    <row r="21" spans="1:39" ht="17.5" thickBot="1" x14ac:dyDescent="0.45">
      <c r="A21" s="29" t="s">
        <v>172</v>
      </c>
      <c r="B21" s="53"/>
      <c r="C21" s="45"/>
      <c r="D21" s="53"/>
      <c r="E21" s="53"/>
      <c r="F21" s="53"/>
      <c r="G21" s="53"/>
      <c r="H21" s="53"/>
      <c r="J21" s="22" t="s">
        <v>209</v>
      </c>
      <c r="K21" s="22" t="s">
        <v>219</v>
      </c>
      <c r="L21" s="42">
        <f>B55*100/B$59</f>
        <v>11.543721730436619</v>
      </c>
      <c r="M21" s="43">
        <f t="shared" si="6"/>
        <v>13.107825884990291</v>
      </c>
      <c r="N21" s="43">
        <f t="shared" si="6"/>
        <v>14.671930039543962</v>
      </c>
      <c r="O21" s="43">
        <f t="shared" si="6"/>
        <v>16.236034194097634</v>
      </c>
      <c r="P21" s="43">
        <f t="shared" si="6"/>
        <v>17.800138348651306</v>
      </c>
      <c r="Q21" s="43">
        <f t="shared" si="6"/>
        <v>19.364242503204977</v>
      </c>
      <c r="R21" s="42">
        <f>D55*100/D$59</f>
        <v>20.928346657758652</v>
      </c>
      <c r="S21" s="43">
        <f t="shared" si="7"/>
        <v>20.366669851613452</v>
      </c>
      <c r="T21" s="43">
        <f t="shared" si="7"/>
        <v>19.804993045468251</v>
      </c>
      <c r="U21" s="43">
        <f t="shared" si="7"/>
        <v>19.24331623932305</v>
      </c>
      <c r="V21" s="43">
        <f t="shared" si="7"/>
        <v>18.68163943317785</v>
      </c>
      <c r="W21" s="42">
        <f>E55*100/E$59</f>
        <v>18.119962627032645</v>
      </c>
      <c r="X21" s="43">
        <f t="shared" si="8"/>
        <v>16.946900403050321</v>
      </c>
      <c r="Y21" s="43">
        <f t="shared" si="8"/>
        <v>15.773838179067997</v>
      </c>
      <c r="Z21" s="43">
        <f t="shared" si="8"/>
        <v>14.600775955085673</v>
      </c>
      <c r="AA21" s="43">
        <f t="shared" si="8"/>
        <v>13.427713731103349</v>
      </c>
      <c r="AB21" s="42">
        <f>F55*100/F$59</f>
        <v>12.254651507121022</v>
      </c>
      <c r="AC21" s="43">
        <f t="shared" si="9"/>
        <v>12.100296719417221</v>
      </c>
      <c r="AD21" s="43">
        <f t="shared" si="9"/>
        <v>11.945941931713421</v>
      </c>
      <c r="AE21" s="43">
        <f t="shared" si="9"/>
        <v>11.79158714400962</v>
      </c>
      <c r="AF21" s="43">
        <f t="shared" si="9"/>
        <v>11.63723235630582</v>
      </c>
      <c r="AG21" s="42">
        <f>G55*100/G$59</f>
        <v>11.482877568602017</v>
      </c>
      <c r="AH21" s="43">
        <f t="shared" si="10"/>
        <v>11.772699233658132</v>
      </c>
      <c r="AI21" s="43">
        <f t="shared" si="10"/>
        <v>12.062520898714247</v>
      </c>
      <c r="AJ21" s="43">
        <f t="shared" si="10"/>
        <v>12.352342563770362</v>
      </c>
      <c r="AK21" s="43">
        <f t="shared" si="10"/>
        <v>12.642164228826477</v>
      </c>
      <c r="AL21" s="42">
        <f>H55*100/H$59</f>
        <v>12.931985893882592</v>
      </c>
    </row>
    <row r="22" spans="1:39" ht="15" thickTop="1" x14ac:dyDescent="0.35">
      <c r="A22" s="22" t="s">
        <v>220</v>
      </c>
      <c r="B22" s="45">
        <v>1.51976E-2</v>
      </c>
      <c r="C22" s="45"/>
      <c r="D22" s="45">
        <v>4.55717E-2</v>
      </c>
      <c r="E22" s="45">
        <v>5.0119400000000001E-2</v>
      </c>
      <c r="F22" s="45">
        <v>3.8124900000000003E-2</v>
      </c>
      <c r="G22" s="45">
        <v>2.5669999999999998E-2</v>
      </c>
      <c r="H22" s="45">
        <v>2.54272E-2</v>
      </c>
      <c r="J22" s="22" t="s">
        <v>206</v>
      </c>
      <c r="K22" s="22" t="s">
        <v>221</v>
      </c>
      <c r="L22" s="42">
        <f>B64*100/B$68</f>
        <v>26.431744023704578</v>
      </c>
      <c r="M22" s="43">
        <f t="shared" si="6"/>
        <v>30.04518813440486</v>
      </c>
      <c r="N22" s="43">
        <f t="shared" si="6"/>
        <v>33.658632245105139</v>
      </c>
      <c r="O22" s="43">
        <f t="shared" si="6"/>
        <v>37.272076355805417</v>
      </c>
      <c r="P22" s="43">
        <f t="shared" si="6"/>
        <v>40.885520466505696</v>
      </c>
      <c r="Q22" s="43">
        <f t="shared" si="6"/>
        <v>44.498964577205975</v>
      </c>
      <c r="R22" s="42">
        <f>D64*100/D$68</f>
        <v>48.11240868790626</v>
      </c>
      <c r="S22" s="43">
        <f t="shared" si="7"/>
        <v>49.089850984486461</v>
      </c>
      <c r="T22" s="43">
        <f t="shared" si="7"/>
        <v>50.067293281066661</v>
      </c>
      <c r="U22" s="43">
        <f t="shared" si="7"/>
        <v>51.044735577646861</v>
      </c>
      <c r="V22" s="43">
        <f t="shared" si="7"/>
        <v>52.022177874227062</v>
      </c>
      <c r="W22" s="42">
        <f>E64*100/E$68</f>
        <v>52.999620170807276</v>
      </c>
      <c r="X22" s="43">
        <f t="shared" si="8"/>
        <v>52.020244287715826</v>
      </c>
      <c r="Y22" s="43">
        <f t="shared" si="8"/>
        <v>51.040868404624376</v>
      </c>
      <c r="Z22" s="43">
        <f t="shared" si="8"/>
        <v>50.061492521532927</v>
      </c>
      <c r="AA22" s="43">
        <f t="shared" si="8"/>
        <v>49.082116638441477</v>
      </c>
      <c r="AB22" s="42">
        <f>F64*100/F$68</f>
        <v>48.102740755350041</v>
      </c>
      <c r="AC22" s="43">
        <f t="shared" si="9"/>
        <v>44.948436472799152</v>
      </c>
      <c r="AD22" s="43">
        <f t="shared" si="9"/>
        <v>41.794132190248263</v>
      </c>
      <c r="AE22" s="43">
        <f t="shared" si="9"/>
        <v>38.639827907697374</v>
      </c>
      <c r="AF22" s="43">
        <f t="shared" si="9"/>
        <v>35.485523625146485</v>
      </c>
      <c r="AG22" s="42">
        <f>G64*100/G$68</f>
        <v>32.331219342595588</v>
      </c>
      <c r="AH22" s="43">
        <f t="shared" si="10"/>
        <v>31.460612842304677</v>
      </c>
      <c r="AI22" s="43">
        <f t="shared" si="10"/>
        <v>30.590006342013766</v>
      </c>
      <c r="AJ22" s="43">
        <f t="shared" si="10"/>
        <v>29.719399841722854</v>
      </c>
      <c r="AK22" s="43">
        <f t="shared" si="10"/>
        <v>28.848793341431943</v>
      </c>
      <c r="AL22" s="42">
        <f>H64*100/H$68</f>
        <v>27.978186841141028</v>
      </c>
    </row>
    <row r="23" spans="1:39" x14ac:dyDescent="0.35">
      <c r="A23" s="22" t="s">
        <v>211</v>
      </c>
      <c r="B23" s="45">
        <v>66.507099999999994</v>
      </c>
      <c r="C23" s="45"/>
      <c r="D23" s="45">
        <v>236.358</v>
      </c>
      <c r="E23" s="45">
        <v>267.53399999999999</v>
      </c>
      <c r="F23" s="45">
        <v>247.614</v>
      </c>
      <c r="G23" s="45">
        <v>282.66000000000003</v>
      </c>
      <c r="H23" s="45">
        <v>291.66800000000001</v>
      </c>
      <c r="J23" s="22" t="s">
        <v>208</v>
      </c>
      <c r="K23" s="22" t="s">
        <v>221</v>
      </c>
      <c r="M23" s="43">
        <f t="shared" si="6"/>
        <v>0</v>
      </c>
      <c r="N23" s="43">
        <f t="shared" si="6"/>
        <v>0</v>
      </c>
      <c r="O23" s="43">
        <f t="shared" si="6"/>
        <v>0</v>
      </c>
      <c r="P23" s="43">
        <f t="shared" si="6"/>
        <v>0</v>
      </c>
      <c r="Q23" s="43">
        <f t="shared" si="6"/>
        <v>0</v>
      </c>
      <c r="S23" s="43">
        <f t="shared" si="7"/>
        <v>0</v>
      </c>
      <c r="T23" s="43">
        <f t="shared" si="7"/>
        <v>0</v>
      </c>
      <c r="U23" s="43">
        <f t="shared" si="7"/>
        <v>0</v>
      </c>
      <c r="V23" s="43">
        <f t="shared" si="7"/>
        <v>0</v>
      </c>
      <c r="X23" s="43">
        <f t="shared" si="8"/>
        <v>0</v>
      </c>
      <c r="Y23" s="43">
        <f t="shared" si="8"/>
        <v>0</v>
      </c>
      <c r="Z23" s="43">
        <f t="shared" si="8"/>
        <v>0</v>
      </c>
      <c r="AA23" s="43">
        <f t="shared" si="8"/>
        <v>0</v>
      </c>
      <c r="AC23" s="43">
        <f t="shared" si="9"/>
        <v>0</v>
      </c>
      <c r="AD23" s="43">
        <f t="shared" si="9"/>
        <v>0</v>
      </c>
      <c r="AE23" s="43">
        <f t="shared" si="9"/>
        <v>0</v>
      </c>
      <c r="AF23" s="43">
        <f t="shared" si="9"/>
        <v>0</v>
      </c>
      <c r="AH23" s="43">
        <f t="shared" si="10"/>
        <v>0</v>
      </c>
      <c r="AI23" s="43">
        <f t="shared" si="10"/>
        <v>0</v>
      </c>
      <c r="AJ23" s="43">
        <f t="shared" si="10"/>
        <v>0</v>
      </c>
      <c r="AK23" s="43">
        <f t="shared" si="10"/>
        <v>0</v>
      </c>
    </row>
    <row r="24" spans="1:39" x14ac:dyDescent="0.35">
      <c r="A24" s="22" t="s">
        <v>212</v>
      </c>
      <c r="B24" s="45">
        <v>4.0609200000000003</v>
      </c>
      <c r="C24" s="45"/>
      <c r="D24" s="45">
        <v>6.9383400000000002</v>
      </c>
      <c r="E24" s="45">
        <v>6.2149999999999999</v>
      </c>
      <c r="F24" s="45">
        <v>0</v>
      </c>
      <c r="G24" s="45">
        <v>0</v>
      </c>
      <c r="H24" s="45">
        <v>0</v>
      </c>
      <c r="J24" s="22" t="s">
        <v>209</v>
      </c>
      <c r="K24" s="22" t="s">
        <v>221</v>
      </c>
      <c r="M24" s="43">
        <f t="shared" ref="M24:Q31" si="11">L24+($R24-$L24)/6</f>
        <v>0</v>
      </c>
      <c r="N24" s="43">
        <f t="shared" si="11"/>
        <v>0</v>
      </c>
      <c r="O24" s="43">
        <f t="shared" si="11"/>
        <v>0</v>
      </c>
      <c r="P24" s="43">
        <f t="shared" si="11"/>
        <v>0</v>
      </c>
      <c r="Q24" s="43">
        <f t="shared" si="11"/>
        <v>0</v>
      </c>
      <c r="S24" s="43">
        <f t="shared" ref="S24:V31" si="12">R24+($W24-$R24)/5</f>
        <v>0</v>
      </c>
      <c r="T24" s="43">
        <f t="shared" si="12"/>
        <v>0</v>
      </c>
      <c r="U24" s="43">
        <f t="shared" si="12"/>
        <v>0</v>
      </c>
      <c r="V24" s="43">
        <f t="shared" si="12"/>
        <v>0</v>
      </c>
      <c r="X24" s="43">
        <f t="shared" ref="X24:AA31" si="13">W24+($AB24-$W24)/5</f>
        <v>0</v>
      </c>
      <c r="Y24" s="43">
        <f t="shared" si="13"/>
        <v>0</v>
      </c>
      <c r="Z24" s="43">
        <f t="shared" si="13"/>
        <v>0</v>
      </c>
      <c r="AA24" s="43">
        <f t="shared" si="13"/>
        <v>0</v>
      </c>
      <c r="AC24" s="43">
        <f t="shared" ref="AC24:AF29" si="14">AB24+($AG24-$AB24)/5</f>
        <v>0</v>
      </c>
      <c r="AD24" s="43">
        <f t="shared" si="14"/>
        <v>0</v>
      </c>
      <c r="AE24" s="43">
        <f t="shared" si="14"/>
        <v>0</v>
      </c>
      <c r="AF24" s="43">
        <f t="shared" si="14"/>
        <v>0</v>
      </c>
      <c r="AH24" s="43">
        <f t="shared" ref="AH24:AK29" si="15">AG24+($AL24-$AG24)/5</f>
        <v>0</v>
      </c>
      <c r="AI24" s="43">
        <f t="shared" si="15"/>
        <v>0</v>
      </c>
      <c r="AJ24" s="43">
        <f t="shared" si="15"/>
        <v>0</v>
      </c>
      <c r="AK24" s="43">
        <f t="shared" si="15"/>
        <v>0</v>
      </c>
    </row>
    <row r="25" spans="1:39" x14ac:dyDescent="0.35">
      <c r="A25" s="22" t="s">
        <v>214</v>
      </c>
      <c r="B25" s="45">
        <v>3.5917599999999998E-3</v>
      </c>
      <c r="C25" s="45"/>
      <c r="D25" s="45">
        <v>6.4258499999999996E-2</v>
      </c>
      <c r="E25" s="45">
        <v>6.9753099999999998E-2</v>
      </c>
      <c r="F25" s="45">
        <v>5.9512099999999998E-2</v>
      </c>
      <c r="G25" s="45">
        <v>5.1073800000000003E-2</v>
      </c>
      <c r="H25" s="45">
        <v>6.5994700000000003E-2</v>
      </c>
      <c r="J25" s="54" t="s">
        <v>206</v>
      </c>
      <c r="K25" s="54" t="s">
        <v>174</v>
      </c>
      <c r="L25" s="42">
        <f>[6]BEVs!K12*100/[6]Share!B73</f>
        <v>32.451035224522727</v>
      </c>
      <c r="M25" s="43">
        <f t="shared" si="11"/>
        <v>36.464942052181641</v>
      </c>
      <c r="N25" s="43">
        <f t="shared" si="11"/>
        <v>40.478848879840555</v>
      </c>
      <c r="O25" s="43">
        <f t="shared" si="11"/>
        <v>44.49275570749947</v>
      </c>
      <c r="P25" s="43">
        <f t="shared" si="11"/>
        <v>48.506662535158384</v>
      </c>
      <c r="Q25" s="43">
        <f t="shared" si="11"/>
        <v>52.520569362817298</v>
      </c>
      <c r="R25" s="42">
        <f>[6]BEVs!Q12*100/D$73</f>
        <v>56.534476190476191</v>
      </c>
      <c r="S25" s="43">
        <f t="shared" si="12"/>
        <v>59.332930746619638</v>
      </c>
      <c r="T25" s="43">
        <f t="shared" si="12"/>
        <v>62.131385302763086</v>
      </c>
      <c r="U25" s="43">
        <f t="shared" si="12"/>
        <v>64.929839858906533</v>
      </c>
      <c r="V25" s="43">
        <f t="shared" si="12"/>
        <v>67.728294415049973</v>
      </c>
      <c r="W25" s="42">
        <f>[6]BEVs!V12*100/E$73</f>
        <v>70.526748971193413</v>
      </c>
      <c r="X25" s="43">
        <f t="shared" si="13"/>
        <v>72.190209987765542</v>
      </c>
      <c r="Y25" s="43">
        <f t="shared" si="13"/>
        <v>73.85367100433767</v>
      </c>
      <c r="Z25" s="43">
        <f t="shared" si="13"/>
        <v>75.517132020909798</v>
      </c>
      <c r="AA25" s="43">
        <f t="shared" si="13"/>
        <v>77.180593037481927</v>
      </c>
      <c r="AB25" s="42">
        <f>[6]BEVs!AA12*100/F$73</f>
        <v>78.844054054054055</v>
      </c>
      <c r="AC25" s="43">
        <f t="shared" si="14"/>
        <v>79.163753881541112</v>
      </c>
      <c r="AD25" s="43">
        <f t="shared" si="14"/>
        <v>79.483453709028169</v>
      </c>
      <c r="AE25" s="43">
        <f t="shared" si="14"/>
        <v>79.803153536515225</v>
      </c>
      <c r="AF25" s="43">
        <f t="shared" si="14"/>
        <v>80.122853364002282</v>
      </c>
      <c r="AG25" s="42">
        <f>[6]BEVs!AF12*100/G$73</f>
        <v>80.442553191489367</v>
      </c>
      <c r="AH25" s="43">
        <f t="shared" si="15"/>
        <v>80.134886589888737</v>
      </c>
      <c r="AI25" s="43">
        <f t="shared" si="15"/>
        <v>79.827219988288107</v>
      </c>
      <c r="AJ25" s="43">
        <f t="shared" si="15"/>
        <v>79.519553386687477</v>
      </c>
      <c r="AK25" s="43">
        <f t="shared" si="15"/>
        <v>79.211886785086847</v>
      </c>
      <c r="AL25" s="42">
        <f>[6]BEVs!AK12*100/H$73</f>
        <v>78.904220183486245</v>
      </c>
    </row>
    <row r="26" spans="1:39" ht="15" thickBot="1" x14ac:dyDescent="0.4">
      <c r="A26" s="33" t="s">
        <v>215</v>
      </c>
      <c r="B26" s="40">
        <v>70.586799999999997</v>
      </c>
      <c r="C26" s="45"/>
      <c r="D26" s="40">
        <v>243.40700000000001</v>
      </c>
      <c r="E26" s="40">
        <v>273.86900000000003</v>
      </c>
      <c r="F26" s="40">
        <v>247.71100000000001</v>
      </c>
      <c r="G26" s="40">
        <v>282.73700000000002</v>
      </c>
      <c r="H26" s="40">
        <v>291.75900000000001</v>
      </c>
      <c r="J26" s="54" t="s">
        <v>209</v>
      </c>
      <c r="K26" s="54" t="s">
        <v>174</v>
      </c>
      <c r="L26" s="55">
        <f>[6]Wind!K11*100/B73</f>
        <v>56.361387469749936</v>
      </c>
      <c r="M26" s="43">
        <f t="shared" si="11"/>
        <v>51.287330827966215</v>
      </c>
      <c r="N26" s="43">
        <f t="shared" si="11"/>
        <v>46.213274186182495</v>
      </c>
      <c r="O26" s="43">
        <f t="shared" si="11"/>
        <v>41.139217544398775</v>
      </c>
      <c r="P26" s="43">
        <f t="shared" si="11"/>
        <v>36.065160902615055</v>
      </c>
      <c r="Q26" s="43">
        <f t="shared" si="11"/>
        <v>30.991104260831335</v>
      </c>
      <c r="R26" s="42">
        <f>[6]Wind!Q11*100/D$73</f>
        <v>25.917047619047619</v>
      </c>
      <c r="S26" s="43">
        <f t="shared" si="12"/>
        <v>23.158033156966489</v>
      </c>
      <c r="T26" s="43">
        <f t="shared" si="12"/>
        <v>20.39901869488536</v>
      </c>
      <c r="U26" s="43">
        <f t="shared" si="12"/>
        <v>17.64000423280423</v>
      </c>
      <c r="V26" s="43">
        <f t="shared" si="12"/>
        <v>14.880989770723101</v>
      </c>
      <c r="W26" s="42">
        <f>[6]Wind!V11*100/E$73</f>
        <v>12.121975308641975</v>
      </c>
      <c r="X26" s="43">
        <f t="shared" si="13"/>
        <v>10.863493760427094</v>
      </c>
      <c r="Y26" s="43">
        <f t="shared" si="13"/>
        <v>9.6050122122122126</v>
      </c>
      <c r="Z26" s="43">
        <f t="shared" si="13"/>
        <v>8.3465306639973313</v>
      </c>
      <c r="AA26" s="43">
        <f t="shared" si="13"/>
        <v>7.0880491157824501</v>
      </c>
      <c r="AB26" s="42">
        <f>[6]Wind!AA11*100/F$73</f>
        <v>5.8295675675675671</v>
      </c>
      <c r="AC26" s="43">
        <f t="shared" si="14"/>
        <v>5.5220710753306497</v>
      </c>
      <c r="AD26" s="43">
        <f t="shared" si="14"/>
        <v>5.2145745830937322</v>
      </c>
      <c r="AE26" s="43">
        <f t="shared" si="14"/>
        <v>4.9070780908568148</v>
      </c>
      <c r="AF26" s="43">
        <f t="shared" si="14"/>
        <v>4.5995815986198973</v>
      </c>
      <c r="AG26" s="42">
        <f>[6]Wind!AF11*100/G$73</f>
        <v>4.2920851063829781</v>
      </c>
      <c r="AH26" s="43">
        <f t="shared" si="15"/>
        <v>4.3735359750146392</v>
      </c>
      <c r="AI26" s="43">
        <f t="shared" si="15"/>
        <v>4.4549868436463003</v>
      </c>
      <c r="AJ26" s="43">
        <f t="shared" si="15"/>
        <v>4.5364377122779613</v>
      </c>
      <c r="AK26" s="43">
        <f t="shared" si="15"/>
        <v>4.6178885809096224</v>
      </c>
      <c r="AL26" s="42">
        <f>[6]Wind!AK11*100/H$73</f>
        <v>4.6993394495412844</v>
      </c>
    </row>
    <row r="27" spans="1:39" ht="15" thickTop="1" x14ac:dyDescent="0.35">
      <c r="A27" s="22" t="s">
        <v>216</v>
      </c>
      <c r="B27" s="45">
        <v>150.1393563581336</v>
      </c>
      <c r="C27" s="45"/>
      <c r="D27" s="45">
        <v>164.40702495762659</v>
      </c>
      <c r="E27" s="45">
        <v>179.25934890418029</v>
      </c>
      <c r="F27" s="45">
        <v>189.5739063729074</v>
      </c>
      <c r="G27" s="45">
        <v>200.73593724322308</v>
      </c>
      <c r="H27" s="45">
        <v>211.68234044968773</v>
      </c>
      <c r="J27" s="22" t="s">
        <v>208</v>
      </c>
      <c r="K27" s="22" t="s">
        <v>183</v>
      </c>
      <c r="L27" s="42">
        <v>100</v>
      </c>
      <c r="M27" s="43">
        <f t="shared" si="11"/>
        <v>100</v>
      </c>
      <c r="N27" s="43">
        <f t="shared" si="11"/>
        <v>100</v>
      </c>
      <c r="O27" s="43">
        <f t="shared" si="11"/>
        <v>100</v>
      </c>
      <c r="P27" s="43">
        <f t="shared" si="11"/>
        <v>100</v>
      </c>
      <c r="Q27" s="43">
        <f t="shared" si="11"/>
        <v>100</v>
      </c>
      <c r="R27" s="42">
        <v>100</v>
      </c>
      <c r="S27" s="43">
        <f t="shared" si="12"/>
        <v>100</v>
      </c>
      <c r="T27" s="43">
        <f t="shared" si="12"/>
        <v>100</v>
      </c>
      <c r="U27" s="43">
        <f t="shared" si="12"/>
        <v>100</v>
      </c>
      <c r="V27" s="43">
        <f t="shared" si="12"/>
        <v>100</v>
      </c>
      <c r="W27" s="42">
        <v>100</v>
      </c>
      <c r="X27" s="43">
        <f t="shared" si="13"/>
        <v>100</v>
      </c>
      <c r="Y27" s="43">
        <f t="shared" si="13"/>
        <v>100</v>
      </c>
      <c r="Z27" s="43">
        <f t="shared" si="13"/>
        <v>100</v>
      </c>
      <c r="AA27" s="43">
        <f t="shared" si="13"/>
        <v>100</v>
      </c>
      <c r="AB27" s="42">
        <v>100</v>
      </c>
      <c r="AC27" s="43">
        <f t="shared" si="14"/>
        <v>100</v>
      </c>
      <c r="AD27" s="43">
        <f t="shared" si="14"/>
        <v>100</v>
      </c>
      <c r="AE27" s="43">
        <f t="shared" si="14"/>
        <v>100</v>
      </c>
      <c r="AF27" s="43">
        <f t="shared" si="14"/>
        <v>100</v>
      </c>
      <c r="AG27" s="42">
        <v>100</v>
      </c>
      <c r="AH27" s="43">
        <f t="shared" si="15"/>
        <v>100</v>
      </c>
      <c r="AI27" s="43">
        <f t="shared" si="15"/>
        <v>100</v>
      </c>
      <c r="AJ27" s="43">
        <f t="shared" si="15"/>
        <v>100</v>
      </c>
      <c r="AK27" s="43">
        <f t="shared" si="15"/>
        <v>100</v>
      </c>
      <c r="AL27" s="42">
        <v>100</v>
      </c>
    </row>
    <row r="28" spans="1:39" ht="15" thickBot="1" x14ac:dyDescent="0.4">
      <c r="A28" s="33" t="s">
        <v>217</v>
      </c>
      <c r="B28" s="40">
        <v>220.72615635813361</v>
      </c>
      <c r="C28" s="45"/>
      <c r="D28" s="40">
        <v>407.8140249576266</v>
      </c>
      <c r="E28" s="40">
        <v>453.12834890418031</v>
      </c>
      <c r="F28" s="40">
        <v>437.28490637290741</v>
      </c>
      <c r="G28" s="40">
        <v>483.4729372432231</v>
      </c>
      <c r="H28" s="40">
        <v>503.44134044968774</v>
      </c>
      <c r="J28" s="22" t="s">
        <v>206</v>
      </c>
      <c r="K28" s="22" t="s">
        <v>175</v>
      </c>
      <c r="L28" s="42">
        <f>B79*100/B81</f>
        <v>1.2370703737040372</v>
      </c>
      <c r="M28" s="43">
        <f t="shared" si="11"/>
        <v>2.3176805805548635</v>
      </c>
      <c r="N28" s="43">
        <f t="shared" si="11"/>
        <v>3.3982907874056898</v>
      </c>
      <c r="O28" s="43">
        <f t="shared" si="11"/>
        <v>4.4789009942565166</v>
      </c>
      <c r="P28" s="43">
        <f t="shared" si="11"/>
        <v>5.5595112011073429</v>
      </c>
      <c r="Q28" s="43">
        <f t="shared" si="11"/>
        <v>6.6401214079581692</v>
      </c>
      <c r="R28" s="42">
        <f>D79*100/D81</f>
        <v>7.7207316148089955</v>
      </c>
      <c r="S28" s="43">
        <f t="shared" si="12"/>
        <v>9.9333491207953895</v>
      </c>
      <c r="T28" s="43">
        <f t="shared" si="12"/>
        <v>12.145966626781783</v>
      </c>
      <c r="U28" s="43">
        <f t="shared" si="12"/>
        <v>14.358584132768177</v>
      </c>
      <c r="V28" s="43">
        <f t="shared" si="12"/>
        <v>16.57120163875457</v>
      </c>
      <c r="W28" s="42">
        <f>E79*100/E81</f>
        <v>18.783819144740963</v>
      </c>
      <c r="X28" s="43">
        <f t="shared" si="13"/>
        <v>20.927861121955114</v>
      </c>
      <c r="Y28" s="43">
        <f t="shared" si="13"/>
        <v>23.071903099169266</v>
      </c>
      <c r="Z28" s="43">
        <f t="shared" si="13"/>
        <v>25.215945076383417</v>
      </c>
      <c r="AA28" s="43">
        <f t="shared" si="13"/>
        <v>27.359987053597568</v>
      </c>
      <c r="AB28" s="42">
        <f>F79*100/F81</f>
        <v>29.504029030811719</v>
      </c>
      <c r="AC28" s="43">
        <f t="shared" si="14"/>
        <v>32.061048746938589</v>
      </c>
      <c r="AD28" s="43">
        <f t="shared" si="14"/>
        <v>34.618068463065455</v>
      </c>
      <c r="AE28" s="43">
        <f t="shared" si="14"/>
        <v>37.175088179192329</v>
      </c>
      <c r="AF28" s="43">
        <f t="shared" si="14"/>
        <v>39.732107895319203</v>
      </c>
      <c r="AG28" s="42">
        <f>G79*100/G81</f>
        <v>42.289127611446069</v>
      </c>
      <c r="AH28" s="43">
        <f t="shared" si="15"/>
        <v>42.55748026101854</v>
      </c>
      <c r="AI28" s="43">
        <f t="shared" si="15"/>
        <v>42.825832910591011</v>
      </c>
      <c r="AJ28" s="43">
        <f t="shared" si="15"/>
        <v>43.094185560163481</v>
      </c>
      <c r="AK28" s="43">
        <f t="shared" si="15"/>
        <v>43.362538209735952</v>
      </c>
      <c r="AL28" s="42">
        <f>H79*100/H81</f>
        <v>43.630890859308415</v>
      </c>
    </row>
    <row r="29" spans="1:39" s="51" customFormat="1" ht="15" thickTop="1" x14ac:dyDescent="0.35">
      <c r="A29" s="51" t="s">
        <v>218</v>
      </c>
      <c r="B29" s="51">
        <v>0.31979354492754897</v>
      </c>
      <c r="D29" s="51">
        <v>0.59685784476218273</v>
      </c>
      <c r="E29" s="51">
        <v>0.60439608482300688</v>
      </c>
      <c r="F29" s="51">
        <v>0.56647507469365355</v>
      </c>
      <c r="G29" s="51">
        <v>0.5848041911346159</v>
      </c>
      <c r="H29" s="51">
        <v>0.57952928486046218</v>
      </c>
      <c r="J29" s="22" t="s">
        <v>208</v>
      </c>
      <c r="K29" s="22" t="s">
        <v>175</v>
      </c>
      <c r="L29" s="42">
        <f>B78*100/B81</f>
        <v>98.728539520618739</v>
      </c>
      <c r="M29" s="43">
        <f t="shared" si="11"/>
        <v>97.613256191414905</v>
      </c>
      <c r="N29" s="43">
        <f t="shared" si="11"/>
        <v>96.497972862211071</v>
      </c>
      <c r="O29" s="43">
        <f t="shared" si="11"/>
        <v>95.382689533007238</v>
      </c>
      <c r="P29" s="43">
        <f t="shared" si="11"/>
        <v>94.267406203803404</v>
      </c>
      <c r="Q29" s="43">
        <f t="shared" si="11"/>
        <v>93.15212287459957</v>
      </c>
      <c r="R29" s="42">
        <f>D78*100/D81</f>
        <v>92.036839545395722</v>
      </c>
      <c r="S29" s="43">
        <f t="shared" si="12"/>
        <v>89.791383383136903</v>
      </c>
      <c r="T29" s="43">
        <f t="shared" si="12"/>
        <v>87.545927220878085</v>
      </c>
      <c r="U29" s="43">
        <f t="shared" si="12"/>
        <v>85.300471058619266</v>
      </c>
      <c r="V29" s="43">
        <f t="shared" si="12"/>
        <v>83.055014896360447</v>
      </c>
      <c r="W29" s="42">
        <f>E78*100/E81</f>
        <v>80.809558734101643</v>
      </c>
      <c r="X29" s="43">
        <f t="shared" si="13"/>
        <v>78.588973571342024</v>
      </c>
      <c r="Y29" s="43">
        <f t="shared" si="13"/>
        <v>76.368388408582405</v>
      </c>
      <c r="Z29" s="43">
        <f t="shared" si="13"/>
        <v>74.147803245822786</v>
      </c>
      <c r="AA29" s="43">
        <f t="shared" si="13"/>
        <v>71.927218083063167</v>
      </c>
      <c r="AB29" s="42">
        <f>F78*100/F81</f>
        <v>69.706632920303548</v>
      </c>
      <c r="AC29" s="43">
        <f t="shared" si="14"/>
        <v>67.074276207315449</v>
      </c>
      <c r="AD29" s="43">
        <f t="shared" si="14"/>
        <v>64.441919494327351</v>
      </c>
      <c r="AE29" s="43">
        <f t="shared" si="14"/>
        <v>61.80956278133926</v>
      </c>
      <c r="AF29" s="43">
        <f t="shared" si="14"/>
        <v>59.177206068351168</v>
      </c>
      <c r="AG29" s="42">
        <f>G78*100/G81</f>
        <v>56.544849355363084</v>
      </c>
      <c r="AH29" s="43">
        <f t="shared" si="15"/>
        <v>56.2815194777627</v>
      </c>
      <c r="AI29" s="43">
        <f t="shared" si="15"/>
        <v>56.018189600162316</v>
      </c>
      <c r="AJ29" s="43">
        <f t="shared" si="15"/>
        <v>55.754859722561932</v>
      </c>
      <c r="AK29" s="43">
        <f t="shared" si="15"/>
        <v>55.491529844961548</v>
      </c>
      <c r="AL29" s="42">
        <f>H78*100/H81</f>
        <v>55.228199967361149</v>
      </c>
      <c r="AM29" s="52"/>
    </row>
    <row r="30" spans="1:39" x14ac:dyDescent="0.35">
      <c r="B30" s="45"/>
      <c r="C30" s="45"/>
      <c r="D30" s="45"/>
      <c r="E30" s="45"/>
      <c r="F30" s="45"/>
      <c r="G30" s="45"/>
      <c r="H30" s="45"/>
      <c r="J30" s="51" t="s">
        <v>208</v>
      </c>
      <c r="K30" s="51" t="s">
        <v>185</v>
      </c>
      <c r="L30" s="42">
        <f>L27</f>
        <v>100</v>
      </c>
      <c r="M30" s="43">
        <f t="shared" si="11"/>
        <v>100</v>
      </c>
      <c r="N30" s="43">
        <f t="shared" si="11"/>
        <v>100</v>
      </c>
      <c r="O30" s="43">
        <f t="shared" si="11"/>
        <v>100</v>
      </c>
      <c r="P30" s="43">
        <f t="shared" si="11"/>
        <v>100</v>
      </c>
      <c r="Q30" s="43">
        <f t="shared" si="11"/>
        <v>100</v>
      </c>
      <c r="R30" s="42">
        <f>R27</f>
        <v>100</v>
      </c>
      <c r="S30" s="43">
        <f t="shared" si="12"/>
        <v>100</v>
      </c>
      <c r="T30" s="43">
        <f t="shared" si="12"/>
        <v>100</v>
      </c>
      <c r="U30" s="43">
        <f t="shared" si="12"/>
        <v>100</v>
      </c>
      <c r="V30" s="43">
        <f t="shared" si="12"/>
        <v>100</v>
      </c>
      <c r="W30" s="42">
        <f>W27</f>
        <v>100</v>
      </c>
      <c r="X30" s="43">
        <f t="shared" si="13"/>
        <v>100</v>
      </c>
      <c r="Y30" s="43">
        <f t="shared" si="13"/>
        <v>100</v>
      </c>
      <c r="Z30" s="43">
        <f t="shared" si="13"/>
        <v>100</v>
      </c>
      <c r="AA30" s="43">
        <f t="shared" si="13"/>
        <v>100</v>
      </c>
      <c r="AB30" s="42">
        <f>AB27</f>
        <v>100</v>
      </c>
      <c r="AC30" s="43">
        <f t="shared" ref="AC30:AK31" si="16">AB30+($W30-$R30)/5</f>
        <v>100</v>
      </c>
      <c r="AD30" s="43">
        <f t="shared" si="16"/>
        <v>100</v>
      </c>
      <c r="AE30" s="43">
        <f t="shared" si="16"/>
        <v>100</v>
      </c>
      <c r="AF30" s="43">
        <f t="shared" si="16"/>
        <v>100</v>
      </c>
      <c r="AG30" s="42">
        <f>AG27</f>
        <v>100</v>
      </c>
      <c r="AH30" s="43">
        <f t="shared" si="16"/>
        <v>100</v>
      </c>
      <c r="AI30" s="43">
        <f t="shared" si="16"/>
        <v>100</v>
      </c>
      <c r="AJ30" s="43">
        <f t="shared" si="16"/>
        <v>100</v>
      </c>
      <c r="AK30" s="43">
        <f t="shared" si="16"/>
        <v>100</v>
      </c>
      <c r="AL30" s="42">
        <f>AL27</f>
        <v>100</v>
      </c>
    </row>
    <row r="31" spans="1:39" x14ac:dyDescent="0.35">
      <c r="B31" s="45"/>
      <c r="C31" s="45"/>
      <c r="D31" s="45"/>
      <c r="E31" s="45"/>
      <c r="F31" s="45"/>
      <c r="G31" s="45"/>
      <c r="H31" s="45"/>
      <c r="J31" s="22" t="s">
        <v>208</v>
      </c>
      <c r="K31" s="22" t="s">
        <v>186</v>
      </c>
      <c r="L31" s="42">
        <f>L27</f>
        <v>100</v>
      </c>
      <c r="M31" s="43">
        <f t="shared" si="11"/>
        <v>100</v>
      </c>
      <c r="N31" s="43">
        <f t="shared" si="11"/>
        <v>100</v>
      </c>
      <c r="O31" s="43">
        <f t="shared" si="11"/>
        <v>100</v>
      </c>
      <c r="P31" s="43">
        <f t="shared" si="11"/>
        <v>100</v>
      </c>
      <c r="Q31" s="43">
        <f t="shared" si="11"/>
        <v>100</v>
      </c>
      <c r="R31" s="42">
        <f>R27</f>
        <v>100</v>
      </c>
      <c r="S31" s="43">
        <f t="shared" si="12"/>
        <v>100</v>
      </c>
      <c r="T31" s="43">
        <f t="shared" si="12"/>
        <v>100</v>
      </c>
      <c r="U31" s="43">
        <f t="shared" si="12"/>
        <v>100</v>
      </c>
      <c r="V31" s="43">
        <f t="shared" si="12"/>
        <v>100</v>
      </c>
      <c r="W31" s="42">
        <f>W27</f>
        <v>100</v>
      </c>
      <c r="X31" s="43">
        <f t="shared" si="13"/>
        <v>100</v>
      </c>
      <c r="Y31" s="43">
        <f t="shared" si="13"/>
        <v>100</v>
      </c>
      <c r="Z31" s="43">
        <f t="shared" si="13"/>
        <v>100</v>
      </c>
      <c r="AA31" s="43">
        <f t="shared" si="13"/>
        <v>100</v>
      </c>
      <c r="AB31" s="42">
        <f>AB27</f>
        <v>100</v>
      </c>
      <c r="AC31" s="43">
        <f t="shared" si="16"/>
        <v>100</v>
      </c>
      <c r="AD31" s="43">
        <f t="shared" si="16"/>
        <v>100</v>
      </c>
      <c r="AE31" s="43">
        <f t="shared" si="16"/>
        <v>100</v>
      </c>
      <c r="AF31" s="43">
        <f t="shared" si="16"/>
        <v>100</v>
      </c>
      <c r="AG31" s="42">
        <f>AG27</f>
        <v>100</v>
      </c>
      <c r="AH31" s="43">
        <f t="shared" si="16"/>
        <v>100</v>
      </c>
      <c r="AI31" s="43">
        <f t="shared" si="16"/>
        <v>100</v>
      </c>
      <c r="AJ31" s="43">
        <f t="shared" si="16"/>
        <v>100</v>
      </c>
      <c r="AK31" s="43">
        <f t="shared" si="16"/>
        <v>100</v>
      </c>
      <c r="AL31" s="42">
        <f>AL27</f>
        <v>100</v>
      </c>
    </row>
    <row r="32" spans="1:39" ht="17.5" thickBot="1" x14ac:dyDescent="0.45">
      <c r="A32" s="29" t="s">
        <v>163</v>
      </c>
      <c r="B32" s="53"/>
      <c r="C32" s="45"/>
      <c r="D32" s="53"/>
      <c r="E32" s="53"/>
      <c r="F32" s="53"/>
      <c r="G32" s="53"/>
      <c r="H32" s="53"/>
    </row>
    <row r="33" spans="1:39" ht="15" thickTop="1" x14ac:dyDescent="0.35">
      <c r="A33" s="22" t="s">
        <v>211</v>
      </c>
      <c r="B33" s="45">
        <v>109.026</v>
      </c>
      <c r="C33" s="45"/>
      <c r="D33" s="45">
        <v>556.303</v>
      </c>
      <c r="E33" s="45">
        <v>1023.66</v>
      </c>
      <c r="F33" s="45">
        <v>1317.96</v>
      </c>
      <c r="G33" s="45">
        <v>1496.95</v>
      </c>
      <c r="H33" s="45">
        <v>1546.5</v>
      </c>
    </row>
    <row r="34" spans="1:39" x14ac:dyDescent="0.35">
      <c r="A34" s="22" t="s">
        <v>212</v>
      </c>
      <c r="B34" s="45">
        <v>18.975000000000001</v>
      </c>
      <c r="C34" s="45"/>
      <c r="D34" s="45">
        <v>58.410899999999998</v>
      </c>
      <c r="E34" s="45">
        <v>86.322500000000005</v>
      </c>
      <c r="F34" s="45">
        <v>108.85</v>
      </c>
      <c r="G34" s="45">
        <v>126.76</v>
      </c>
      <c r="H34" s="45">
        <v>136.60900000000001</v>
      </c>
    </row>
    <row r="35" spans="1:39" ht="15" thickBot="1" x14ac:dyDescent="0.4">
      <c r="A35" s="33" t="s">
        <v>215</v>
      </c>
      <c r="B35" s="40">
        <v>128.001</v>
      </c>
      <c r="C35" s="45"/>
      <c r="D35" s="40">
        <v>614.71400000000006</v>
      </c>
      <c r="E35" s="40">
        <v>1109.99</v>
      </c>
      <c r="F35" s="40">
        <v>1426.81</v>
      </c>
      <c r="G35" s="40">
        <v>1623.71</v>
      </c>
      <c r="H35" s="40">
        <v>1683.11</v>
      </c>
    </row>
    <row r="36" spans="1:39" ht="15" thickTop="1" x14ac:dyDescent="0.35">
      <c r="A36" s="22" t="s">
        <v>216</v>
      </c>
      <c r="B36" s="45">
        <v>76.998999999999995</v>
      </c>
      <c r="C36" s="45"/>
      <c r="D36" s="45">
        <v>86.762242925807925</v>
      </c>
      <c r="E36" s="45">
        <v>105.61679225620038</v>
      </c>
      <c r="F36" s="45">
        <v>119.22609452743492</v>
      </c>
      <c r="G36" s="45">
        <v>134.22928086147377</v>
      </c>
      <c r="H36" s="45">
        <v>150.46540380309486</v>
      </c>
    </row>
    <row r="37" spans="1:39" ht="15" thickBot="1" x14ac:dyDescent="0.4">
      <c r="A37" s="33" t="s">
        <v>217</v>
      </c>
      <c r="B37" s="40">
        <v>205</v>
      </c>
      <c r="C37" s="45"/>
      <c r="D37" s="40">
        <v>701.47624292580804</v>
      </c>
      <c r="E37" s="40">
        <v>1215.6067922562004</v>
      </c>
      <c r="F37" s="40">
        <v>1546.0360945274349</v>
      </c>
      <c r="G37" s="40">
        <v>1757.9392808614739</v>
      </c>
      <c r="H37" s="40">
        <v>1833.5754038030948</v>
      </c>
    </row>
    <row r="38" spans="1:39" s="51" customFormat="1" ht="15" thickTop="1" x14ac:dyDescent="0.35">
      <c r="A38" s="51" t="s">
        <v>218</v>
      </c>
      <c r="B38" s="51">
        <v>0.62439512195121949</v>
      </c>
      <c r="D38" s="51">
        <v>0.87631478072025826</v>
      </c>
      <c r="E38" s="51">
        <v>0.91311599036052382</v>
      </c>
      <c r="F38" s="51">
        <v>0.92288272249951708</v>
      </c>
      <c r="G38" s="51">
        <v>0.92364396067440102</v>
      </c>
      <c r="H38" s="51">
        <v>0.91793879679504409</v>
      </c>
      <c r="L38" s="56"/>
      <c r="M38" s="52"/>
      <c r="N38" s="52"/>
      <c r="O38" s="52"/>
      <c r="P38" s="52"/>
      <c r="Q38" s="52"/>
      <c r="R38" s="56"/>
      <c r="S38" s="52"/>
      <c r="T38" s="52"/>
      <c r="U38" s="52"/>
      <c r="V38" s="52"/>
      <c r="W38" s="56"/>
      <c r="X38" s="52"/>
      <c r="Y38" s="52"/>
      <c r="Z38" s="52"/>
      <c r="AA38" s="52"/>
      <c r="AB38" s="56"/>
      <c r="AC38" s="52"/>
      <c r="AD38" s="52"/>
      <c r="AE38" s="52"/>
      <c r="AF38" s="52"/>
      <c r="AG38" s="56"/>
      <c r="AH38" s="52"/>
      <c r="AI38" s="52"/>
      <c r="AJ38" s="52"/>
      <c r="AK38" s="52"/>
      <c r="AL38" s="56"/>
      <c r="AM38" s="52"/>
    </row>
    <row r="39" spans="1:39" x14ac:dyDescent="0.35">
      <c r="B39" s="45"/>
      <c r="C39" s="45"/>
      <c r="D39" s="45"/>
      <c r="E39" s="45"/>
      <c r="F39" s="45"/>
      <c r="G39" s="45"/>
      <c r="H39" s="45"/>
    </row>
    <row r="40" spans="1:39" x14ac:dyDescent="0.35">
      <c r="B40" s="45"/>
      <c r="C40" s="45"/>
      <c r="D40" s="45"/>
      <c r="E40" s="45"/>
      <c r="F40" s="45"/>
      <c r="G40" s="45"/>
      <c r="H40" s="45"/>
    </row>
    <row r="41" spans="1:39" ht="17.5" thickBot="1" x14ac:dyDescent="0.45">
      <c r="A41" s="29" t="s">
        <v>165</v>
      </c>
      <c r="B41" s="53"/>
      <c r="C41" s="45"/>
      <c r="D41" s="53"/>
      <c r="E41" s="53"/>
      <c r="F41" s="53"/>
      <c r="G41" s="53"/>
      <c r="H41" s="53"/>
    </row>
    <row r="42" spans="1:39" ht="15" thickTop="1" x14ac:dyDescent="0.35">
      <c r="A42" s="22" t="s">
        <v>207</v>
      </c>
      <c r="B42" s="45">
        <v>0.62441500000000005</v>
      </c>
      <c r="C42" s="45"/>
      <c r="D42" s="45">
        <v>1.0927899999999999</v>
      </c>
      <c r="E42" s="45">
        <v>1.25827</v>
      </c>
      <c r="F42" s="45">
        <v>0.98667199999999999</v>
      </c>
      <c r="G42" s="45">
        <v>0.824762</v>
      </c>
      <c r="H42" s="45">
        <v>1.0286599999999999</v>
      </c>
    </row>
    <row r="43" spans="1:39" x14ac:dyDescent="0.35">
      <c r="A43" s="22" t="s">
        <v>209</v>
      </c>
      <c r="B43" s="45">
        <v>47.45</v>
      </c>
      <c r="C43" s="45"/>
      <c r="D43" s="45">
        <v>119.663</v>
      </c>
      <c r="E43" s="45">
        <v>130.19499999999999</v>
      </c>
      <c r="F43" s="45">
        <v>96.044600000000003</v>
      </c>
      <c r="G43" s="45">
        <v>87.406899999999993</v>
      </c>
      <c r="H43" s="45">
        <v>110.02200000000001</v>
      </c>
    </row>
    <row r="44" spans="1:39" x14ac:dyDescent="0.35">
      <c r="A44" s="37" t="s">
        <v>210</v>
      </c>
      <c r="B44" s="45">
        <v>174.14358499999997</v>
      </c>
      <c r="C44" s="46"/>
      <c r="D44" s="45">
        <v>567.0012099999999</v>
      </c>
      <c r="E44" s="45">
        <v>539.02372999999989</v>
      </c>
      <c r="F44" s="45">
        <v>491.37772799999999</v>
      </c>
      <c r="G44" s="45">
        <v>381.89733799999999</v>
      </c>
      <c r="H44" s="45">
        <v>304.59433999999999</v>
      </c>
    </row>
    <row r="45" spans="1:39" x14ac:dyDescent="0.35">
      <c r="A45" s="22" t="s">
        <v>211</v>
      </c>
      <c r="B45" s="45">
        <v>321.14100000000002</v>
      </c>
      <c r="C45" s="45"/>
      <c r="D45" s="45">
        <v>1560.25</v>
      </c>
      <c r="E45" s="45">
        <v>2825.82</v>
      </c>
      <c r="F45" s="45">
        <v>3153.33</v>
      </c>
      <c r="G45" s="45">
        <v>3436.27</v>
      </c>
      <c r="H45" s="45">
        <v>3427.53</v>
      </c>
    </row>
    <row r="46" spans="1:39" x14ac:dyDescent="0.35">
      <c r="A46" s="22" t="s">
        <v>212</v>
      </c>
      <c r="B46" s="45">
        <v>16.9682</v>
      </c>
      <c r="C46" s="45"/>
      <c r="D46" s="45">
        <v>93.216300000000004</v>
      </c>
      <c r="E46" s="45">
        <v>186.14099999999999</v>
      </c>
      <c r="F46" s="45">
        <v>293.14</v>
      </c>
      <c r="G46" s="45">
        <v>409.40499999999997</v>
      </c>
      <c r="H46" s="45">
        <v>578.44799999999998</v>
      </c>
    </row>
    <row r="47" spans="1:39" x14ac:dyDescent="0.35">
      <c r="A47" s="22" t="s">
        <v>214</v>
      </c>
      <c r="B47" s="45">
        <v>1.3972899999999999</v>
      </c>
      <c r="C47" s="45"/>
      <c r="D47" s="45">
        <v>73.976699999999994</v>
      </c>
      <c r="E47" s="45">
        <v>80.141599999999997</v>
      </c>
      <c r="F47" s="45">
        <v>68.261799999999994</v>
      </c>
      <c r="G47" s="45">
        <v>58.484699999999997</v>
      </c>
      <c r="H47" s="45">
        <v>75.442800000000005</v>
      </c>
    </row>
    <row r="48" spans="1:39" ht="15" thickBot="1" x14ac:dyDescent="0.4">
      <c r="A48" s="33" t="s">
        <v>215</v>
      </c>
      <c r="B48" s="40">
        <v>561.72400000000005</v>
      </c>
      <c r="C48" s="45"/>
      <c r="D48" s="40">
        <v>2415.1999999999998</v>
      </c>
      <c r="E48" s="40">
        <v>3762.58</v>
      </c>
      <c r="F48" s="40">
        <v>4103.1400000000003</v>
      </c>
      <c r="G48" s="40">
        <v>4374.29</v>
      </c>
      <c r="H48" s="40">
        <v>4497.07</v>
      </c>
    </row>
    <row r="49" spans="1:39" ht="15" thickTop="1" x14ac:dyDescent="0.35">
      <c r="A49" s="22" t="s">
        <v>216</v>
      </c>
      <c r="B49" s="45">
        <v>2809.3697350845496</v>
      </c>
      <c r="C49" s="45"/>
      <c r="D49" s="45">
        <v>2947.3792607070368</v>
      </c>
      <c r="E49" s="45">
        <v>2952.3226732428552</v>
      </c>
      <c r="F49" s="45">
        <v>2976.0359419803258</v>
      </c>
      <c r="G49" s="45">
        <v>3044.2217877003827</v>
      </c>
      <c r="H49" s="45">
        <v>3114.9145186311421</v>
      </c>
    </row>
    <row r="50" spans="1:39" ht="15" thickBot="1" x14ac:dyDescent="0.4">
      <c r="A50" s="33" t="s">
        <v>217</v>
      </c>
      <c r="B50" s="40">
        <v>3371.0937350845497</v>
      </c>
      <c r="C50" s="45"/>
      <c r="D50" s="40">
        <v>5362.5792607070362</v>
      </c>
      <c r="E50" s="40">
        <v>6714.9026732428556</v>
      </c>
      <c r="F50" s="40">
        <v>7079.1759419803257</v>
      </c>
      <c r="G50" s="40">
        <v>7418.5117877003831</v>
      </c>
      <c r="H50" s="40">
        <v>7611.9845186311413</v>
      </c>
    </row>
    <row r="51" spans="1:39" s="51" customFormat="1" ht="15" thickTop="1" x14ac:dyDescent="0.35">
      <c r="A51" s="51" t="s">
        <v>218</v>
      </c>
      <c r="B51" s="51">
        <v>0.1666295998102561</v>
      </c>
      <c r="D51" s="51">
        <v>0.4503802895179147</v>
      </c>
      <c r="E51" s="51">
        <v>0.56033276773956897</v>
      </c>
      <c r="F51" s="51">
        <v>0.57960700985942581</v>
      </c>
      <c r="G51" s="51">
        <v>0.58964521796034752</v>
      </c>
      <c r="H51" s="51">
        <v>0.59078811694807609</v>
      </c>
      <c r="L51" s="56"/>
      <c r="M51" s="52"/>
      <c r="N51" s="52"/>
      <c r="O51" s="52"/>
      <c r="P51" s="52"/>
      <c r="Q51" s="52"/>
      <c r="R51" s="56"/>
      <c r="S51" s="52"/>
      <c r="T51" s="52"/>
      <c r="U51" s="52"/>
      <c r="V51" s="52"/>
      <c r="W51" s="56"/>
      <c r="X51" s="52"/>
      <c r="Y51" s="52"/>
      <c r="Z51" s="52"/>
      <c r="AA51" s="52"/>
      <c r="AB51" s="56"/>
      <c r="AC51" s="52"/>
      <c r="AD51" s="52"/>
      <c r="AE51" s="52"/>
      <c r="AF51" s="52"/>
      <c r="AG51" s="56"/>
      <c r="AH51" s="52"/>
      <c r="AI51" s="52"/>
      <c r="AJ51" s="52"/>
      <c r="AK51" s="52"/>
      <c r="AL51" s="56"/>
      <c r="AM51" s="52"/>
    </row>
    <row r="52" spans="1:39" x14ac:dyDescent="0.35">
      <c r="B52" s="45"/>
      <c r="C52" s="45"/>
      <c r="D52" s="45"/>
      <c r="E52" s="45"/>
      <c r="F52" s="45"/>
      <c r="G52" s="45"/>
      <c r="H52" s="45"/>
    </row>
    <row r="53" spans="1:39" x14ac:dyDescent="0.35">
      <c r="B53" s="45"/>
      <c r="C53" s="45"/>
      <c r="D53" s="45"/>
      <c r="E53" s="45"/>
      <c r="F53" s="45"/>
      <c r="G53" s="45"/>
      <c r="H53" s="45"/>
    </row>
    <row r="54" spans="1:39" ht="17.5" thickBot="1" x14ac:dyDescent="0.45">
      <c r="A54" s="29" t="s">
        <v>219</v>
      </c>
      <c r="B54" s="53"/>
      <c r="C54" s="45"/>
      <c r="D54" s="53"/>
      <c r="E54" s="53"/>
      <c r="F54" s="53"/>
      <c r="G54" s="53"/>
      <c r="H54" s="53"/>
    </row>
    <row r="55" spans="1:39" ht="15" thickTop="1" x14ac:dyDescent="0.35">
      <c r="A55" s="22" t="s">
        <v>209</v>
      </c>
      <c r="B55" s="45">
        <v>10.495757000000001</v>
      </c>
      <c r="C55" s="45"/>
      <c r="D55" s="45">
        <v>30.717086000000002</v>
      </c>
      <c r="E55" s="45">
        <v>31.206068999999999</v>
      </c>
      <c r="F55" s="45">
        <v>21.129727000000003</v>
      </c>
      <c r="G55" s="45">
        <v>21.127861999999997</v>
      </c>
      <c r="H55" s="45">
        <v>25.898173</v>
      </c>
    </row>
    <row r="56" spans="1:39" x14ac:dyDescent="0.35">
      <c r="A56" s="22" t="s">
        <v>211</v>
      </c>
      <c r="B56" s="45">
        <v>8.35928</v>
      </c>
      <c r="C56" s="45"/>
      <c r="D56" s="45">
        <v>31.898708999999997</v>
      </c>
      <c r="E56" s="45">
        <v>48.330767999999999</v>
      </c>
      <c r="F56" s="45">
        <v>49.394191999999997</v>
      </c>
      <c r="G56" s="45">
        <v>51.665251999999995</v>
      </c>
      <c r="H56" s="45">
        <v>54.024404999999994</v>
      </c>
    </row>
    <row r="57" spans="1:39" ht="15" thickBot="1" x14ac:dyDescent="0.4">
      <c r="A57" s="33" t="s">
        <v>215</v>
      </c>
      <c r="B57" s="40">
        <v>18.855088000000002</v>
      </c>
      <c r="C57" s="45"/>
      <c r="D57" s="40">
        <v>62.615789999999997</v>
      </c>
      <c r="E57" s="40">
        <v>79.536850000000001</v>
      </c>
      <c r="F57" s="40">
        <v>70.523920000000004</v>
      </c>
      <c r="G57" s="40">
        <v>72.793109999999999</v>
      </c>
      <c r="H57" s="40">
        <v>79.922610000000006</v>
      </c>
    </row>
    <row r="58" spans="1:39" ht="15" thickTop="1" x14ac:dyDescent="0.35">
      <c r="A58" s="22" t="s">
        <v>216</v>
      </c>
      <c r="B58" s="45">
        <v>72.066689612903531</v>
      </c>
      <c r="C58" s="45"/>
      <c r="D58" s="45">
        <v>84.156845709435871</v>
      </c>
      <c r="E58" s="45">
        <v>92.682429047764515</v>
      </c>
      <c r="F58" s="45">
        <v>101.89817611364133</v>
      </c>
      <c r="G58" s="45">
        <v>111.20137982866936</v>
      </c>
      <c r="H58" s="45">
        <v>120.34185991603196</v>
      </c>
    </row>
    <row r="59" spans="1:39" ht="15" thickBot="1" x14ac:dyDescent="0.4">
      <c r="A59" s="33" t="s">
        <v>217</v>
      </c>
      <c r="B59" s="40">
        <v>90.921777612903526</v>
      </c>
      <c r="C59" s="45"/>
      <c r="D59" s="40">
        <v>146.77263570943586</v>
      </c>
      <c r="E59" s="40">
        <v>172.21927904776453</v>
      </c>
      <c r="F59" s="40">
        <v>172.42209611364132</v>
      </c>
      <c r="G59" s="40">
        <v>183.99448982866937</v>
      </c>
      <c r="H59" s="40">
        <v>200.26446991603197</v>
      </c>
    </row>
    <row r="60" spans="1:39" s="51" customFormat="1" ht="15" thickTop="1" x14ac:dyDescent="0.35">
      <c r="A60" s="51" t="s">
        <v>218</v>
      </c>
      <c r="B60" s="51">
        <v>0.20737702775978401</v>
      </c>
      <c r="C60" s="45"/>
      <c r="D60" s="51">
        <v>0.42661760277957927</v>
      </c>
      <c r="E60" s="51">
        <v>0.46183476344678392</v>
      </c>
      <c r="F60" s="51">
        <v>0.4090190386823655</v>
      </c>
      <c r="G60" s="51">
        <v>0.39562657592508854</v>
      </c>
      <c r="H60" s="51">
        <v>0.39908531969505334</v>
      </c>
      <c r="L60" s="56"/>
      <c r="M60" s="52"/>
      <c r="N60" s="52"/>
      <c r="O60" s="52"/>
      <c r="P60" s="52"/>
      <c r="Q60" s="52"/>
      <c r="R60" s="56"/>
      <c r="S60" s="52"/>
      <c r="T60" s="52"/>
      <c r="U60" s="52"/>
      <c r="V60" s="52"/>
      <c r="W60" s="56"/>
      <c r="X60" s="52"/>
      <c r="Y60" s="52"/>
      <c r="Z60" s="52"/>
      <c r="AA60" s="52"/>
      <c r="AB60" s="56"/>
      <c r="AC60" s="52"/>
      <c r="AD60" s="52"/>
      <c r="AE60" s="52"/>
      <c r="AF60" s="52"/>
      <c r="AG60" s="56"/>
      <c r="AH60" s="52"/>
      <c r="AI60" s="52"/>
      <c r="AJ60" s="52"/>
      <c r="AK60" s="52"/>
      <c r="AL60" s="56"/>
      <c r="AM60" s="52"/>
    </row>
    <row r="61" spans="1:39" x14ac:dyDescent="0.35">
      <c r="C61" s="45"/>
    </row>
    <row r="63" spans="1:39" ht="17.5" thickBot="1" x14ac:dyDescent="0.45">
      <c r="A63" s="29" t="s">
        <v>221</v>
      </c>
      <c r="B63" s="53"/>
      <c r="C63" s="45"/>
      <c r="D63" s="53"/>
      <c r="E63" s="53"/>
      <c r="F63" s="53"/>
      <c r="G63" s="53"/>
      <c r="H63" s="53"/>
    </row>
    <row r="64" spans="1:39" ht="15" thickTop="1" x14ac:dyDescent="0.35">
      <c r="A64" s="22" t="s">
        <v>211</v>
      </c>
      <c r="B64" s="45">
        <v>1259.6197458404415</v>
      </c>
      <c r="C64" s="45"/>
      <c r="D64" s="45">
        <v>6190.3549482350691</v>
      </c>
      <c r="E64" s="45">
        <v>9628.340771210871</v>
      </c>
      <c r="F64" s="45">
        <v>8917.7177183217937</v>
      </c>
      <c r="G64" s="45">
        <v>5659.3544384667375</v>
      </c>
      <c r="H64" s="45">
        <v>4687.9966332350896</v>
      </c>
    </row>
    <row r="65" spans="1:39" x14ac:dyDescent="0.35">
      <c r="A65" s="22" t="s">
        <v>212</v>
      </c>
      <c r="B65" s="45">
        <v>245.57471938033001</v>
      </c>
      <c r="C65" s="45"/>
      <c r="D65" s="45">
        <v>844.95763399999998</v>
      </c>
      <c r="E65" s="45">
        <v>1202.7497023999999</v>
      </c>
      <c r="F65" s="45">
        <v>1558.0520492000001</v>
      </c>
      <c r="G65" s="45">
        <v>1663.7531128000001</v>
      </c>
      <c r="H65" s="45">
        <v>1863.058004</v>
      </c>
    </row>
    <row r="66" spans="1:39" ht="15" thickBot="1" x14ac:dyDescent="0.4">
      <c r="A66" s="33" t="s">
        <v>215</v>
      </c>
      <c r="B66" s="40">
        <v>1505.1944652207715</v>
      </c>
      <c r="C66" s="45"/>
      <c r="D66" s="40">
        <v>8241.3716980000008</v>
      </c>
      <c r="E66" s="40">
        <v>12548.518118400001</v>
      </c>
      <c r="F66" s="40">
        <v>11875.705993199999</v>
      </c>
      <c r="G66" s="40">
        <v>9840.3301408000007</v>
      </c>
      <c r="H66" s="40">
        <v>8266.9298280000003</v>
      </c>
    </row>
    <row r="67" spans="1:39" ht="15" thickTop="1" x14ac:dyDescent="0.35">
      <c r="A67" s="22" t="s">
        <v>216</v>
      </c>
      <c r="B67" s="45">
        <v>3260.3622256687377</v>
      </c>
      <c r="C67" s="45"/>
      <c r="D67" s="45">
        <v>4625.0698646962828</v>
      </c>
      <c r="E67" s="45">
        <v>5618.2927760566699</v>
      </c>
      <c r="F67" s="45">
        <v>6663.1913300880842</v>
      </c>
      <c r="G67" s="45">
        <v>7663.9723678612672</v>
      </c>
      <c r="H67" s="45">
        <v>8488.9688292408646</v>
      </c>
    </row>
    <row r="68" spans="1:39" ht="15" thickBot="1" x14ac:dyDescent="0.4">
      <c r="A68" s="33" t="s">
        <v>217</v>
      </c>
      <c r="B68" s="40">
        <v>4765.5566908895089</v>
      </c>
      <c r="C68" s="45"/>
      <c r="D68" s="40">
        <v>12866.441562696284</v>
      </c>
      <c r="E68" s="40">
        <v>18166.81089445667</v>
      </c>
      <c r="F68" s="40">
        <v>18538.897323288082</v>
      </c>
      <c r="G68" s="40">
        <v>17504.302508661269</v>
      </c>
      <c r="H68" s="40">
        <v>16755.898657240865</v>
      </c>
    </row>
    <row r="69" spans="1:39" s="51" customFormat="1" ht="15" thickTop="1" x14ac:dyDescent="0.35">
      <c r="A69" s="51" t="s">
        <v>218</v>
      </c>
      <c r="B69" s="51">
        <v>0.31584861178932305</v>
      </c>
      <c r="D69" s="51">
        <v>0.64053232261935089</v>
      </c>
      <c r="E69" s="51">
        <v>0.6907386327354238</v>
      </c>
      <c r="F69" s="51">
        <v>0.64058319036494393</v>
      </c>
      <c r="G69" s="51">
        <v>0.56216636657935537</v>
      </c>
      <c r="H69" s="51">
        <v>0.49337430340852195</v>
      </c>
      <c r="L69" s="56"/>
      <c r="M69" s="52"/>
      <c r="N69" s="52"/>
      <c r="O69" s="52"/>
      <c r="P69" s="52"/>
      <c r="Q69" s="52"/>
      <c r="R69" s="56"/>
      <c r="S69" s="52"/>
      <c r="T69" s="52"/>
      <c r="U69" s="52"/>
      <c r="V69" s="52"/>
      <c r="W69" s="56"/>
      <c r="X69" s="52"/>
      <c r="Y69" s="52"/>
      <c r="Z69" s="52"/>
      <c r="AA69" s="52"/>
      <c r="AB69" s="56"/>
      <c r="AC69" s="52"/>
      <c r="AD69" s="52"/>
      <c r="AE69" s="52"/>
      <c r="AF69" s="52"/>
      <c r="AG69" s="56"/>
      <c r="AH69" s="52"/>
      <c r="AI69" s="52"/>
      <c r="AJ69" s="52"/>
      <c r="AK69" s="52"/>
      <c r="AL69" s="56"/>
      <c r="AM69" s="52"/>
    </row>
    <row r="72" spans="1:39" ht="17.5" thickBot="1" x14ac:dyDescent="0.45">
      <c r="A72" s="29" t="s">
        <v>174</v>
      </c>
    </row>
    <row r="73" spans="1:39" ht="15" thickTop="1" x14ac:dyDescent="0.35">
      <c r="A73" s="22" t="s">
        <v>217</v>
      </c>
      <c r="B73" s="22">
        <v>185.95</v>
      </c>
      <c r="D73" s="22">
        <v>1050</v>
      </c>
      <c r="E73" s="22">
        <v>2430</v>
      </c>
      <c r="F73" s="22">
        <v>3700</v>
      </c>
      <c r="G73" s="22">
        <v>4700</v>
      </c>
      <c r="H73" s="22">
        <v>5450</v>
      </c>
    </row>
    <row r="77" spans="1:39" ht="17.5" thickBot="1" x14ac:dyDescent="0.45">
      <c r="A77" s="29" t="s">
        <v>175</v>
      </c>
      <c r="B77" s="29"/>
      <c r="D77" s="29"/>
      <c r="E77" s="29"/>
      <c r="F77" s="29"/>
      <c r="G77" s="29"/>
      <c r="H77" s="29"/>
    </row>
    <row r="78" spans="1:39" ht="15" thickTop="1" x14ac:dyDescent="0.35">
      <c r="A78" s="22" t="s">
        <v>207</v>
      </c>
      <c r="B78" s="31">
        <v>1480.78</v>
      </c>
      <c r="D78" s="31">
        <v>2062.61</v>
      </c>
      <c r="E78" s="31">
        <v>2192.63</v>
      </c>
      <c r="F78" s="31">
        <v>1663.5</v>
      </c>
      <c r="G78" s="31">
        <v>1314.86</v>
      </c>
      <c r="H78" s="31">
        <v>1522.89</v>
      </c>
    </row>
    <row r="79" spans="1:39" x14ac:dyDescent="0.35">
      <c r="A79" s="22" t="s">
        <v>211</v>
      </c>
      <c r="B79" s="31">
        <v>18.554200000000002</v>
      </c>
      <c r="D79" s="31">
        <v>173.02699999999999</v>
      </c>
      <c r="E79" s="31">
        <v>509.66699999999997</v>
      </c>
      <c r="F79" s="31">
        <v>704.09299999999996</v>
      </c>
      <c r="G79" s="31">
        <v>983.36599999999999</v>
      </c>
      <c r="H79" s="31">
        <v>1203.0999999999999</v>
      </c>
    </row>
    <row r="80" spans="1:39" x14ac:dyDescent="0.35">
      <c r="A80" s="22" t="s">
        <v>212</v>
      </c>
      <c r="B80" s="31">
        <v>0.51717999999999997</v>
      </c>
      <c r="D80" s="31">
        <v>5.4274100000000001</v>
      </c>
      <c r="E80" s="31">
        <v>11.0266</v>
      </c>
      <c r="F80" s="31">
        <v>18.837</v>
      </c>
      <c r="G80" s="31">
        <v>27.1113</v>
      </c>
      <c r="H80" s="31">
        <v>31.465199999999999</v>
      </c>
    </row>
    <row r="81" spans="1:8" ht="15" thickBot="1" x14ac:dyDescent="0.4">
      <c r="A81" s="33" t="s">
        <v>222</v>
      </c>
      <c r="B81" s="34">
        <v>1499.85</v>
      </c>
      <c r="D81" s="34">
        <v>2241.0700000000002</v>
      </c>
      <c r="E81" s="34">
        <v>2713.33</v>
      </c>
      <c r="F81" s="34">
        <v>2386.4299999999998</v>
      </c>
      <c r="G81" s="34">
        <v>2325.34</v>
      </c>
      <c r="H81" s="34">
        <v>2757.45</v>
      </c>
    </row>
    <row r="82" spans="1:8" ht="15" thickTop="1" x14ac:dyDescent="0.35"/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8C9D2-3B02-403A-981A-A9925A488893}">
  <sheetPr>
    <tabColor rgb="FF0077B6"/>
  </sheetPr>
  <dimension ref="A1:AB23"/>
  <sheetViews>
    <sheetView workbookViewId="0">
      <selection activeCell="J24" sqref="J24"/>
    </sheetView>
  </sheetViews>
  <sheetFormatPr defaultRowHeight="14.5" x14ac:dyDescent="0.35"/>
  <cols>
    <col min="1" max="1" width="8.7265625" style="59"/>
    <col min="2" max="2" width="10.81640625" style="59" customWidth="1"/>
    <col min="3" max="28" width="8.7265625" style="58"/>
    <col min="29" max="16384" width="8.7265625" style="59"/>
  </cols>
  <sheetData>
    <row r="1" spans="1:28" x14ac:dyDescent="0.35">
      <c r="A1" s="59" t="s">
        <v>224</v>
      </c>
    </row>
    <row r="3" spans="1:28" x14ac:dyDescent="0.35">
      <c r="A3" s="59" t="s">
        <v>225</v>
      </c>
    </row>
    <row r="4" spans="1:28" s="57" customFormat="1" ht="13" x14ac:dyDescent="0.3">
      <c r="C4" s="58">
        <v>2026</v>
      </c>
      <c r="D4" s="58">
        <v>2027</v>
      </c>
      <c r="E4" s="58">
        <v>2028</v>
      </c>
      <c r="F4" s="58">
        <v>2029</v>
      </c>
      <c r="G4" s="58">
        <v>2030</v>
      </c>
      <c r="H4" s="58">
        <v>2031</v>
      </c>
      <c r="I4" s="58">
        <v>2032</v>
      </c>
      <c r="J4" s="58">
        <v>2033</v>
      </c>
      <c r="K4" s="58">
        <v>2034</v>
      </c>
      <c r="L4" s="58">
        <v>2035</v>
      </c>
      <c r="M4" s="58">
        <v>2036</v>
      </c>
      <c r="N4" s="58">
        <v>2037</v>
      </c>
      <c r="O4" s="58">
        <v>2038</v>
      </c>
      <c r="P4" s="58">
        <v>2039</v>
      </c>
      <c r="Q4" s="58">
        <v>2040</v>
      </c>
      <c r="R4" s="58">
        <v>2041</v>
      </c>
      <c r="S4" s="58">
        <v>2042</v>
      </c>
      <c r="T4" s="58">
        <v>2043</v>
      </c>
      <c r="U4" s="58">
        <v>2044</v>
      </c>
      <c r="V4" s="58">
        <v>2045</v>
      </c>
      <c r="W4" s="58">
        <v>2046</v>
      </c>
      <c r="X4" s="58">
        <v>2047</v>
      </c>
      <c r="Y4" s="58">
        <v>2048</v>
      </c>
      <c r="Z4" s="58">
        <v>2049</v>
      </c>
      <c r="AA4" s="58">
        <v>2050</v>
      </c>
      <c r="AB4" s="58"/>
    </row>
    <row r="5" spans="1:28" x14ac:dyDescent="0.35">
      <c r="A5" s="59" t="s">
        <v>206</v>
      </c>
      <c r="B5" s="59" t="s">
        <v>171</v>
      </c>
      <c r="C5" s="58">
        <v>-8.5650523373588356</v>
      </c>
      <c r="D5" s="58">
        <v>-7.9589831937777484</v>
      </c>
      <c r="E5" s="58">
        <v>-6.4470524113723817</v>
      </c>
      <c r="F5" s="58">
        <v>-4.4555792388313371</v>
      </c>
      <c r="G5" s="58">
        <v>-2.1796441945836205</v>
      </c>
      <c r="H5" s="58">
        <v>-6.2316854285947141</v>
      </c>
      <c r="I5" s="58">
        <v>-9.5473069044817009</v>
      </c>
      <c r="J5" s="58">
        <v>-12.349101325360651</v>
      </c>
      <c r="K5" s="58">
        <v>-14.778163816470085</v>
      </c>
      <c r="L5" s="58">
        <v>-16.928262473703573</v>
      </c>
      <c r="M5" s="58">
        <v>-17.822209424082022</v>
      </c>
      <c r="N5" s="58">
        <v>-18.685818132889789</v>
      </c>
      <c r="O5" s="58">
        <v>-19.521398614986047</v>
      </c>
      <c r="P5" s="58">
        <v>-20.33103217122877</v>
      </c>
      <c r="Q5" s="58">
        <v>-21.116599010898394</v>
      </c>
      <c r="R5" s="58">
        <v>-19.243260546871717</v>
      </c>
      <c r="S5" s="58">
        <v>-17.320318125837304</v>
      </c>
      <c r="T5" s="58">
        <v>-15.346502844179133</v>
      </c>
      <c r="U5" s="58">
        <v>-13.320510869073964</v>
      </c>
      <c r="V5" s="58">
        <v>-11.241002576550317</v>
      </c>
      <c r="W5" s="58">
        <v>-9.3818543832938968</v>
      </c>
      <c r="X5" s="58">
        <v>-7.4808566234741152</v>
      </c>
      <c r="Y5" s="58">
        <v>-5.5370437631231741</v>
      </c>
      <c r="Z5" s="58">
        <v>-3.5494274468459133</v>
      </c>
      <c r="AA5" s="58">
        <v>-1.5169959523255536</v>
      </c>
    </row>
    <row r="6" spans="1:28" x14ac:dyDescent="0.35">
      <c r="A6" s="59" t="s">
        <v>208</v>
      </c>
      <c r="B6" s="59" t="s">
        <v>171</v>
      </c>
      <c r="C6" s="58">
        <v>-2.0595768389392823</v>
      </c>
      <c r="D6" s="58">
        <v>-2.6133722009005034</v>
      </c>
      <c r="E6" s="58">
        <v>-2.7614086309877353</v>
      </c>
      <c r="F6" s="58">
        <v>-2.59490514449723</v>
      </c>
      <c r="G6" s="58">
        <v>-2.1796441945836027</v>
      </c>
      <c r="H6" s="58">
        <v>-5.4289869566222508</v>
      </c>
      <c r="I6" s="58">
        <v>-8.5168606996556591</v>
      </c>
      <c r="J6" s="58">
        <v>-11.455514551893922</v>
      </c>
      <c r="K6" s="58">
        <v>-14.255989231009917</v>
      </c>
      <c r="L6" s="58">
        <v>-16.928262473703576</v>
      </c>
      <c r="M6" s="58">
        <v>-17.697800093213598</v>
      </c>
      <c r="N6" s="58">
        <v>-18.496801057483605</v>
      </c>
      <c r="O6" s="58">
        <v>-19.329432945501761</v>
      </c>
      <c r="P6" s="58">
        <v>-20.200688233348632</v>
      </c>
      <c r="Q6" s="58">
        <v>-21.116599010898398</v>
      </c>
      <c r="R6" s="58">
        <v>-19.201048521601326</v>
      </c>
      <c r="S6" s="58">
        <v>-17.253926959865019</v>
      </c>
      <c r="T6" s="58">
        <v>-15.276806314052948</v>
      </c>
      <c r="U6" s="58">
        <v>-13.271671584153902</v>
      </c>
      <c r="V6" s="58">
        <v>-11.241002576550308</v>
      </c>
      <c r="W6" s="58">
        <v>-9.4725125851076033</v>
      </c>
      <c r="X6" s="58">
        <v>-7.6132817205514494</v>
      </c>
      <c r="Y6" s="58">
        <v>-5.6662831212876377</v>
      </c>
      <c r="Z6" s="58">
        <v>-3.6336830507838171</v>
      </c>
      <c r="AA6" s="58">
        <v>-1.5169959523255616</v>
      </c>
    </row>
    <row r="7" spans="1:28" x14ac:dyDescent="0.35">
      <c r="A7" s="59" t="s">
        <v>209</v>
      </c>
      <c r="B7" s="59" t="s">
        <v>171</v>
      </c>
      <c r="C7" s="58">
        <v>-5.1425875358216837</v>
      </c>
      <c r="D7" s="58">
        <v>-5.3700909166565785</v>
      </c>
      <c r="E7" s="58">
        <v>-4.7734814804817836</v>
      </c>
      <c r="F7" s="58">
        <v>-3.6532542044676317</v>
      </c>
      <c r="G7" s="58">
        <v>-2.1796441945836169</v>
      </c>
      <c r="H7" s="58">
        <v>-5.2919405032793749</v>
      </c>
      <c r="I7" s="58">
        <v>-8.3206226316791216</v>
      </c>
      <c r="J7" s="58">
        <v>-11.268062456335212</v>
      </c>
      <c r="K7" s="58">
        <v>-14.136542983688518</v>
      </c>
      <c r="L7" s="58">
        <v>-16.928262473703583</v>
      </c>
      <c r="M7" s="58">
        <v>-17.662054380968808</v>
      </c>
      <c r="N7" s="58">
        <v>-18.43728129973648</v>
      </c>
      <c r="O7" s="58">
        <v>-19.26292770023036</v>
      </c>
      <c r="P7" s="58">
        <v>-20.150777924690189</v>
      </c>
      <c r="Q7" s="58">
        <v>-21.116599010898401</v>
      </c>
      <c r="R7" s="58">
        <v>-19.228306264663932</v>
      </c>
      <c r="S7" s="58">
        <v>-17.297453874857457</v>
      </c>
      <c r="T7" s="58">
        <v>-15.323194099074007</v>
      </c>
      <c r="U7" s="58">
        <v>-13.304667405375488</v>
      </c>
      <c r="V7" s="58">
        <v>-11.24100257655032</v>
      </c>
      <c r="W7" s="58">
        <v>-9.4694956899221214</v>
      </c>
      <c r="X7" s="58">
        <v>-7.6090503441230357</v>
      </c>
      <c r="Y7" s="58">
        <v>-5.6623099455775776</v>
      </c>
      <c r="Z7" s="58">
        <v>-3.6311863192452143</v>
      </c>
      <c r="AA7" s="58">
        <v>-1.5169959523255454</v>
      </c>
    </row>
    <row r="8" spans="1:28" x14ac:dyDescent="0.35">
      <c r="A8" s="59" t="s">
        <v>206</v>
      </c>
      <c r="B8" s="59" t="s">
        <v>172</v>
      </c>
      <c r="C8" s="58">
        <v>-11.933025707579795</v>
      </c>
      <c r="D8" s="58">
        <v>-16.331665826475508</v>
      </c>
      <c r="E8" s="58">
        <v>-18.699397695561572</v>
      </c>
      <c r="F8" s="58">
        <v>-19.865234521824373</v>
      </c>
      <c r="G8" s="58">
        <v>-20.261027469026228</v>
      </c>
      <c r="H8" s="58">
        <v>-21.626200360208493</v>
      </c>
      <c r="I8" s="58">
        <v>-22.92009461360724</v>
      </c>
      <c r="J8" s="58">
        <v>-24.147937590895882</v>
      </c>
      <c r="K8" s="58">
        <v>-25.314457705486195</v>
      </c>
      <c r="L8" s="58">
        <v>-26.423942565459743</v>
      </c>
      <c r="M8" s="58">
        <v>-25.939825498753269</v>
      </c>
      <c r="N8" s="58">
        <v>-25.440565803879455</v>
      </c>
      <c r="O8" s="58">
        <v>-24.925455353146017</v>
      </c>
      <c r="P8" s="58">
        <v>-24.393741166664231</v>
      </c>
      <c r="Q8" s="58">
        <v>-23.844621804088828</v>
      </c>
      <c r="R8" s="58">
        <v>-23.447343676168078</v>
      </c>
      <c r="S8" s="58">
        <v>-22.992844248067609</v>
      </c>
      <c r="T8" s="58">
        <v>-22.483196665072278</v>
      </c>
      <c r="U8" s="58">
        <v>-21.920190922764629</v>
      </c>
      <c r="V8" s="58">
        <v>-21.30536683385435</v>
      </c>
      <c r="W8" s="58">
        <v>-19.837974581133512</v>
      </c>
      <c r="X8" s="58">
        <v>-18.340213892105805</v>
      </c>
      <c r="Y8" s="58">
        <v>-16.811448905155359</v>
      </c>
      <c r="Z8" s="58">
        <v>-15.25103002727743</v>
      </c>
      <c r="AA8" s="58">
        <v>-13.658293640937796</v>
      </c>
    </row>
    <row r="9" spans="1:28" x14ac:dyDescent="0.35">
      <c r="A9" s="59" t="s">
        <v>206</v>
      </c>
      <c r="B9" s="59" t="s">
        <v>163</v>
      </c>
      <c r="C9" s="58">
        <v>-25.39956467043703</v>
      </c>
      <c r="D9" s="58">
        <v>-31.123729383650602</v>
      </c>
      <c r="E9" s="58">
        <v>-34.008916896364134</v>
      </c>
      <c r="F9" s="58">
        <v>-35.373021545978204</v>
      </c>
      <c r="G9" s="58">
        <v>-35.827531478124364</v>
      </c>
      <c r="H9" s="58">
        <v>-44.106369144070797</v>
      </c>
      <c r="I9" s="58">
        <v>-50.297065908703878</v>
      </c>
      <c r="J9" s="58">
        <v>-55.099433321647609</v>
      </c>
      <c r="K9" s="58">
        <v>-58.931996469632224</v>
      </c>
      <c r="L9" s="58">
        <v>-62.060416692472828</v>
      </c>
      <c r="M9" s="58">
        <v>-64.030769148555848</v>
      </c>
      <c r="N9" s="58">
        <v>-65.797883642743429</v>
      </c>
      <c r="O9" s="58">
        <v>-67.391660661031338</v>
      </c>
      <c r="P9" s="58">
        <v>-68.836409576379893</v>
      </c>
      <c r="Q9" s="58">
        <v>-70.152097142269469</v>
      </c>
      <c r="R9" s="58">
        <v>-70.163377006384778</v>
      </c>
      <c r="S9" s="58">
        <v>-70.153783949302138</v>
      </c>
      <c r="T9" s="58">
        <v>-70.124361091925607</v>
      </c>
      <c r="U9" s="58">
        <v>-70.076035502170029</v>
      </c>
      <c r="V9" s="58">
        <v>-70.0096317101343</v>
      </c>
      <c r="W9" s="58">
        <v>-69.460681050685409</v>
      </c>
      <c r="X9" s="58">
        <v>-68.900450227023455</v>
      </c>
      <c r="Y9" s="58">
        <v>-68.328705794621854</v>
      </c>
      <c r="Z9" s="58">
        <v>-67.745209300093762</v>
      </c>
      <c r="AA9" s="58">
        <v>-67.149717175897337</v>
      </c>
    </row>
    <row r="10" spans="1:28" x14ac:dyDescent="0.35">
      <c r="A10" s="59" t="s">
        <v>206</v>
      </c>
      <c r="B10" s="59" t="s">
        <v>165</v>
      </c>
      <c r="C10" s="58">
        <v>-16.419730521375175</v>
      </c>
      <c r="D10" s="58">
        <v>-18.025957935748274</v>
      </c>
      <c r="E10" s="58">
        <v>-18.088127771890974</v>
      </c>
      <c r="F10" s="58">
        <v>-17.312899796011362</v>
      </c>
      <c r="G10" s="58">
        <v>-16.032793529166003</v>
      </c>
      <c r="H10" s="58">
        <v>-21.564785646658223</v>
      </c>
      <c r="I10" s="58">
        <v>-25.779232104215517</v>
      </c>
      <c r="J10" s="58">
        <v>-29.10744485519276</v>
      </c>
      <c r="K10" s="58">
        <v>-31.810998473296358</v>
      </c>
      <c r="L10" s="58">
        <v>-34.057748630605431</v>
      </c>
      <c r="M10" s="58">
        <v>-34.797884282941595</v>
      </c>
      <c r="N10" s="58">
        <v>-35.505227746429632</v>
      </c>
      <c r="O10" s="58">
        <v>-36.181911108032303</v>
      </c>
      <c r="P10" s="58">
        <v>-36.829885543132796</v>
      </c>
      <c r="Q10" s="58">
        <v>-37.4509401053066</v>
      </c>
      <c r="R10" s="58">
        <v>-36.391226831646769</v>
      </c>
      <c r="S10" s="58">
        <v>-35.297501700685309</v>
      </c>
      <c r="T10" s="58">
        <v>-34.169270662653794</v>
      </c>
      <c r="U10" s="58">
        <v>-33.006004102835028</v>
      </c>
      <c r="V10" s="58">
        <v>-31.807137696955682</v>
      </c>
      <c r="W10" s="58">
        <v>-30.321214854022315</v>
      </c>
      <c r="X10" s="58">
        <v>-28.805136371739547</v>
      </c>
      <c r="Y10" s="58">
        <v>-27.258367699755404</v>
      </c>
      <c r="Z10" s="58">
        <v>-25.680367709073483</v>
      </c>
      <c r="AA10" s="58">
        <v>-24.070588735185261</v>
      </c>
    </row>
    <row r="11" spans="1:28" x14ac:dyDescent="0.35">
      <c r="A11" s="59" t="s">
        <v>208</v>
      </c>
      <c r="B11" s="59" t="s">
        <v>165</v>
      </c>
      <c r="C11" s="58">
        <v>-6.2391261934617415</v>
      </c>
      <c r="D11" s="58">
        <v>-9.5388844417800414</v>
      </c>
      <c r="E11" s="58">
        <v>-12.176479672560097</v>
      </c>
      <c r="F11" s="58">
        <v>-14.304731536072275</v>
      </c>
      <c r="G11" s="58">
        <v>-16.032793529166007</v>
      </c>
      <c r="H11" s="58">
        <v>-20.079107161321339</v>
      </c>
      <c r="I11" s="58">
        <v>-23.885855811952172</v>
      </c>
      <c r="J11" s="58">
        <v>-27.47299281287539</v>
      </c>
      <c r="K11" s="58">
        <v>-30.858315474086293</v>
      </c>
      <c r="L11" s="58">
        <v>-34.057748630605431</v>
      </c>
      <c r="M11" s="58">
        <v>-34.613912243114122</v>
      </c>
      <c r="N11" s="58">
        <v>-35.222632876478599</v>
      </c>
      <c r="O11" s="58">
        <v>-35.891729887471833</v>
      </c>
      <c r="P11" s="58">
        <v>-36.630654708791958</v>
      </c>
      <c r="Q11" s="58">
        <v>-37.450940105306607</v>
      </c>
      <c r="R11" s="58">
        <v>-36.270020436219426</v>
      </c>
      <c r="S11" s="58">
        <v>-35.107573040042183</v>
      </c>
      <c r="T11" s="58">
        <v>-33.970555631002718</v>
      </c>
      <c r="U11" s="58">
        <v>-32.867174669954466</v>
      </c>
      <c r="V11" s="58">
        <v>-31.807137696955682</v>
      </c>
      <c r="W11" s="58">
        <v>-30.389032466191527</v>
      </c>
      <c r="X11" s="58">
        <v>-28.904959481367104</v>
      </c>
      <c r="Y11" s="58">
        <v>-27.35652185204717</v>
      </c>
      <c r="Z11" s="58">
        <v>-25.744829298766657</v>
      </c>
      <c r="AA11" s="58">
        <v>-24.070588735185254</v>
      </c>
    </row>
    <row r="12" spans="1:28" x14ac:dyDescent="0.35">
      <c r="A12" s="59" t="s">
        <v>209</v>
      </c>
      <c r="B12" s="59" t="s">
        <v>165</v>
      </c>
      <c r="C12" s="58">
        <v>-10.073024587522967</v>
      </c>
      <c r="D12" s="58">
        <v>-13.044194472349314</v>
      </c>
      <c r="E12" s="58">
        <v>-14.77922085693843</v>
      </c>
      <c r="F12" s="58">
        <v>-15.692800870660736</v>
      </c>
      <c r="G12" s="58">
        <v>-16.032793529166018</v>
      </c>
      <c r="H12" s="58">
        <v>-19.915997088597209</v>
      </c>
      <c r="I12" s="58">
        <v>-23.652998235879437</v>
      </c>
      <c r="J12" s="58">
        <v>-27.251130406076179</v>
      </c>
      <c r="K12" s="58">
        <v>-30.717244644791787</v>
      </c>
      <c r="L12" s="58">
        <v>-34.057748630605424</v>
      </c>
      <c r="M12" s="58">
        <v>-34.58609610233578</v>
      </c>
      <c r="N12" s="58">
        <v>-35.176376220126578</v>
      </c>
      <c r="O12" s="58">
        <v>-35.840156529284108</v>
      </c>
      <c r="P12" s="58">
        <v>-36.592076555891481</v>
      </c>
      <c r="Q12" s="58">
        <v>-37.4509401053066</v>
      </c>
      <c r="R12" s="58">
        <v>-36.306730535657351</v>
      </c>
      <c r="S12" s="58">
        <v>-35.167203543328121</v>
      </c>
      <c r="T12" s="58">
        <v>-34.035232277227145</v>
      </c>
      <c r="U12" s="58">
        <v>-32.9140202034827</v>
      </c>
      <c r="V12" s="58">
        <v>-31.807137696955706</v>
      </c>
      <c r="W12" s="58">
        <v>-30.39200328103912</v>
      </c>
      <c r="X12" s="58">
        <v>-28.909125147963227</v>
      </c>
      <c r="Y12" s="58">
        <v>-27.360432406754537</v>
      </c>
      <c r="Z12" s="58">
        <v>-25.74728615144279</v>
      </c>
      <c r="AA12" s="58">
        <v>-24.070588735185257</v>
      </c>
    </row>
    <row r="13" spans="1:28" x14ac:dyDescent="0.35">
      <c r="A13" s="59" t="s">
        <v>206</v>
      </c>
      <c r="B13" s="59" t="s">
        <v>166</v>
      </c>
      <c r="C13" s="58">
        <v>-55.14108793358006</v>
      </c>
      <c r="D13" s="58">
        <v>-55.652877764859227</v>
      </c>
      <c r="E13" s="58">
        <v>-55.029524870783774</v>
      </c>
      <c r="F13" s="58">
        <v>-53.803884150069237</v>
      </c>
      <c r="G13" s="58">
        <v>-52.220426616683497</v>
      </c>
      <c r="H13" s="58">
        <v>-55.691833095595847</v>
      </c>
      <c r="I13" s="58">
        <v>-58.570621925602566</v>
      </c>
      <c r="J13" s="58">
        <v>-60.995958920664883</v>
      </c>
      <c r="K13" s="58">
        <v>-63.066598973009157</v>
      </c>
      <c r="L13" s="58">
        <v>-64.854561427617924</v>
      </c>
      <c r="M13" s="58">
        <v>-64.909958484511407</v>
      </c>
      <c r="N13" s="58">
        <v>-64.96849181530385</v>
      </c>
      <c r="O13" s="58">
        <v>-65.030319247654788</v>
      </c>
      <c r="P13" s="58">
        <v>-65.095609379772256</v>
      </c>
      <c r="Q13" s="58">
        <v>-65.164542515120559</v>
      </c>
      <c r="R13" s="58">
        <v>-65.099969333968986</v>
      </c>
      <c r="S13" s="58">
        <v>-65.140061866172104</v>
      </c>
      <c r="T13" s="58">
        <v>-65.305046659071692</v>
      </c>
      <c r="U13" s="58">
        <v>-65.619448412727934</v>
      </c>
      <c r="V13" s="58">
        <v>-66.113243939865129</v>
      </c>
      <c r="W13" s="58">
        <v>-64.600237507910563</v>
      </c>
      <c r="X13" s="58">
        <v>-62.971899167007329</v>
      </c>
      <c r="Y13" s="58">
        <v>-61.212569129698394</v>
      </c>
      <c r="Z13" s="58">
        <v>-59.303368462418383</v>
      </c>
      <c r="AA13" s="58">
        <v>-57.22131034886084</v>
      </c>
    </row>
    <row r="14" spans="1:28" x14ac:dyDescent="0.35">
      <c r="A14" s="59" t="s">
        <v>206</v>
      </c>
      <c r="B14" s="59" t="s">
        <v>223</v>
      </c>
      <c r="C14" s="58">
        <v>-26.197524094555661</v>
      </c>
      <c r="D14" s="58">
        <v>-27.98351181248831</v>
      </c>
      <c r="E14" s="58">
        <v>-28.437376902860628</v>
      </c>
      <c r="F14" s="58">
        <v>-28.11956401730265</v>
      </c>
      <c r="G14" s="58">
        <v>-27.314800335921845</v>
      </c>
      <c r="H14" s="58">
        <v>-29.243081089470014</v>
      </c>
      <c r="I14" s="58">
        <v>-30.738997335858205</v>
      </c>
      <c r="J14" s="58">
        <v>-31.904632247904061</v>
      </c>
      <c r="K14" s="58">
        <v>-32.812277266716194</v>
      </c>
      <c r="L14" s="58">
        <v>-33.514561042603049</v>
      </c>
      <c r="M14" s="58">
        <v>-33.530476287771727</v>
      </c>
      <c r="N14" s="58">
        <v>-33.546252681468481</v>
      </c>
      <c r="O14" s="58">
        <v>-33.561892032901426</v>
      </c>
      <c r="P14" s="58">
        <v>-33.57739611998317</v>
      </c>
      <c r="Q14" s="58">
        <v>-33.592766690004424</v>
      </c>
      <c r="R14" s="58">
        <v>-32.688934638768451</v>
      </c>
      <c r="S14" s="58">
        <v>-31.768215416546457</v>
      </c>
      <c r="T14" s="58">
        <v>-30.8303654295621</v>
      </c>
      <c r="U14" s="58">
        <v>-29.875136204900059</v>
      </c>
      <c r="V14" s="58">
        <v>-28.902274380394626</v>
      </c>
      <c r="W14" s="58">
        <v>-28.212005559039618</v>
      </c>
      <c r="X14" s="58">
        <v>-27.513645512226848</v>
      </c>
      <c r="Y14" s="58">
        <v>-26.807269278895181</v>
      </c>
      <c r="Z14" s="58">
        <v>-26.09295638274153</v>
      </c>
      <c r="AA14" s="58">
        <v>-25.370791118798294</v>
      </c>
    </row>
    <row r="15" spans="1:28" x14ac:dyDescent="0.35">
      <c r="A15" s="59" t="s">
        <v>209</v>
      </c>
      <c r="B15" s="59" t="s">
        <v>223</v>
      </c>
      <c r="C15" s="58">
        <v>-23.874076325741115</v>
      </c>
      <c r="D15" s="58">
        <v>-26.138385198843572</v>
      </c>
      <c r="E15" s="58">
        <v>-27.203451499222108</v>
      </c>
      <c r="F15" s="58">
        <v>-27.512658390856195</v>
      </c>
      <c r="G15" s="58">
        <v>-27.314800335921849</v>
      </c>
      <c r="H15" s="58">
        <v>-28.456480460857875</v>
      </c>
      <c r="I15" s="58">
        <v>-29.647762939972164</v>
      </c>
      <c r="J15" s="58">
        <v>-30.888178485890148</v>
      </c>
      <c r="K15" s="58">
        <v>-32.177263712524116</v>
      </c>
      <c r="L15" s="58">
        <v>-33.514561042603049</v>
      </c>
      <c r="M15" s="58">
        <v>-33.525882855951664</v>
      </c>
      <c r="N15" s="58">
        <v>-33.538883863106243</v>
      </c>
      <c r="O15" s="58">
        <v>-33.553967560577199</v>
      </c>
      <c r="P15" s="58">
        <v>-33.571677976986145</v>
      </c>
      <c r="Q15" s="58">
        <v>-33.592766690004431</v>
      </c>
      <c r="R15" s="58">
        <v>-32.657605956576994</v>
      </c>
      <c r="S15" s="58">
        <v>-31.720388521917894</v>
      </c>
      <c r="T15" s="58">
        <v>-30.781685897869938</v>
      </c>
      <c r="U15" s="58">
        <v>-29.842101980017972</v>
      </c>
      <c r="V15" s="58">
        <v>-28.90227438039463</v>
      </c>
      <c r="W15" s="58">
        <v>-28.374098191440051</v>
      </c>
      <c r="X15" s="58">
        <v>-27.750860691057582</v>
      </c>
      <c r="Y15" s="58">
        <v>-27.039121325939476</v>
      </c>
      <c r="Z15" s="58">
        <v>-26.244281098434548</v>
      </c>
      <c r="AA15" s="58">
        <v>-25.370791118798294</v>
      </c>
    </row>
    <row r="17" spans="1:27" x14ac:dyDescent="0.35">
      <c r="A17" s="59" t="s">
        <v>206</v>
      </c>
      <c r="B17" s="59" t="s">
        <v>174</v>
      </c>
      <c r="C17" s="58">
        <v>4813.169974824541</v>
      </c>
      <c r="D17" s="58">
        <v>3938.6249964168005</v>
      </c>
      <c r="E17" s="58">
        <v>3455.4224651462459</v>
      </c>
      <c r="F17" s="58">
        <v>3157.3905491895357</v>
      </c>
      <c r="G17" s="58">
        <v>2961.8501024596776</v>
      </c>
      <c r="H17" s="58">
        <v>2295.9195993184658</v>
      </c>
      <c r="I17" s="58">
        <v>1922.4966959967696</v>
      </c>
      <c r="J17" s="58">
        <v>1686.444783846322</v>
      </c>
      <c r="K17" s="58">
        <v>1525.9535285861239</v>
      </c>
      <c r="L17" s="58">
        <v>1411.5383445520711</v>
      </c>
      <c r="M17" s="58">
        <v>1293.2903435325122</v>
      </c>
      <c r="N17" s="58">
        <v>1203.3764283586372</v>
      </c>
      <c r="O17" s="58">
        <v>1133.4748362478642</v>
      </c>
      <c r="P17" s="58">
        <v>1078.2594750459771</v>
      </c>
      <c r="Q17" s="58">
        <v>1034.1642044129721</v>
      </c>
      <c r="R17" s="58">
        <v>1004.1393180592765</v>
      </c>
      <c r="S17" s="58">
        <v>978.26057214091531</v>
      </c>
      <c r="T17" s="58">
        <v>955.9303506831576</v>
      </c>
      <c r="U17" s="58">
        <v>936.66625383896769</v>
      </c>
      <c r="V17" s="58">
        <v>920.07480369068537</v>
      </c>
      <c r="W17" s="58">
        <v>915.69873179421597</v>
      </c>
      <c r="X17" s="58">
        <v>912.05043710965606</v>
      </c>
      <c r="Y17" s="58">
        <v>909.08494488500219</v>
      </c>
      <c r="Z17" s="58">
        <v>906.7619385914212</v>
      </c>
      <c r="AA17" s="58">
        <v>905.04520071127888</v>
      </c>
    </row>
    <row r="18" spans="1:27" x14ac:dyDescent="0.35">
      <c r="A18" s="59" t="s">
        <v>209</v>
      </c>
      <c r="B18" s="59" t="s">
        <v>174</v>
      </c>
      <c r="C18" s="58">
        <v>5541.7508093428669</v>
      </c>
      <c r="D18" s="58">
        <v>3676.584006026872</v>
      </c>
      <c r="E18" s="58">
        <v>2591.4638860470668</v>
      </c>
      <c r="F18" s="58">
        <v>1873.7163822605394</v>
      </c>
      <c r="G18" s="58">
        <v>1357.7982024154662</v>
      </c>
      <c r="H18" s="58">
        <v>901.31255108246205</v>
      </c>
      <c r="I18" s="58">
        <v>637.04213520949861</v>
      </c>
      <c r="J18" s="58">
        <v>462.77425732631025</v>
      </c>
      <c r="K18" s="58">
        <v>337.77664152956152</v>
      </c>
      <c r="L18" s="58">
        <v>242.61196226201207</v>
      </c>
      <c r="M18" s="58">
        <v>195.4042242213269</v>
      </c>
      <c r="N18" s="58">
        <v>157.52857859631314</v>
      </c>
      <c r="O18" s="58">
        <v>126.17970145520158</v>
      </c>
      <c r="P18" s="58">
        <v>99.560026554631392</v>
      </c>
      <c r="Q18" s="58">
        <v>76.463979153735437</v>
      </c>
      <c r="R18" s="58">
        <v>70.12916748118883</v>
      </c>
      <c r="S18" s="58">
        <v>64.300366270368798</v>
      </c>
      <c r="T18" s="58">
        <v>58.894221301266711</v>
      </c>
      <c r="U18" s="58">
        <v>53.843085406812698</v>
      </c>
      <c r="V18" s="58">
        <v>49.091422449987974</v>
      </c>
      <c r="W18" s="58">
        <v>49.961078977872297</v>
      </c>
      <c r="X18" s="58">
        <v>50.877335910526668</v>
      </c>
      <c r="Y18" s="58">
        <v>51.839776984779938</v>
      </c>
      <c r="Z18" s="58">
        <v>52.848128465856298</v>
      </c>
      <c r="AA18" s="58">
        <v>53.902245094498141</v>
      </c>
    </row>
    <row r="19" spans="1:27" x14ac:dyDescent="0.35">
      <c r="A19" s="59" t="s">
        <v>208</v>
      </c>
      <c r="B19" s="59" t="s">
        <v>183</v>
      </c>
      <c r="C19" s="58">
        <v>650.12262574816293</v>
      </c>
      <c r="D19" s="58">
        <v>451.00652154313684</v>
      </c>
      <c r="E19" s="58">
        <v>340.45994540003124</v>
      </c>
      <c r="F19" s="58">
        <v>270.2821781876799</v>
      </c>
      <c r="G19" s="58">
        <v>221.8810007807042</v>
      </c>
      <c r="H19" s="58">
        <v>68.782551689752268</v>
      </c>
      <c r="I19" s="58">
        <v>16.380471493470591</v>
      </c>
      <c r="J19" s="58">
        <v>-10.03849677489815</v>
      </c>
      <c r="K19" s="58">
        <v>-25.929255523582185</v>
      </c>
      <c r="L19" s="58">
        <v>-36.517103855755039</v>
      </c>
      <c r="M19" s="58">
        <v>-60.830740993174118</v>
      </c>
      <c r="N19" s="58">
        <v>-71.250456007279666</v>
      </c>
      <c r="O19" s="58">
        <v>-77.028354637575461</v>
      </c>
      <c r="P19" s="58">
        <v>-80.693728515211461</v>
      </c>
      <c r="Q19" s="58">
        <v>-83.220548498608238</v>
      </c>
      <c r="R19" s="58">
        <v>-82.192109698215276</v>
      </c>
      <c r="S19" s="58">
        <v>-81.079541967640225</v>
      </c>
      <c r="T19" s="58">
        <v>-79.873449343245994</v>
      </c>
      <c r="U19" s="58">
        <v>-78.563030994628335</v>
      </c>
      <c r="V19" s="58">
        <v>-77.135810240393809</v>
      </c>
      <c r="W19" s="58">
        <v>-77.644425606915476</v>
      </c>
      <c r="X19" s="58">
        <v>-78.091353530131855</v>
      </c>
      <c r="Y19" s="58">
        <v>-78.484300325104343</v>
      </c>
      <c r="Z19" s="58">
        <v>-78.829669994172932</v>
      </c>
      <c r="AA19" s="58">
        <v>-79.132825948162434</v>
      </c>
    </row>
    <row r="20" spans="1:27" x14ac:dyDescent="0.35">
      <c r="A20" s="59" t="s">
        <v>206</v>
      </c>
      <c r="B20" s="59" t="s">
        <v>175</v>
      </c>
      <c r="C20" s="58">
        <v>94.449600688744553</v>
      </c>
      <c r="D20" s="58">
        <v>92.461336081005967</v>
      </c>
      <c r="E20" s="58">
        <v>93.373431311799024</v>
      </c>
      <c r="F20" s="58">
        <v>95.732767975540085</v>
      </c>
      <c r="G20" s="58">
        <v>98.95315758830715</v>
      </c>
      <c r="H20" s="58">
        <v>89.242745635151778</v>
      </c>
      <c r="I20" s="58">
        <v>85.641781508380021</v>
      </c>
      <c r="J20" s="58">
        <v>84.920559753880056</v>
      </c>
      <c r="K20" s="58">
        <v>85.817581248113683</v>
      </c>
      <c r="L20" s="58">
        <v>87.739587606612645</v>
      </c>
      <c r="M20" s="58">
        <v>99.588632829429358</v>
      </c>
      <c r="N20" s="58">
        <v>111.01881962412683</v>
      </c>
      <c r="O20" s="58">
        <v>122.15033573693815</v>
      </c>
      <c r="P20" s="58">
        <v>133.07667027930071</v>
      </c>
      <c r="Q20" s="58">
        <v>143.87203048475007</v>
      </c>
      <c r="R20" s="58">
        <v>152.15943018267478</v>
      </c>
      <c r="S20" s="58">
        <v>160.47709618290071</v>
      </c>
      <c r="T20" s="58">
        <v>168.86143344733165</v>
      </c>
      <c r="U20" s="58">
        <v>177.34147343722179</v>
      </c>
      <c r="V20" s="58">
        <v>185.94101196841902</v>
      </c>
      <c r="W20" s="58">
        <v>182.88281353367603</v>
      </c>
      <c r="X20" s="58">
        <v>180.35925078740439</v>
      </c>
      <c r="Y20" s="58">
        <v>178.31567519869645</v>
      </c>
      <c r="Z20" s="58">
        <v>176.70597914401517</v>
      </c>
      <c r="AA20" s="58">
        <v>175.4910433980323</v>
      </c>
    </row>
    <row r="21" spans="1:27" x14ac:dyDescent="0.35">
      <c r="A21" s="59" t="s">
        <v>208</v>
      </c>
      <c r="B21" s="59" t="s">
        <v>175</v>
      </c>
      <c r="C21" s="58">
        <v>130.94023466093938</v>
      </c>
      <c r="D21" s="58">
        <v>121.60294725093014</v>
      </c>
      <c r="E21" s="58">
        <v>113.25297071172839</v>
      </c>
      <c r="F21" s="58">
        <v>105.74294791789607</v>
      </c>
      <c r="G21" s="58">
        <v>98.953157588307121</v>
      </c>
      <c r="H21" s="58">
        <v>96.858050376691082</v>
      </c>
      <c r="I21" s="58">
        <v>94.693372248833285</v>
      </c>
      <c r="J21" s="58">
        <v>92.454927046824977</v>
      </c>
      <c r="K21" s="58">
        <v>90.138447083048803</v>
      </c>
      <c r="L21" s="58">
        <v>87.739587606612687</v>
      </c>
      <c r="M21" s="58">
        <v>97.019347259938641</v>
      </c>
      <c r="N21" s="58">
        <v>107.12538885672691</v>
      </c>
      <c r="O21" s="58">
        <v>118.18838031062441</v>
      </c>
      <c r="P21" s="58">
        <v>130.36985800163359</v>
      </c>
      <c r="Q21" s="58">
        <v>143.87203048475004</v>
      </c>
      <c r="R21" s="58">
        <v>151.54224925770086</v>
      </c>
      <c r="S21" s="58">
        <v>159.55090282863816</v>
      </c>
      <c r="T21" s="58">
        <v>167.92850104516194</v>
      </c>
      <c r="U21" s="58">
        <v>176.71096072557452</v>
      </c>
      <c r="V21" s="58">
        <v>185.94101196841899</v>
      </c>
      <c r="W21" s="58">
        <v>183.32849655144199</v>
      </c>
      <c r="X21" s="58">
        <v>180.99806583250037</v>
      </c>
      <c r="Y21" s="58">
        <v>178.92767209970415</v>
      </c>
      <c r="Z21" s="58">
        <v>177.09778403986581</v>
      </c>
      <c r="AA21" s="58">
        <v>175.4910433980323</v>
      </c>
    </row>
    <row r="22" spans="1:27" x14ac:dyDescent="0.35">
      <c r="A22" s="59" t="s">
        <v>208</v>
      </c>
      <c r="B22" s="59" t="s">
        <v>185</v>
      </c>
      <c r="C22" s="58">
        <v>161.32174684274847</v>
      </c>
      <c r="D22" s="58">
        <v>153.06206967784942</v>
      </c>
      <c r="E22" s="58">
        <v>145.86413660844252</v>
      </c>
      <c r="F22" s="58">
        <v>139.5691514883506</v>
      </c>
      <c r="G22" s="58">
        <v>134.04937925024282</v>
      </c>
      <c r="H22" s="58">
        <v>144.33598889482784</v>
      </c>
      <c r="I22" s="58">
        <v>155.14420595423718</v>
      </c>
      <c r="J22" s="58">
        <v>166.50558210714547</v>
      </c>
      <c r="K22" s="58">
        <v>178.45399360664075</v>
      </c>
      <c r="L22" s="58">
        <v>191.02585033053549</v>
      </c>
      <c r="M22" s="58">
        <v>226.45561095893106</v>
      </c>
      <c r="N22" s="58">
        <v>269.34175801738024</v>
      </c>
      <c r="O22" s="58">
        <v>322.22238681083041</v>
      </c>
      <c r="P22" s="58">
        <v>388.93075848933631</v>
      </c>
      <c r="Q22" s="58">
        <v>475.54205394251829</v>
      </c>
      <c r="R22" s="58">
        <v>552.7778504787799</v>
      </c>
      <c r="S22" s="58">
        <v>648.53359111893519</v>
      </c>
      <c r="T22" s="58">
        <v>770.15437183767472</v>
      </c>
      <c r="U22" s="58">
        <v>929.45052727149925</v>
      </c>
      <c r="V22" s="58">
        <v>1146.6983789948936</v>
      </c>
      <c r="W22" s="58">
        <v>1326.4456882691175</v>
      </c>
      <c r="X22" s="58">
        <v>1553.6363549999696</v>
      </c>
      <c r="Y22" s="58">
        <v>1849.3468685434973</v>
      </c>
      <c r="Z22" s="58">
        <v>2249.2801345831476</v>
      </c>
      <c r="AA22" s="58">
        <v>2819.1152249668012</v>
      </c>
    </row>
    <row r="23" spans="1:27" x14ac:dyDescent="0.35">
      <c r="A23" s="59" t="s">
        <v>208</v>
      </c>
      <c r="B23" s="59" t="s">
        <v>186</v>
      </c>
      <c r="C23" s="58">
        <v>-14.694127186533864</v>
      </c>
      <c r="D23" s="58">
        <v>-20.456487847339478</v>
      </c>
      <c r="E23" s="58">
        <v>-25.19558308336773</v>
      </c>
      <c r="F23" s="58">
        <v>-29.148796358068367</v>
      </c>
      <c r="G23" s="58">
        <v>-32.48498005994356</v>
      </c>
      <c r="H23" s="58">
        <v>-31.403854561856967</v>
      </c>
      <c r="I23" s="58">
        <v>-30.297439555510532</v>
      </c>
      <c r="J23" s="58">
        <v>-29.165242541597483</v>
      </c>
      <c r="K23" s="58">
        <v>-28.006757047969</v>
      </c>
      <c r="L23" s="58">
        <v>-26.821462427300027</v>
      </c>
      <c r="M23" s="58">
        <v>-19.556865617804959</v>
      </c>
      <c r="N23" s="58">
        <v>-11.130995045375203</v>
      </c>
      <c r="O23" s="58">
        <v>-1.256734934665366</v>
      </c>
      <c r="P23" s="58">
        <v>10.455531668198473</v>
      </c>
      <c r="Q23" s="58">
        <v>24.548120136099534</v>
      </c>
      <c r="R23" s="58">
        <v>37.708249878816396</v>
      </c>
      <c r="S23" s="58">
        <v>53.157460699519532</v>
      </c>
      <c r="T23" s="58">
        <v>71.520019367578527</v>
      </c>
      <c r="U23" s="58">
        <v>93.66860894015943</v>
      </c>
      <c r="V23" s="58">
        <v>120.86149185245063</v>
      </c>
      <c r="W23" s="58">
        <v>136.35077158377186</v>
      </c>
      <c r="X23" s="58">
        <v>153.37322515117091</v>
      </c>
      <c r="Y23" s="58">
        <v>172.14467781239594</v>
      </c>
      <c r="Z23" s="58">
        <v>192.92257753220278</v>
      </c>
      <c r="AA23" s="58">
        <v>216.01650386069679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Historical biomass price</vt:lpstr>
      <vt:lpstr>Historical electicity price</vt:lpstr>
      <vt:lpstr>Historical natural gas price</vt:lpstr>
      <vt:lpstr>Historical oil price</vt:lpstr>
      <vt:lpstr>Monte Carlo biomass price</vt:lpstr>
      <vt:lpstr>Monte Carlo electricity price</vt:lpstr>
      <vt:lpstr>Monte Carlo natural gas price</vt:lpstr>
      <vt:lpstr>Monte Carlo oil price</vt:lpstr>
      <vt:lpstr>Historical price Minerals</vt:lpstr>
      <vt:lpstr>Monte Carlo graphite price</vt:lpstr>
      <vt:lpstr>Monte Carlo lithium price</vt:lpstr>
      <vt:lpstr>Monte Carlo nickel price</vt:lpstr>
      <vt:lpstr>Minerals demand for BEVs</vt:lpstr>
      <vt:lpstr>Minerals demand for PV</vt:lpstr>
      <vt:lpstr>Minerals demand for wind</vt:lpstr>
      <vt:lpstr>Minerals supply</vt:lpstr>
      <vt:lpstr>Calculated share values</vt:lpstr>
      <vt:lpstr>Minerals shortage</vt:lpstr>
    </vt:vector>
  </TitlesOfParts>
  <Manager/>
  <Company>University College Cork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Fatemeh Rostami</dc:creator>
  <cp:keywords/>
  <dc:description/>
  <cp:lastModifiedBy>Fatemeh Rostami</cp:lastModifiedBy>
  <cp:revision/>
  <dcterms:created xsi:type="dcterms:W3CDTF">2026-03-04T12:26:03Z</dcterms:created>
  <dcterms:modified xsi:type="dcterms:W3CDTF">2026-07-17T15:29:46Z</dcterms:modified>
  <cp:category/>
  <cp:contentStatus/>
</cp:coreProperties>
</file>